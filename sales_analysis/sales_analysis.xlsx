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slicers/slicer3.xml" ContentType="application/vnd.ms-excel.slicer+xml"/>
  <Override PartName="/xl/timelines/timeline3.xml" ContentType="application/vnd.ms-excel.timelin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C:\Users\vboxuser\Desktop\repo-rozowy\"/>
    </mc:Choice>
  </mc:AlternateContent>
  <xr:revisionPtr revIDLastSave="0" documentId="13_ncr:1_{828ED5A0-FD0A-4878-B528-1E4E620FACC7}" xr6:coauthVersionLast="47" xr6:coauthVersionMax="47" xr10:uidLastSave="{00000000-0000-0000-0000-000000000000}"/>
  <bookViews>
    <workbookView xWindow="-108" yWindow="-108" windowWidth="32448" windowHeight="16260" tabRatio="560" activeTab="5" xr2:uid="{55EF590D-8CC8-4342-8EAC-336C3E250BF1}"/>
  </bookViews>
  <sheets>
    <sheet name="RAW_DATA" sheetId="1" r:id="rId1"/>
    <sheet name="CLEAN_DATA_POWERQUERY" sheetId="28" r:id="rId2"/>
    <sheet name="DASHBOARD (2)" sheetId="40" state="hidden" r:id="rId3"/>
    <sheet name="ANALYST_KPI" sheetId="35" r:id="rId4"/>
    <sheet name="ANALYST_TEAM&amp;REGION" sheetId="37" r:id="rId5"/>
    <sheet name="DASHBOARD" sheetId="16" r:id="rId6"/>
    <sheet name="INSIGHTS" sheetId="9" r:id="rId7"/>
  </sheets>
  <definedNames>
    <definedName name="_xlnm._FilterDatabase" localSheetId="0" hidden="1">'RAW_DATA'!$A$1:$Z$6328</definedName>
    <definedName name="ExternalData_1" localSheetId="1" hidden="1">CLEAN_DATA_POWERQUERY!$A$1:$W$701</definedName>
    <definedName name="Fragmentator_SALES_TEAM">#N/A</definedName>
    <definedName name="NatywnaOśCzasu_ORDER_DATE">#N/A</definedName>
    <definedName name="_xlnm.Print_Area" localSheetId="5">DASHBOARD!$B$2:$L$21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40" l="1"/>
  <c r="R8" i="40"/>
  <c r="Q8" i="40"/>
  <c r="P8" i="40"/>
  <c r="S7" i="40"/>
  <c r="R7" i="40"/>
  <c r="Q7" i="40"/>
  <c r="P7" i="40"/>
  <c r="S6" i="40"/>
  <c r="R6" i="40"/>
  <c r="Q6" i="40"/>
  <c r="P6" i="40"/>
  <c r="S5" i="40"/>
  <c r="R5" i="40"/>
  <c r="Q5" i="40"/>
  <c r="P5" i="40"/>
  <c r="S4" i="40"/>
  <c r="R4" i="40"/>
  <c r="Q4" i="40"/>
  <c r="P4" i="40"/>
  <c r="S3" i="40"/>
  <c r="R3" i="40"/>
  <c r="Q3" i="40"/>
  <c r="P3" i="40"/>
  <c r="P3" i="16"/>
  <c r="Q3" i="16"/>
  <c r="R3" i="16"/>
  <c r="S3" i="16"/>
  <c r="Q4" i="16"/>
  <c r="R4" i="16"/>
  <c r="S4" i="16"/>
  <c r="Q5" i="16"/>
  <c r="R5" i="16"/>
  <c r="S5" i="16"/>
  <c r="Q6" i="16"/>
  <c r="R6" i="16"/>
  <c r="S6" i="16"/>
  <c r="Q7" i="16"/>
  <c r="R7" i="16"/>
  <c r="S7" i="16"/>
  <c r="Q8" i="16"/>
  <c r="R8" i="16"/>
  <c r="S8" i="16"/>
  <c r="P8" i="16"/>
  <c r="P7" i="16"/>
  <c r="P6" i="16"/>
  <c r="P5" i="16"/>
  <c r="P4" i="16"/>
  <c r="B6" i="35"/>
  <c r="B8" i="35"/>
  <c r="B10" i="35"/>
  <c r="B9" i="35"/>
  <c r="B7" i="35"/>
  <c r="C6" i="3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CF534-6239-4CB8-8EB8-4843D50F15C1}" keepAlive="1" name="Zapytanie — clean_data" description="Połączenie z zapytaniem „clean_data” w skoroszycie." type="5" refreshedVersion="8" saveData="1">
    <dbPr connection="Provider=Microsoft.Mashup.OleDb.1;Data Source=$Workbook$;Location=clean_data;Extended Properties=&quot;&quot;" command="SELECT * FROM [clean_data]"/>
  </connection>
</connections>
</file>

<file path=xl/sharedStrings.xml><?xml version="1.0" encoding="utf-8"?>
<sst xmlns="http://schemas.openxmlformats.org/spreadsheetml/2006/main" count="17091" uniqueCount="2429">
  <si>
    <t>REGION</t>
  </si>
  <si>
    <t>North</t>
  </si>
  <si>
    <t>South</t>
  </si>
  <si>
    <t>SALES CHANNEL</t>
  </si>
  <si>
    <t>SALES TEAM</t>
  </si>
  <si>
    <t>CUSTOMER ID</t>
  </si>
  <si>
    <t>STORE ID</t>
  </si>
  <si>
    <t>PRODUCT NAME</t>
  </si>
  <si>
    <t>DISCOUNT%</t>
  </si>
  <si>
    <t>QUANTITY</t>
  </si>
  <si>
    <t>UNIT COST</t>
  </si>
  <si>
    <t>UNIT PRICE</t>
  </si>
  <si>
    <t>ORDER ID</t>
  </si>
  <si>
    <t>PRODUCT ID</t>
  </si>
  <si>
    <t>CATEGORY</t>
  </si>
  <si>
    <t>SUBCATEGORY</t>
  </si>
  <si>
    <t>east</t>
  </si>
  <si>
    <t>west</t>
  </si>
  <si>
    <t>central</t>
  </si>
  <si>
    <t>Online</t>
  </si>
  <si>
    <t>Store</t>
  </si>
  <si>
    <t>Partner</t>
  </si>
  <si>
    <t>Team A</t>
  </si>
  <si>
    <t>Team B</t>
  </si>
  <si>
    <t>Team C</t>
  </si>
  <si>
    <t>Team D</t>
  </si>
  <si>
    <t>Laptop Pro 15</t>
  </si>
  <si>
    <t>Electronics</t>
  </si>
  <si>
    <t>Laptops</t>
  </si>
  <si>
    <t>Gaming Laptop</t>
  </si>
  <si>
    <t>27" Monitor</t>
  </si>
  <si>
    <t>Monitors</t>
  </si>
  <si>
    <t>Office Chair</t>
  </si>
  <si>
    <t>Furniture</t>
  </si>
  <si>
    <t>Chairs</t>
  </si>
  <si>
    <t>Standing Desk</t>
  </si>
  <si>
    <t>Desks</t>
  </si>
  <si>
    <t>Headphones Pro</t>
  </si>
  <si>
    <t>Accessories</t>
  </si>
  <si>
    <t>Audio</t>
  </si>
  <si>
    <t>USB Hub</t>
  </si>
  <si>
    <t>Connectivity</t>
  </si>
  <si>
    <t>Business Laptop</t>
  </si>
  <si>
    <t>Ultrawide Monitor</t>
  </si>
  <si>
    <t>Wireless Mouse</t>
  </si>
  <si>
    <t>Peripherals</t>
  </si>
  <si>
    <t>Mechanical Keyboard</t>
  </si>
  <si>
    <t>Bluetooth Speaker</t>
  </si>
  <si>
    <t>Docking Station</t>
  </si>
  <si>
    <t>Ergonomic Chair</t>
  </si>
  <si>
    <t>Office Desk</t>
  </si>
  <si>
    <t>Desk Lamp</t>
  </si>
  <si>
    <t>Lighting</t>
  </si>
  <si>
    <t>Webcam HD</t>
  </si>
  <si>
    <t>Cameras</t>
  </si>
  <si>
    <t>External SSD 1TB</t>
  </si>
  <si>
    <t>Storage</t>
  </si>
  <si>
    <t>Network Router</t>
  </si>
  <si>
    <t>Networking</t>
  </si>
  <si>
    <t>Printer Laser</t>
  </si>
  <si>
    <t>Printers</t>
  </si>
  <si>
    <t>Team E</t>
  </si>
  <si>
    <t>CUSTOMER SEGMENT</t>
  </si>
  <si>
    <t>ORDER LINE ID</t>
  </si>
  <si>
    <t>ORDER DATE</t>
  </si>
  <si>
    <t>SHIP DATE</t>
  </si>
  <si>
    <t>DELIVER DATE</t>
  </si>
  <si>
    <t>ORD-162-1</t>
  </si>
  <si>
    <t>ORD-162</t>
  </si>
  <si>
    <t>USR-746475</t>
  </si>
  <si>
    <t>ST-S-00474</t>
  </si>
  <si>
    <t>PRD-597</t>
  </si>
  <si>
    <t>B2B</t>
  </si>
  <si>
    <t>ORD-253-1</t>
  </si>
  <si>
    <t>ORD-253</t>
  </si>
  <si>
    <t>USR-803305</t>
  </si>
  <si>
    <t>ST-S-00897</t>
  </si>
  <si>
    <t>PRD-519</t>
  </si>
  <si>
    <t>ORD-250-1</t>
  </si>
  <si>
    <t>ORD-250</t>
  </si>
  <si>
    <t>USR-356793</t>
  </si>
  <si>
    <t>PRD-117</t>
  </si>
  <si>
    <t>B2C</t>
  </si>
  <si>
    <t>ORD-365-1</t>
  </si>
  <si>
    <t>ORD-365</t>
  </si>
  <si>
    <t>USR-282323</t>
  </si>
  <si>
    <t>ST-P-00600</t>
  </si>
  <si>
    <t>PRD-517</t>
  </si>
  <si>
    <t>ORD-188-1</t>
  </si>
  <si>
    <t>ORD-188</t>
  </si>
  <si>
    <t>USR-608476</t>
  </si>
  <si>
    <t>ORD-184-1</t>
  </si>
  <si>
    <t>ORD-184</t>
  </si>
  <si>
    <t>USR-384513</t>
  </si>
  <si>
    <t>ST-S-00169</t>
  </si>
  <si>
    <t>PRD-273</t>
  </si>
  <si>
    <t>ORD-164-1</t>
  </si>
  <si>
    <t>ORD-164</t>
  </si>
  <si>
    <t>USR-476764</t>
  </si>
  <si>
    <t>ST-P-00818</t>
  </si>
  <si>
    <t>PRD-643</t>
  </si>
  <si>
    <t>ORD-296-1</t>
  </si>
  <si>
    <t>ORD-296</t>
  </si>
  <si>
    <t>USR-952340</t>
  </si>
  <si>
    <t>ST-P-00447</t>
  </si>
  <si>
    <t>ORD-157-1</t>
  </si>
  <si>
    <t>ORD-157</t>
  </si>
  <si>
    <t>USR-393885</t>
  </si>
  <si>
    <t>ST-S-00236</t>
  </si>
  <si>
    <t>PRD-284</t>
  </si>
  <si>
    <t>ORD-201-1</t>
  </si>
  <si>
    <t>ORD-201</t>
  </si>
  <si>
    <t>USR-318609</t>
  </si>
  <si>
    <t>ST-S-00683</t>
  </si>
  <si>
    <t>PRD-709</t>
  </si>
  <si>
    <t>ORD-252-1</t>
  </si>
  <si>
    <t>ORD-252</t>
  </si>
  <si>
    <t>USR-116717</t>
  </si>
  <si>
    <t>ST-P-00474</t>
  </si>
  <si>
    <t>PRD-181</t>
  </si>
  <si>
    <t>ORD-207-1</t>
  </si>
  <si>
    <t>ORD-207</t>
  </si>
  <si>
    <t>USR-366883</t>
  </si>
  <si>
    <t>ST-S-00459</t>
  </si>
  <si>
    <t>ORD-262-1</t>
  </si>
  <si>
    <t>ORD-262</t>
  </si>
  <si>
    <t>USR-541956</t>
  </si>
  <si>
    <t>ST-O-00753</t>
  </si>
  <si>
    <t>ORD-339-1</t>
  </si>
  <si>
    <t>ORD-339</t>
  </si>
  <si>
    <t>USR-297774</t>
  </si>
  <si>
    <t>ST-P-00148</t>
  </si>
  <si>
    <t>PRD-811</t>
  </si>
  <si>
    <t>ORD-268-1</t>
  </si>
  <si>
    <t>ORD-268</t>
  </si>
  <si>
    <t>USR-496541</t>
  </si>
  <si>
    <t>ST-P-00894</t>
  </si>
  <si>
    <t>ORD-275-1</t>
  </si>
  <si>
    <t>ORD-275</t>
  </si>
  <si>
    <t>USR-729233</t>
  </si>
  <si>
    <t>ST-O-00414</t>
  </si>
  <si>
    <t>PRD-247</t>
  </si>
  <si>
    <t>ORD-192-1</t>
  </si>
  <si>
    <t>ORD-192</t>
  </si>
  <si>
    <t>USR-955316</t>
  </si>
  <si>
    <t>ST-P-00870</t>
  </si>
  <si>
    <t>ORD-294-1</t>
  </si>
  <si>
    <t>ORD-294</t>
  </si>
  <si>
    <t>USR-689752</t>
  </si>
  <si>
    <t>ST-S-00133</t>
  </si>
  <si>
    <t>ORD-350-1</t>
  </si>
  <si>
    <t>ORD-350</t>
  </si>
  <si>
    <t>USR-654051</t>
  </si>
  <si>
    <t>ST-O-00434</t>
  </si>
  <si>
    <t>ORD-152-1</t>
  </si>
  <si>
    <t>ORD-152</t>
  </si>
  <si>
    <t>USR-899270</t>
  </si>
  <si>
    <t>ORD-205-1</t>
  </si>
  <si>
    <t>ORD-205</t>
  </si>
  <si>
    <t>USR-776776</t>
  </si>
  <si>
    <t>ORD-156-1</t>
  </si>
  <si>
    <t>ORD-156</t>
  </si>
  <si>
    <t>USR-974315</t>
  </si>
  <si>
    <t>ST-S-00731</t>
  </si>
  <si>
    <t>PRD-686</t>
  </si>
  <si>
    <t>ORD-213-1</t>
  </si>
  <si>
    <t>ORD-213</t>
  </si>
  <si>
    <t>USR-854445</t>
  </si>
  <si>
    <t>ST-S-00487</t>
  </si>
  <si>
    <t>ORD-314-1</t>
  </si>
  <si>
    <t>ORD-314</t>
  </si>
  <si>
    <t>USR-887746</t>
  </si>
  <si>
    <t>ST-S-00144</t>
  </si>
  <si>
    <t>PRD-592</t>
  </si>
  <si>
    <t>ORD-367-1</t>
  </si>
  <si>
    <t>ORD-367</t>
  </si>
  <si>
    <t>USR-827706</t>
  </si>
  <si>
    <t>ST-P-00722</t>
  </si>
  <si>
    <t>PRD-361</t>
  </si>
  <si>
    <t>ORD-336-1</t>
  </si>
  <si>
    <t>ORD-336</t>
  </si>
  <si>
    <t>USR-957756</t>
  </si>
  <si>
    <t>ST-S-00809</t>
  </si>
  <si>
    <t>ORD-332-1</t>
  </si>
  <si>
    <t>ORD-332</t>
  </si>
  <si>
    <t>USR-284074</t>
  </si>
  <si>
    <t>ST-P-00713</t>
  </si>
  <si>
    <t>PRD-148</t>
  </si>
  <si>
    <t>ORD-384-1</t>
  </si>
  <si>
    <t>ORD-384</t>
  </si>
  <si>
    <t>USR-819750</t>
  </si>
  <si>
    <t>ST-S-00595</t>
  </si>
  <si>
    <t>PRD-660</t>
  </si>
  <si>
    <t>ORD-164-2</t>
  </si>
  <si>
    <t>USR-245939</t>
  </si>
  <si>
    <t>ST-O-00967</t>
  </si>
  <si>
    <t>ORD-297-1</t>
  </si>
  <si>
    <t>ORD-297</t>
  </si>
  <si>
    <t>USR-480730</t>
  </si>
  <si>
    <t>ST-P-00901</t>
  </si>
  <si>
    <t>ORD-212-1</t>
  </si>
  <si>
    <t>ORD-212</t>
  </si>
  <si>
    <t>USR-550771</t>
  </si>
  <si>
    <t>ST-P-00629</t>
  </si>
  <si>
    <t>ORD-199-1</t>
  </si>
  <si>
    <t>ORD-199</t>
  </si>
  <si>
    <t>USR-323350</t>
  </si>
  <si>
    <t>ST-O-00909</t>
  </si>
  <si>
    <t>PRD-900</t>
  </si>
  <si>
    <t>ORD-224-1</t>
  </si>
  <si>
    <t>ORD-224</t>
  </si>
  <si>
    <t>USR-971540</t>
  </si>
  <si>
    <t>ST-P-00244</t>
  </si>
  <si>
    <t>ORD-321-1</t>
  </si>
  <si>
    <t>ORD-321</t>
  </si>
  <si>
    <t>USR-177888</t>
  </si>
  <si>
    <t>ST-P-00601</t>
  </si>
  <si>
    <t>PRD-112</t>
  </si>
  <si>
    <t>ORD-205-2</t>
  </si>
  <si>
    <t>USR-561822</t>
  </si>
  <si>
    <t>ST-O-00299</t>
  </si>
  <si>
    <t>ORD-360-1</t>
  </si>
  <si>
    <t>ORD-360</t>
  </si>
  <si>
    <t>USR-500685</t>
  </si>
  <si>
    <t>ST-P-00354</t>
  </si>
  <si>
    <t>ORD-337-1</t>
  </si>
  <si>
    <t>ORD-337</t>
  </si>
  <si>
    <t>USR-883810</t>
  </si>
  <si>
    <t>ST-S-00549</t>
  </si>
  <si>
    <t>ORD-219-1</t>
  </si>
  <si>
    <t>ORD-219</t>
  </si>
  <si>
    <t>USR-165282</t>
  </si>
  <si>
    <t>ST-P-00852</t>
  </si>
  <si>
    <t>ORD-365-2</t>
  </si>
  <si>
    <t>USR-973033</t>
  </si>
  <si>
    <t>ST-O-00917</t>
  </si>
  <si>
    <t>ORD-252-2</t>
  </si>
  <si>
    <t>USR-523132</t>
  </si>
  <si>
    <t>ST-P-00609</t>
  </si>
  <si>
    <t>ORD-266-1</t>
  </si>
  <si>
    <t>ORD-266</t>
  </si>
  <si>
    <t>USR-979833</t>
  </si>
  <si>
    <t>ST-O-00516</t>
  </si>
  <si>
    <t>ORD-312-1</t>
  </si>
  <si>
    <t>ORD-312</t>
  </si>
  <si>
    <t>USR-421732</t>
  </si>
  <si>
    <t>ST-O-00224</t>
  </si>
  <si>
    <t>ORD-231-1</t>
  </si>
  <si>
    <t>ORD-231</t>
  </si>
  <si>
    <t>USR-811823</t>
  </si>
  <si>
    <t>ST-P-00175</t>
  </si>
  <si>
    <t>ORD-178-1</t>
  </si>
  <si>
    <t>ORD-178</t>
  </si>
  <si>
    <t>USR-277621</t>
  </si>
  <si>
    <t>ST-O-00317</t>
  </si>
  <si>
    <t>ORD-231-2</t>
  </si>
  <si>
    <t>USR-127718</t>
  </si>
  <si>
    <t>ST-O-00690</t>
  </si>
  <si>
    <t>ORD-359-1</t>
  </si>
  <si>
    <t>ORD-359</t>
  </si>
  <si>
    <t>USR-924024</t>
  </si>
  <si>
    <t>ST-S-00543</t>
  </si>
  <si>
    <t>ORD-248-1</t>
  </si>
  <si>
    <t>ORD-248</t>
  </si>
  <si>
    <t>USR-888219</t>
  </si>
  <si>
    <t>ST-O-00617</t>
  </si>
  <si>
    <t>ORD-229-1</t>
  </si>
  <si>
    <t>ORD-229</t>
  </si>
  <si>
    <t>USR-705312</t>
  </si>
  <si>
    <t>ST-S-00749</t>
  </si>
  <si>
    <t>ORD-358-1</t>
  </si>
  <si>
    <t>ORD-358</t>
  </si>
  <si>
    <t>USR-806426</t>
  </si>
  <si>
    <t>ST-S-00969</t>
  </si>
  <si>
    <t>ORD-351-1</t>
  </si>
  <si>
    <t>ORD-351</t>
  </si>
  <si>
    <t>USR-156438</t>
  </si>
  <si>
    <t>ST-P-00957</t>
  </si>
  <si>
    <t>ORD-199-2</t>
  </si>
  <si>
    <t>USR-253427</t>
  </si>
  <si>
    <t>ST-S-00329</t>
  </si>
  <si>
    <t>ORD-253-2</t>
  </si>
  <si>
    <t>USR-118403</t>
  </si>
  <si>
    <t>ST-O-00274</t>
  </si>
  <si>
    <t>ORD-228-1</t>
  </si>
  <si>
    <t>ORD-228</t>
  </si>
  <si>
    <t>USR-622259</t>
  </si>
  <si>
    <t>ST-P-00116</t>
  </si>
  <si>
    <t>ORD-358-2</t>
  </si>
  <si>
    <t>USR-267264</t>
  </si>
  <si>
    <t>ST-S-00953</t>
  </si>
  <si>
    <t>PRD-873</t>
  </si>
  <si>
    <t>ORD-168-1</t>
  </si>
  <si>
    <t>ORD-168</t>
  </si>
  <si>
    <t>USR-431085</t>
  </si>
  <si>
    <t>ST-P-00630</t>
  </si>
  <si>
    <t>ORD-364-1</t>
  </si>
  <si>
    <t>ORD-364</t>
  </si>
  <si>
    <t>USR-632143</t>
  </si>
  <si>
    <t>ST-O-00989</t>
  </si>
  <si>
    <t>ORD-367-2</t>
  </si>
  <si>
    <t>USR-532510</t>
  </si>
  <si>
    <t>ST-S-00449</t>
  </si>
  <si>
    <t>ORD-325-1</t>
  </si>
  <si>
    <t>ORD-325</t>
  </si>
  <si>
    <t>USR-995839</t>
  </si>
  <si>
    <t>ST-S-00173</t>
  </si>
  <si>
    <t>ORD-229-2</t>
  </si>
  <si>
    <t>USR-806899</t>
  </si>
  <si>
    <t>ST-O-00362</t>
  </si>
  <si>
    <t>ORD-151-1</t>
  </si>
  <si>
    <t>ORD-151</t>
  </si>
  <si>
    <t>USR-669514</t>
  </si>
  <si>
    <t>ST-O-00803</t>
  </si>
  <si>
    <t>ORD-352-1</t>
  </si>
  <si>
    <t>ORD-352</t>
  </si>
  <si>
    <t>USR-668762</t>
  </si>
  <si>
    <t>ST-S-00576</t>
  </si>
  <si>
    <t>ORD-305-1</t>
  </si>
  <si>
    <t>ORD-305</t>
  </si>
  <si>
    <t>USR-652969</t>
  </si>
  <si>
    <t>ST-P-00778</t>
  </si>
  <si>
    <t>PRD-778</t>
  </si>
  <si>
    <t>ORD-342-1</t>
  </si>
  <si>
    <t>ORD-342</t>
  </si>
  <si>
    <t>USR-279235</t>
  </si>
  <si>
    <t>ST-P-00653</t>
  </si>
  <si>
    <t>ORD-351-2</t>
  </si>
  <si>
    <t>USR-133352</t>
  </si>
  <si>
    <t>ST-S-00587</t>
  </si>
  <si>
    <t>ORD-202-1</t>
  </si>
  <si>
    <t>ORD-202</t>
  </si>
  <si>
    <t>USR-384245</t>
  </si>
  <si>
    <t>ST-O-00943</t>
  </si>
  <si>
    <t>ORD-245-1</t>
  </si>
  <si>
    <t>ORD-245</t>
  </si>
  <si>
    <t>USR-711523</t>
  </si>
  <si>
    <t>ST-P-00456</t>
  </si>
  <si>
    <t>ORD-251-1</t>
  </si>
  <si>
    <t>ORD-251</t>
  </si>
  <si>
    <t>USR-929172</t>
  </si>
  <si>
    <t>ST-P-00962</t>
  </si>
  <si>
    <t>ORD-178-2</t>
  </si>
  <si>
    <t>USR-549726</t>
  </si>
  <si>
    <t>ST-O-00529</t>
  </si>
  <si>
    <t>ORD-274-1</t>
  </si>
  <si>
    <t>ORD-274</t>
  </si>
  <si>
    <t>USR-691016</t>
  </si>
  <si>
    <t>ST-P-00462</t>
  </si>
  <si>
    <t>ORD-233-1</t>
  </si>
  <si>
    <t>ORD-233</t>
  </si>
  <si>
    <t>USR-299163</t>
  </si>
  <si>
    <t>ST-O-00266</t>
  </si>
  <si>
    <t>ORD-243-1</t>
  </si>
  <si>
    <t>ORD-243</t>
  </si>
  <si>
    <t>USR-156882</t>
  </si>
  <si>
    <t>ST-P-00934</t>
  </si>
  <si>
    <t>ORD-370-1</t>
  </si>
  <si>
    <t>ORD-370</t>
  </si>
  <si>
    <t>USR-113080</t>
  </si>
  <si>
    <t>ST-P-00290</t>
  </si>
  <si>
    <t>ORD-364-2</t>
  </si>
  <si>
    <t>USR-601589</t>
  </si>
  <si>
    <t>ST-S-00135</t>
  </si>
  <si>
    <t>ORD-267-1</t>
  </si>
  <si>
    <t>ORD-267</t>
  </si>
  <si>
    <t>USR-699527</t>
  </si>
  <si>
    <t>ST-P-00788</t>
  </si>
  <si>
    <t>ORD-221-1</t>
  </si>
  <si>
    <t>ORD-221</t>
  </si>
  <si>
    <t>USR-684072</t>
  </si>
  <si>
    <t>ST-O-00263</t>
  </si>
  <si>
    <t>ORD-170-1</t>
  </si>
  <si>
    <t>ORD-170</t>
  </si>
  <si>
    <t>USR-905875</t>
  </si>
  <si>
    <t>ST-S-00608</t>
  </si>
  <si>
    <t>ORD-375-1</t>
  </si>
  <si>
    <t>ORD-375</t>
  </si>
  <si>
    <t>USR-645713</t>
  </si>
  <si>
    <t>ST-O-00862</t>
  </si>
  <si>
    <t>ORD-244-1</t>
  </si>
  <si>
    <t>ORD-244</t>
  </si>
  <si>
    <t>USR-513472</t>
  </si>
  <si>
    <t>ST-S-00460</t>
  </si>
  <si>
    <t>ORD-259-1</t>
  </si>
  <si>
    <t>ORD-259</t>
  </si>
  <si>
    <t>USR-866158</t>
  </si>
  <si>
    <t>ST-P-00793</t>
  </si>
  <si>
    <t>ORD-343-1</t>
  </si>
  <si>
    <t>ORD-343</t>
  </si>
  <si>
    <t>USR-759407</t>
  </si>
  <si>
    <t>ST-O-00579</t>
  </si>
  <si>
    <t>ORD-160-1</t>
  </si>
  <si>
    <t>ORD-160</t>
  </si>
  <si>
    <t>USR-336202</t>
  </si>
  <si>
    <t>ST-S-00702</t>
  </si>
  <si>
    <t>ORD-268-2</t>
  </si>
  <si>
    <t>USR-220592</t>
  </si>
  <si>
    <t>ST-S-00199</t>
  </si>
  <si>
    <t>ORD-299-1</t>
  </si>
  <si>
    <t>ORD-299</t>
  </si>
  <si>
    <t>USR-443442</t>
  </si>
  <si>
    <t>ST-P-00832</t>
  </si>
  <si>
    <t>ORD-261-1</t>
  </si>
  <si>
    <t>ORD-261</t>
  </si>
  <si>
    <t>USR-591875</t>
  </si>
  <si>
    <t>ST-S-00567</t>
  </si>
  <si>
    <t>ORD-366-1</t>
  </si>
  <si>
    <t>ORD-366</t>
  </si>
  <si>
    <t>USR-163121</t>
  </si>
  <si>
    <t>ST-P-00762</t>
  </si>
  <si>
    <t>ORD-362-1</t>
  </si>
  <si>
    <t>ORD-362</t>
  </si>
  <si>
    <t>USR-684929</t>
  </si>
  <si>
    <t>ST-O-00968</t>
  </si>
  <si>
    <t>ORD-390-1</t>
  </si>
  <si>
    <t>ORD-390</t>
  </si>
  <si>
    <t>USR-541439</t>
  </si>
  <si>
    <t>ST-O-00719</t>
  </si>
  <si>
    <t>ORD-331-1</t>
  </si>
  <si>
    <t>ORD-331</t>
  </si>
  <si>
    <t>USR-220213</t>
  </si>
  <si>
    <t>ST-P-00138</t>
  </si>
  <si>
    <t>ORD-150-1</t>
  </si>
  <si>
    <t>ORD-150</t>
  </si>
  <si>
    <t>USR-661726</t>
  </si>
  <si>
    <t>ST-P-00382</t>
  </si>
  <si>
    <t>ORD-258-1</t>
  </si>
  <si>
    <t>ORD-258</t>
  </si>
  <si>
    <t>USR-475186</t>
  </si>
  <si>
    <t>ST-P-00460</t>
  </si>
  <si>
    <t>ORD-275-2</t>
  </si>
  <si>
    <t>USR-380719</t>
  </si>
  <si>
    <t>ST-O-00910</t>
  </si>
  <si>
    <t>ORD-318-1</t>
  </si>
  <si>
    <t>ORD-318</t>
  </si>
  <si>
    <t>USR-886821</t>
  </si>
  <si>
    <t>ST-O-00456</t>
  </si>
  <si>
    <t>ORD-205-3</t>
  </si>
  <si>
    <t>USR-922514</t>
  </si>
  <si>
    <t>ST-S-00489</t>
  </si>
  <si>
    <t>ORD-317-1</t>
  </si>
  <si>
    <t>ORD-317</t>
  </si>
  <si>
    <t>USR-772953</t>
  </si>
  <si>
    <t>ST-P-00475</t>
  </si>
  <si>
    <t>ORD-304-1</t>
  </si>
  <si>
    <t>ORD-304</t>
  </si>
  <si>
    <t>USR-213666</t>
  </si>
  <si>
    <t>ST-O-00741</t>
  </si>
  <si>
    <t>ORD-323-1</t>
  </si>
  <si>
    <t>ORD-323</t>
  </si>
  <si>
    <t>USR-581601</t>
  </si>
  <si>
    <t>ST-O-00990</t>
  </si>
  <si>
    <t>ORD-386-1</t>
  </si>
  <si>
    <t>ORD-386</t>
  </si>
  <si>
    <t>USR-217232</t>
  </si>
  <si>
    <t>ST-P-00730</t>
  </si>
  <si>
    <t>ORD-195-1</t>
  </si>
  <si>
    <t>ORD-195</t>
  </si>
  <si>
    <t>USR-674636</t>
  </si>
  <si>
    <t>ST-P-00414</t>
  </si>
  <si>
    <t>ORD-182-1</t>
  </si>
  <si>
    <t>ORD-182</t>
  </si>
  <si>
    <t>USR-289316</t>
  </si>
  <si>
    <t>ST-O-00698</t>
  </si>
  <si>
    <t>ORD-193-1</t>
  </si>
  <si>
    <t>ORD-193</t>
  </si>
  <si>
    <t>USR-849545</t>
  </si>
  <si>
    <t>ST-P-00686</t>
  </si>
  <si>
    <t>ORD-230-1</t>
  </si>
  <si>
    <t>ORD-230</t>
  </si>
  <si>
    <t>USR-350154</t>
  </si>
  <si>
    <t>ST-P-00891</t>
  </si>
  <si>
    <t>ORD-353-1</t>
  </si>
  <si>
    <t>ORD-353</t>
  </si>
  <si>
    <t>USR-556969</t>
  </si>
  <si>
    <t>ST-P-00478</t>
  </si>
  <si>
    <t>ORD-273-1</t>
  </si>
  <si>
    <t>ORD-273</t>
  </si>
  <si>
    <t>USR-871444</t>
  </si>
  <si>
    <t>ST-P-00643</t>
  </si>
  <si>
    <t>ORD-330-1</t>
  </si>
  <si>
    <t>ORD-330</t>
  </si>
  <si>
    <t>USR-213684</t>
  </si>
  <si>
    <t>ST-S-00268</t>
  </si>
  <si>
    <t>ORD-335-1</t>
  </si>
  <si>
    <t>ORD-335</t>
  </si>
  <si>
    <t>USR-448361</t>
  </si>
  <si>
    <t>ST-O-00422</t>
  </si>
  <si>
    <t>ORD-256-1</t>
  </si>
  <si>
    <t>ORD-256</t>
  </si>
  <si>
    <t>USR-986502</t>
  </si>
  <si>
    <t>ST-O-00281</t>
  </si>
  <si>
    <t>ORD-152-2</t>
  </si>
  <si>
    <t>USR-980907</t>
  </si>
  <si>
    <t>ST-P-00263</t>
  </si>
  <si>
    <t>ORD-289-1</t>
  </si>
  <si>
    <t>ORD-289</t>
  </si>
  <si>
    <t>USR-830386</t>
  </si>
  <si>
    <t>ST-O-00460</t>
  </si>
  <si>
    <t>ORD-381-1</t>
  </si>
  <si>
    <t>ORD-381</t>
  </si>
  <si>
    <t>USR-777447</t>
  </si>
  <si>
    <t>ST-S-00192</t>
  </si>
  <si>
    <t>ORD-350-2</t>
  </si>
  <si>
    <t>USR-975199</t>
  </si>
  <si>
    <t>ST-P-00809</t>
  </si>
  <si>
    <t>ORD-238-1</t>
  </si>
  <si>
    <t>ORD-238</t>
  </si>
  <si>
    <t>USR-257885</t>
  </si>
  <si>
    <t>ST-O-00292</t>
  </si>
  <si>
    <t>ORD-366-2</t>
  </si>
  <si>
    <t>USR-184594</t>
  </si>
  <si>
    <t>ST-P-00919</t>
  </si>
  <si>
    <t>ORD-238-2</t>
  </si>
  <si>
    <t>USR-254919</t>
  </si>
  <si>
    <t>ST-S-00249</t>
  </si>
  <si>
    <t>ORD-287-1</t>
  </si>
  <si>
    <t>ORD-287</t>
  </si>
  <si>
    <t>USR-771743</t>
  </si>
  <si>
    <t>ST-O-00819</t>
  </si>
  <si>
    <t>ORD-238-3</t>
  </si>
  <si>
    <t>USR-827093</t>
  </si>
  <si>
    <t>ORD-169-1</t>
  </si>
  <si>
    <t>ORD-169</t>
  </si>
  <si>
    <t>USR-404933</t>
  </si>
  <si>
    <t>ST-P-00969</t>
  </si>
  <si>
    <t>ORD-331-2</t>
  </si>
  <si>
    <t>USR-310894</t>
  </si>
  <si>
    <t>ST-P-00355</t>
  </si>
  <si>
    <t>ORD-239-1</t>
  </si>
  <si>
    <t>ORD-239</t>
  </si>
  <si>
    <t>USR-901286</t>
  </si>
  <si>
    <t>ST-O-00513</t>
  </si>
  <si>
    <t>ORD-228-2</t>
  </si>
  <si>
    <t>USR-257058</t>
  </si>
  <si>
    <t>ST-O-00545</t>
  </si>
  <si>
    <t>ORD-272-1</t>
  </si>
  <si>
    <t>ORD-272</t>
  </si>
  <si>
    <t>USR-327478</t>
  </si>
  <si>
    <t>ST-O-00884</t>
  </si>
  <si>
    <t>ORD-276-1</t>
  </si>
  <si>
    <t>ORD-276</t>
  </si>
  <si>
    <t>USR-794849</t>
  </si>
  <si>
    <t>ST-P-00129</t>
  </si>
  <si>
    <t>ORD-156-2</t>
  </si>
  <si>
    <t>USR-490778</t>
  </si>
  <si>
    <t>ST-O-00949</t>
  </si>
  <si>
    <t>ORD-258-2</t>
  </si>
  <si>
    <t>USR-379598</t>
  </si>
  <si>
    <t>ST-P-00423</t>
  </si>
  <si>
    <t>ORD-364-3</t>
  </si>
  <si>
    <t>USR-990350</t>
  </si>
  <si>
    <t>ST-S-00931</t>
  </si>
  <si>
    <t>ORD-337-2</t>
  </si>
  <si>
    <t>USR-348775</t>
  </si>
  <si>
    <t>ST-P-00438</t>
  </si>
  <si>
    <t>ORD-314-2</t>
  </si>
  <si>
    <t>USR-864704</t>
  </si>
  <si>
    <t>ST-S-00193</t>
  </si>
  <si>
    <t>ORD-325-2</t>
  </si>
  <si>
    <t>USR-337965</t>
  </si>
  <si>
    <t>ST-O-00427</t>
  </si>
  <si>
    <t>ORD-223-1</t>
  </si>
  <si>
    <t>ORD-223</t>
  </si>
  <si>
    <t>USR-876160</t>
  </si>
  <si>
    <t>ST-O-00695</t>
  </si>
  <si>
    <t>ORD-220-1</t>
  </si>
  <si>
    <t>ORD-220</t>
  </si>
  <si>
    <t>USR-336175</t>
  </si>
  <si>
    <t>ST-P-00598</t>
  </si>
  <si>
    <t>ORD-253-3</t>
  </si>
  <si>
    <t>USR-168433</t>
  </si>
  <si>
    <t>ST-P-00582</t>
  </si>
  <si>
    <t>ORD-384-2</t>
  </si>
  <si>
    <t>USR-439450</t>
  </si>
  <si>
    <t>ST-O-00723</t>
  </si>
  <si>
    <t>ORD-371-1</t>
  </si>
  <si>
    <t>ORD-371</t>
  </si>
  <si>
    <t>USR-994960</t>
  </si>
  <si>
    <t>ST-P-00267</t>
  </si>
  <si>
    <t>ORD-243-2</t>
  </si>
  <si>
    <t>USR-831490</t>
  </si>
  <si>
    <t>ST-O-00215</t>
  </si>
  <si>
    <t>ORD-165-1</t>
  </si>
  <si>
    <t>ORD-165</t>
  </si>
  <si>
    <t>USR-583845</t>
  </si>
  <si>
    <t>ST-P-00367</t>
  </si>
  <si>
    <t>ORD-225-1</t>
  </si>
  <si>
    <t>ORD-225</t>
  </si>
  <si>
    <t>USR-905263</t>
  </si>
  <si>
    <t>ST-P-00340</t>
  </si>
  <si>
    <t>ORD-331-3</t>
  </si>
  <si>
    <t>USR-930655</t>
  </si>
  <si>
    <t>ST-S-00458</t>
  </si>
  <si>
    <t>ORD-209-1</t>
  </si>
  <si>
    <t>ORD-209</t>
  </si>
  <si>
    <t>USR-845848</t>
  </si>
  <si>
    <t>ST-O-00685</t>
  </si>
  <si>
    <t>ORD-154-1</t>
  </si>
  <si>
    <t>ORD-154</t>
  </si>
  <si>
    <t>USR-644074</t>
  </si>
  <si>
    <t>ST-P-00408</t>
  </si>
  <si>
    <t>ORD-331-4</t>
  </si>
  <si>
    <t>USR-431534</t>
  </si>
  <si>
    <t>ST-P-00562</t>
  </si>
  <si>
    <t>ORD-318-2</t>
  </si>
  <si>
    <t>USR-952055</t>
  </si>
  <si>
    <t>ST-O-00662</t>
  </si>
  <si>
    <t>ORD-343-2</t>
  </si>
  <si>
    <t>USR-267219</t>
  </si>
  <si>
    <t>ST-P-00952</t>
  </si>
  <si>
    <t>ORD-358-3</t>
  </si>
  <si>
    <t>USR-678828</t>
  </si>
  <si>
    <t>ST-O-00839</t>
  </si>
  <si>
    <t>ORD-159-1</t>
  </si>
  <si>
    <t>ORD-159</t>
  </si>
  <si>
    <t>USR-600467</t>
  </si>
  <si>
    <t>ST-S-00475</t>
  </si>
  <si>
    <t>ORD-248-2</t>
  </si>
  <si>
    <t>USR-761218</t>
  </si>
  <si>
    <t>ST-S-00490</t>
  </si>
  <si>
    <t>ORD-220-2</t>
  </si>
  <si>
    <t>USR-835200</t>
  </si>
  <si>
    <t>ST-O-00256</t>
  </si>
  <si>
    <t>ORD-165-2</t>
  </si>
  <si>
    <t>USR-169691</t>
  </si>
  <si>
    <t>ST-O-00534</t>
  </si>
  <si>
    <t>ORD-378-1</t>
  </si>
  <si>
    <t>ORD-378</t>
  </si>
  <si>
    <t>USR-677948</t>
  </si>
  <si>
    <t>ST-O-00303</t>
  </si>
  <si>
    <t>ORD-196-1</t>
  </si>
  <si>
    <t>ORD-196</t>
  </si>
  <si>
    <t>USR-496074</t>
  </si>
  <si>
    <t>ORD-313-1</t>
  </si>
  <si>
    <t>ORD-313</t>
  </si>
  <si>
    <t>USR-276457</t>
  </si>
  <si>
    <t>ST-S-00282</t>
  </si>
  <si>
    <t>ORD-193-2</t>
  </si>
  <si>
    <t>USR-757163</t>
  </si>
  <si>
    <t>ST-P-00193</t>
  </si>
  <si>
    <t>ORD-160-2</t>
  </si>
  <si>
    <t>USR-848113</t>
  </si>
  <si>
    <t>ST-O-00756</t>
  </si>
  <si>
    <t>ORD-305-2</t>
  </si>
  <si>
    <t>USR-162054</t>
  </si>
  <si>
    <t>ST-S-00187</t>
  </si>
  <si>
    <t>ORD-178-3</t>
  </si>
  <si>
    <t>USR-237037</t>
  </si>
  <si>
    <t>ST-O-00509</t>
  </si>
  <si>
    <t>ORD-260-1</t>
  </si>
  <si>
    <t>ORD-260</t>
  </si>
  <si>
    <t>USR-392695</t>
  </si>
  <si>
    <t>ST-P-00677</t>
  </si>
  <si>
    <t>ORD-348-1</t>
  </si>
  <si>
    <t>ORD-348</t>
  </si>
  <si>
    <t>USR-895231</t>
  </si>
  <si>
    <t>ST-S-00125</t>
  </si>
  <si>
    <t>ORD-179-1</t>
  </si>
  <si>
    <t>ORD-179</t>
  </si>
  <si>
    <t>USR-618021</t>
  </si>
  <si>
    <t>ST-P-00161</t>
  </si>
  <si>
    <t>ORD-188-2</t>
  </si>
  <si>
    <t>USR-161574</t>
  </si>
  <si>
    <t>ST-O-00598</t>
  </si>
  <si>
    <t>ORD-224-2</t>
  </si>
  <si>
    <t>USR-694982</t>
  </si>
  <si>
    <t>ST-P-00897</t>
  </si>
  <si>
    <t>ORD-276-2</t>
  </si>
  <si>
    <t>USR-470221</t>
  </si>
  <si>
    <t>ST-P-00661</t>
  </si>
  <si>
    <t>ORD-188-3</t>
  </si>
  <si>
    <t>USR-460939</t>
  </si>
  <si>
    <t>ST-S-00152</t>
  </si>
  <si>
    <t>ORD-321-2</t>
  </si>
  <si>
    <t>USR-900674</t>
  </si>
  <si>
    <t>ST-O-00392</t>
  </si>
  <si>
    <t>ORD-320-1</t>
  </si>
  <si>
    <t>ORD-320</t>
  </si>
  <si>
    <t>USR-658546</t>
  </si>
  <si>
    <t>ST-P-00865</t>
  </si>
  <si>
    <t>ORD-386-2</t>
  </si>
  <si>
    <t>USR-370625</t>
  </si>
  <si>
    <t>ST-P-00619</t>
  </si>
  <si>
    <t>ORD-231-3</t>
  </si>
  <si>
    <t>USR-953869</t>
  </si>
  <si>
    <t>ST-O-00247</t>
  </si>
  <si>
    <t>ORD-377-1</t>
  </si>
  <si>
    <t>ORD-377</t>
  </si>
  <si>
    <t>USR-777187</t>
  </si>
  <si>
    <t>ST-S-00724</t>
  </si>
  <si>
    <t>ORD-275-3</t>
  </si>
  <si>
    <t>USR-948077</t>
  </si>
  <si>
    <t>ST-S-00465</t>
  </si>
  <si>
    <t>ORD-213-2</t>
  </si>
  <si>
    <t>USR-614911</t>
  </si>
  <si>
    <t>ST-S-00409</t>
  </si>
  <si>
    <t>ORD-224-3</t>
  </si>
  <si>
    <t>USR-977926</t>
  </si>
  <si>
    <t>ST-O-00536</t>
  </si>
  <si>
    <t>ORD-319-1</t>
  </si>
  <si>
    <t>ORD-319</t>
  </si>
  <si>
    <t>USR-591204</t>
  </si>
  <si>
    <t>ST-P-00798</t>
  </si>
  <si>
    <t>ORD-375-2</t>
  </si>
  <si>
    <t>USR-211344</t>
  </si>
  <si>
    <t>ST-S-00483</t>
  </si>
  <si>
    <t>ORD-373-1</t>
  </si>
  <si>
    <t>ORD-373</t>
  </si>
  <si>
    <t>USR-442525</t>
  </si>
  <si>
    <t>ST-S-00635</t>
  </si>
  <si>
    <t>ORD-370-2</t>
  </si>
  <si>
    <t>USR-626812</t>
  </si>
  <si>
    <t>ST-P-00524</t>
  </si>
  <si>
    <t>ORD-326-1</t>
  </si>
  <si>
    <t>ORD-326</t>
  </si>
  <si>
    <t>USR-831580</t>
  </si>
  <si>
    <t>ST-S-00148</t>
  </si>
  <si>
    <t>ORD-378-2</t>
  </si>
  <si>
    <t>USR-625565</t>
  </si>
  <si>
    <t>ST-O-00981</t>
  </si>
  <si>
    <t>ORD-309-1</t>
  </si>
  <si>
    <t>ORD-309</t>
  </si>
  <si>
    <t>USR-717144</t>
  </si>
  <si>
    <t>ST-S-00387</t>
  </si>
  <si>
    <t>ORD-343-3</t>
  </si>
  <si>
    <t>USR-720808</t>
  </si>
  <si>
    <t>ST-P-00473</t>
  </si>
  <si>
    <t>ORD-202-2</t>
  </si>
  <si>
    <t>USR-149115</t>
  </si>
  <si>
    <t>ST-S-00762</t>
  </si>
  <si>
    <t>ORD-191-1</t>
  </si>
  <si>
    <t>ORD-191</t>
  </si>
  <si>
    <t>USR-353231</t>
  </si>
  <si>
    <t>ORD-347-1</t>
  </si>
  <si>
    <t>ORD-347</t>
  </si>
  <si>
    <t>USR-507066</t>
  </si>
  <si>
    <t>ST-P-00146</t>
  </si>
  <si>
    <t>ORD-318-3</t>
  </si>
  <si>
    <t>USR-179656</t>
  </si>
  <si>
    <t>ST-S-00968</t>
  </si>
  <si>
    <t>ORD-322-1</t>
  </si>
  <si>
    <t>ORD-322</t>
  </si>
  <si>
    <t>USR-433878</t>
  </si>
  <si>
    <t>ST-S-00607</t>
  </si>
  <si>
    <t>ORD-302-1</t>
  </si>
  <si>
    <t>ORD-302</t>
  </si>
  <si>
    <t>USR-350234</t>
  </si>
  <si>
    <t>ST-O-00377</t>
  </si>
  <si>
    <t>ORD-276-3</t>
  </si>
  <si>
    <t>USR-111382</t>
  </si>
  <si>
    <t>ST-S-00267</t>
  </si>
  <si>
    <t>ORD-219-2</t>
  </si>
  <si>
    <t>USR-965427</t>
  </si>
  <si>
    <t>ST-P-00792</t>
  </si>
  <si>
    <t>ORD-254-1</t>
  </si>
  <si>
    <t>ORD-254</t>
  </si>
  <si>
    <t>USR-553577</t>
  </si>
  <si>
    <t>ST-S-00642</t>
  </si>
  <si>
    <t>ORD-384-3</t>
  </si>
  <si>
    <t>USR-133539</t>
  </si>
  <si>
    <t>ST-S-00862</t>
  </si>
  <si>
    <t>ORD-389-1</t>
  </si>
  <si>
    <t>ORD-389</t>
  </si>
  <si>
    <t>USR-137458</t>
  </si>
  <si>
    <t>ST-P-00645</t>
  </si>
  <si>
    <t>ORD-259-2</t>
  </si>
  <si>
    <t>USR-617537</t>
  </si>
  <si>
    <t>ST-O-00526</t>
  </si>
  <si>
    <t>ORD-371-2</t>
  </si>
  <si>
    <t>USR-922354</t>
  </si>
  <si>
    <t>ORD-288-1</t>
  </si>
  <si>
    <t>ORD-288</t>
  </si>
  <si>
    <t>USR-918171</t>
  </si>
  <si>
    <t>ST-S-00368</t>
  </si>
  <si>
    <t>ORD-302-2</t>
  </si>
  <si>
    <t>USR-398242</t>
  </si>
  <si>
    <t>ST-S-00137</t>
  </si>
  <si>
    <t>ORD-322-2</t>
  </si>
  <si>
    <t>USR-332331</t>
  </si>
  <si>
    <t>ORD-312-2</t>
  </si>
  <si>
    <t>USR-407733</t>
  </si>
  <si>
    <t>ST-S-00437</t>
  </si>
  <si>
    <t>ORD-379-1</t>
  </si>
  <si>
    <t>ORD-379</t>
  </si>
  <si>
    <t>USR-603741</t>
  </si>
  <si>
    <t>ST-S-00745</t>
  </si>
  <si>
    <t>ORD-188-4</t>
  </si>
  <si>
    <t>USR-160559</t>
  </si>
  <si>
    <t>ST-S-00788</t>
  </si>
  <si>
    <t>ORD-190-1</t>
  </si>
  <si>
    <t>ORD-190</t>
  </si>
  <si>
    <t>USR-468090</t>
  </si>
  <si>
    <t>ST-O-00228</t>
  </si>
  <si>
    <t>ORD-384-4</t>
  </si>
  <si>
    <t>USR-932053</t>
  </si>
  <si>
    <t>ST-O-00998</t>
  </si>
  <si>
    <t>ORD-240-1</t>
  </si>
  <si>
    <t>ORD-240</t>
  </si>
  <si>
    <t>USR-883194</t>
  </si>
  <si>
    <t>ST-O-00523</t>
  </si>
  <si>
    <t>ORD-279-1</t>
  </si>
  <si>
    <t>ORD-279</t>
  </si>
  <si>
    <t>USR-172887</t>
  </si>
  <si>
    <t>ST-P-00168</t>
  </si>
  <si>
    <t>ORD-230-2</t>
  </si>
  <si>
    <t>USR-949797</t>
  </si>
  <si>
    <t>ST-O-00120</t>
  </si>
  <si>
    <t>ORD-167-1</t>
  </si>
  <si>
    <t>ORD-167</t>
  </si>
  <si>
    <t>USR-156600</t>
  </si>
  <si>
    <t>ST-P-00710</t>
  </si>
  <si>
    <t>ORD-178-4</t>
  </si>
  <si>
    <t>USR-819227</t>
  </si>
  <si>
    <t>ORD-216-1</t>
  </si>
  <si>
    <t>ORD-216</t>
  </si>
  <si>
    <t>USR-496372</t>
  </si>
  <si>
    <t>ST-S-00946</t>
  </si>
  <si>
    <t>ORD-380-1</t>
  </si>
  <si>
    <t>ORD-380</t>
  </si>
  <si>
    <t>USR-426281</t>
  </si>
  <si>
    <t>ST-P-00272</t>
  </si>
  <si>
    <t>ORD-163-1</t>
  </si>
  <si>
    <t>ORD-163</t>
  </si>
  <si>
    <t>USR-968508</t>
  </si>
  <si>
    <t>ST-P-00194</t>
  </si>
  <si>
    <t>ORD-315-1</t>
  </si>
  <si>
    <t>ORD-315</t>
  </si>
  <si>
    <t>USR-950014</t>
  </si>
  <si>
    <t>ST-S-00812</t>
  </si>
  <si>
    <t>ORD-323-2</t>
  </si>
  <si>
    <t>USR-155493</t>
  </si>
  <si>
    <t>ST-S-00598</t>
  </si>
  <si>
    <t>ORD-199-3</t>
  </si>
  <si>
    <t>USR-151695</t>
  </si>
  <si>
    <t>ST-P-00665</t>
  </si>
  <si>
    <t>ORD-377-2</t>
  </si>
  <si>
    <t>USR-289809</t>
  </si>
  <si>
    <t>ST-S-00456</t>
  </si>
  <si>
    <t>ORD-245-2</t>
  </si>
  <si>
    <t>USR-933303</t>
  </si>
  <si>
    <t>ST-S-00317</t>
  </si>
  <si>
    <t>ORD-300-1</t>
  </si>
  <si>
    <t>ORD-300</t>
  </si>
  <si>
    <t>USR-490336</t>
  </si>
  <si>
    <t>ST-O-00807</t>
  </si>
  <si>
    <t>ORD-262-2</t>
  </si>
  <si>
    <t>USR-157603</t>
  </si>
  <si>
    <t>ST-O-00622</t>
  </si>
  <si>
    <t>ORD-153-1</t>
  </si>
  <si>
    <t>ORD-153</t>
  </si>
  <si>
    <t>USR-691261</t>
  </si>
  <si>
    <t>ST-P-00725</t>
  </si>
  <si>
    <t>ORD-163-2</t>
  </si>
  <si>
    <t>USR-857998</t>
  </si>
  <si>
    <t>ST-O-00881</t>
  </si>
  <si>
    <t>ORD-219-3</t>
  </si>
  <si>
    <t>USR-941544</t>
  </si>
  <si>
    <t>ST-O-00177</t>
  </si>
  <si>
    <t>ORD-256-2</t>
  </si>
  <si>
    <t>USR-793243</t>
  </si>
  <si>
    <t>ORD-264-1</t>
  </si>
  <si>
    <t>ORD-264</t>
  </si>
  <si>
    <t>USR-967175</t>
  </si>
  <si>
    <t>ST-S-00501</t>
  </si>
  <si>
    <t>ORD-333-1</t>
  </si>
  <si>
    <t>ORD-333</t>
  </si>
  <si>
    <t>USR-347935</t>
  </si>
  <si>
    <t>ST-O-00762</t>
  </si>
  <si>
    <t>ORD-380-2</t>
  </si>
  <si>
    <t>USR-670483</t>
  </si>
  <si>
    <t>ST-O-00347</t>
  </si>
  <si>
    <t>ORD-318-4</t>
  </si>
  <si>
    <t>USR-964978</t>
  </si>
  <si>
    <t>ST-S-00130</t>
  </si>
  <si>
    <t>ORD-385-1</t>
  </si>
  <si>
    <t>ORD-385</t>
  </si>
  <si>
    <t>USR-445036</t>
  </si>
  <si>
    <t>ST-S-00593</t>
  </si>
  <si>
    <t>ORD-373-2</t>
  </si>
  <si>
    <t>USR-301004</t>
  </si>
  <si>
    <t>ST-O-00494</t>
  </si>
  <si>
    <t>ORD-264-2</t>
  </si>
  <si>
    <t>USR-175441</t>
  </si>
  <si>
    <t>ST-P-00373</t>
  </si>
  <si>
    <t>ORD-178-5</t>
  </si>
  <si>
    <t>USR-429382</t>
  </si>
  <si>
    <t>ST-S-00136</t>
  </si>
  <si>
    <t>ORD-321-3</t>
  </si>
  <si>
    <t>USR-596426</t>
  </si>
  <si>
    <t>ORD-276-4</t>
  </si>
  <si>
    <t>USR-297152</t>
  </si>
  <si>
    <t>ST-O-00469</t>
  </si>
  <si>
    <t>ORD-168-2</t>
  </si>
  <si>
    <t>USR-981011</t>
  </si>
  <si>
    <t>ST-O-00759</t>
  </si>
  <si>
    <t>ORD-181-1</t>
  </si>
  <si>
    <t>ORD-181</t>
  </si>
  <si>
    <t>USR-117015</t>
  </si>
  <si>
    <t>ST-S-00326</t>
  </si>
  <si>
    <t>ORD-242-1</t>
  </si>
  <si>
    <t>ORD-242</t>
  </si>
  <si>
    <t>USR-436095</t>
  </si>
  <si>
    <t>ORD-293-1</t>
  </si>
  <si>
    <t>ORD-293</t>
  </si>
  <si>
    <t>USR-903534</t>
  </si>
  <si>
    <t>ST-P-00606</t>
  </si>
  <si>
    <t>ORD-375-3</t>
  </si>
  <si>
    <t>USR-872789</t>
  </si>
  <si>
    <t>ORD-183-1</t>
  </si>
  <si>
    <t>ORD-183</t>
  </si>
  <si>
    <t>USR-972031</t>
  </si>
  <si>
    <t>ST-S-00471</t>
  </si>
  <si>
    <t>ORD-255-1</t>
  </si>
  <si>
    <t>ORD-255</t>
  </si>
  <si>
    <t>USR-277321</t>
  </si>
  <si>
    <t>ST-P-00211</t>
  </si>
  <si>
    <t>ORD-336-2</t>
  </si>
  <si>
    <t>USR-146539</t>
  </si>
  <si>
    <t>ST-S-00828</t>
  </si>
  <si>
    <t>ORD-238-4</t>
  </si>
  <si>
    <t>USR-903606</t>
  </si>
  <si>
    <t>ST-S-00327</t>
  </si>
  <si>
    <t>ORD-341-1</t>
  </si>
  <si>
    <t>ORD-341</t>
  </si>
  <si>
    <t>USR-653295</t>
  </si>
  <si>
    <t>ST-S-00332</t>
  </si>
  <si>
    <t>ORD-303-1</t>
  </si>
  <si>
    <t>ORD-303</t>
  </si>
  <si>
    <t>USR-714926</t>
  </si>
  <si>
    <t>ST-S-00156</t>
  </si>
  <si>
    <t>ORD-338-1</t>
  </si>
  <si>
    <t>ORD-338</t>
  </si>
  <si>
    <t>USR-672264</t>
  </si>
  <si>
    <t>ST-O-00797</t>
  </si>
  <si>
    <t>ORD-213-3</t>
  </si>
  <si>
    <t>USR-219463</t>
  </si>
  <si>
    <t>ST-P-00776</t>
  </si>
  <si>
    <t>ORD-219-4</t>
  </si>
  <si>
    <t>USR-525044</t>
  </si>
  <si>
    <t>ST-O-00976</t>
  </si>
  <si>
    <t>ORD-372-1</t>
  </si>
  <si>
    <t>ORD-372</t>
  </si>
  <si>
    <t>USR-470906</t>
  </si>
  <si>
    <t>ST-P-00728</t>
  </si>
  <si>
    <t>ORD-259-3</t>
  </si>
  <si>
    <t>USR-692756</t>
  </si>
  <si>
    <t>ST-P-00388</t>
  </si>
  <si>
    <t>ORD-225-2</t>
  </si>
  <si>
    <t>USR-682267</t>
  </si>
  <si>
    <t>ST-O-00616</t>
  </si>
  <si>
    <t>ORD-322-3</t>
  </si>
  <si>
    <t>USR-945335</t>
  </si>
  <si>
    <t>ST-O-00727</t>
  </si>
  <si>
    <t>ORD-385-2</t>
  </si>
  <si>
    <t>USR-924210</t>
  </si>
  <si>
    <t>ST-P-00607</t>
  </si>
  <si>
    <t>ORD-317-2</t>
  </si>
  <si>
    <t>USR-539966</t>
  </si>
  <si>
    <t>ST-P-00329</t>
  </si>
  <si>
    <t>ORD-372-2</t>
  </si>
  <si>
    <t>USR-121625</t>
  </si>
  <si>
    <t>ST-S-00434</t>
  </si>
  <si>
    <t>ORD-179-2</t>
  </si>
  <si>
    <t>USR-412226</t>
  </si>
  <si>
    <t>ST-P-00533</t>
  </si>
  <si>
    <t>ORD-365-3</t>
  </si>
  <si>
    <t>USR-857688</t>
  </si>
  <si>
    <t>ST-S-00792</t>
  </si>
  <si>
    <t>ORD-197-1</t>
  </si>
  <si>
    <t>ORD-197</t>
  </si>
  <si>
    <t>USR-736856</t>
  </si>
  <si>
    <t>ST-O-00706</t>
  </si>
  <si>
    <t>ORD-210-1</t>
  </si>
  <si>
    <t>ORD-210</t>
  </si>
  <si>
    <t>USR-905876</t>
  </si>
  <si>
    <t>ST-P-00499</t>
  </si>
  <si>
    <t>ORD-270-1</t>
  </si>
  <si>
    <t>ORD-270</t>
  </si>
  <si>
    <t>USR-759397</t>
  </si>
  <si>
    <t>ST-P-00781</t>
  </si>
  <si>
    <t>ORD-328-1</t>
  </si>
  <si>
    <t>ORD-328</t>
  </si>
  <si>
    <t>USR-904519</t>
  </si>
  <si>
    <t>ST-O-00515</t>
  </si>
  <si>
    <t>ORD-224-4</t>
  </si>
  <si>
    <t>USR-879705</t>
  </si>
  <si>
    <t>ORD-328-2</t>
  </si>
  <si>
    <t>USR-882779</t>
  </si>
  <si>
    <t>ST-S-00245</t>
  </si>
  <si>
    <t>ORD-337-3</t>
  </si>
  <si>
    <t>USR-527468</t>
  </si>
  <si>
    <t>ST-O-00218</t>
  </si>
  <si>
    <t>ORD-334-1</t>
  </si>
  <si>
    <t>ORD-334</t>
  </si>
  <si>
    <t>USR-189042</t>
  </si>
  <si>
    <t>ST-P-00537</t>
  </si>
  <si>
    <t>ORD-151-2</t>
  </si>
  <si>
    <t>USR-406176</t>
  </si>
  <si>
    <t>ST-O-00190</t>
  </si>
  <si>
    <t>ORD-357-1</t>
  </si>
  <si>
    <t>ORD-357</t>
  </si>
  <si>
    <t>USR-806430</t>
  </si>
  <si>
    <t>ST-O-00271</t>
  </si>
  <si>
    <t>ORD-226-1</t>
  </si>
  <si>
    <t>ORD-226</t>
  </si>
  <si>
    <t>USR-710281</t>
  </si>
  <si>
    <t>ORD-291-1</t>
  </si>
  <si>
    <t>ORD-291</t>
  </si>
  <si>
    <t>USR-132437</t>
  </si>
  <si>
    <t>ST-S-00505</t>
  </si>
  <si>
    <t>ORD-375-4</t>
  </si>
  <si>
    <t>USR-158682</t>
  </si>
  <si>
    <t>ST-S-00810</t>
  </si>
  <si>
    <t>ORD-250-2</t>
  </si>
  <si>
    <t>USR-481000</t>
  </si>
  <si>
    <t>ST-P-00247</t>
  </si>
  <si>
    <t>ORD-203-1</t>
  </si>
  <si>
    <t>ORD-203</t>
  </si>
  <si>
    <t>USR-742023</t>
  </si>
  <si>
    <t>ST-S-00419</t>
  </si>
  <si>
    <t>ORD-287-2</t>
  </si>
  <si>
    <t>USR-807745</t>
  </si>
  <si>
    <t>ST-P-00680</t>
  </si>
  <si>
    <t>ORD-267-2</t>
  </si>
  <si>
    <t>USR-940828</t>
  </si>
  <si>
    <t>ST-S-00488</t>
  </si>
  <si>
    <t>ORD-294-2</t>
  </si>
  <si>
    <t>USR-396360</t>
  </si>
  <si>
    <t>ORD-389-2</t>
  </si>
  <si>
    <t>USR-162376</t>
  </si>
  <si>
    <t>ST-S-00115</t>
  </si>
  <si>
    <t>ORD-202-3</t>
  </si>
  <si>
    <t>USR-387460</t>
  </si>
  <si>
    <t>ST-S-00482</t>
  </si>
  <si>
    <t>ORD-352-2</t>
  </si>
  <si>
    <t>USR-673650</t>
  </si>
  <si>
    <t>ST-S-00217</t>
  </si>
  <si>
    <t>ORD-247-1</t>
  </si>
  <si>
    <t>ORD-247</t>
  </si>
  <si>
    <t>USR-806690</t>
  </si>
  <si>
    <t>ST-S-00423</t>
  </si>
  <si>
    <t>ORD-164-3</t>
  </si>
  <si>
    <t>USR-932623</t>
  </si>
  <si>
    <t>ST-P-00656</t>
  </si>
  <si>
    <t>ORD-377-3</t>
  </si>
  <si>
    <t>USR-287719</t>
  </si>
  <si>
    <t>ST-S-00979</t>
  </si>
  <si>
    <t>ORD-358-4</t>
  </si>
  <si>
    <t>USR-388299</t>
  </si>
  <si>
    <t>ST-S-00664</t>
  </si>
  <si>
    <t>ORD-166-1</t>
  </si>
  <si>
    <t>ORD-166</t>
  </si>
  <si>
    <t>USR-407729</t>
  </si>
  <si>
    <t>ST-S-00790</t>
  </si>
  <si>
    <t>ORD-218-1</t>
  </si>
  <si>
    <t>ORD-218</t>
  </si>
  <si>
    <t>USR-890879</t>
  </si>
  <si>
    <t>ST-O-00130</t>
  </si>
  <si>
    <t>ORD-227-1</t>
  </si>
  <si>
    <t>ORD-227</t>
  </si>
  <si>
    <t>USR-727853</t>
  </si>
  <si>
    <t>ST-S-00355</t>
  </si>
  <si>
    <t>ORD-249-1</t>
  </si>
  <si>
    <t>ORD-249</t>
  </si>
  <si>
    <t>USR-945980</t>
  </si>
  <si>
    <t>ST-S-00564</t>
  </si>
  <si>
    <t>ORD-291-2</t>
  </si>
  <si>
    <t>USR-552836</t>
  </si>
  <si>
    <t>ST-O-00499</t>
  </si>
  <si>
    <t>ORD-336-3</t>
  </si>
  <si>
    <t>USR-678978</t>
  </si>
  <si>
    <t>ST-O-00405</t>
  </si>
  <si>
    <t>ORD-335-2</t>
  </si>
  <si>
    <t>USR-498993</t>
  </si>
  <si>
    <t>ST-S-00935</t>
  </si>
  <si>
    <t>ORD-358-5</t>
  </si>
  <si>
    <t>USR-801815</t>
  </si>
  <si>
    <t>ST-P-00525</t>
  </si>
  <si>
    <t>ORD-186-1</t>
  </si>
  <si>
    <t>ORD-186</t>
  </si>
  <si>
    <t>USR-145230</t>
  </si>
  <si>
    <t>ST-S-00349</t>
  </si>
  <si>
    <t>ORD-343-4</t>
  </si>
  <si>
    <t>USR-534283</t>
  </si>
  <si>
    <t>ST-P-00397</t>
  </si>
  <si>
    <t>ORD-197-2</t>
  </si>
  <si>
    <t>USR-543708</t>
  </si>
  <si>
    <t>ST-O-00846</t>
  </si>
  <si>
    <t>ORD-353-2</t>
  </si>
  <si>
    <t>USR-379878</t>
  </si>
  <si>
    <t>ST-O-00650</t>
  </si>
  <si>
    <t>ORD-278-1</t>
  </si>
  <si>
    <t>ORD-278</t>
  </si>
  <si>
    <t>USR-482549</t>
  </si>
  <si>
    <t>ST-P-00393</t>
  </si>
  <si>
    <t>ORD-232-1</t>
  </si>
  <si>
    <t>ORD-232</t>
  </si>
  <si>
    <t>USR-714526</t>
  </si>
  <si>
    <t>ST-S-00176</t>
  </si>
  <si>
    <t>ORD-379-2</t>
  </si>
  <si>
    <t>USR-695980</t>
  </si>
  <si>
    <t>ST-S-00531</t>
  </si>
  <si>
    <t>ORD-162-2</t>
  </si>
  <si>
    <t>USR-260208</t>
  </si>
  <si>
    <t>ST-S-00509</t>
  </si>
  <si>
    <t>ORD-292-1</t>
  </si>
  <si>
    <t>ORD-292</t>
  </si>
  <si>
    <t>USR-871421</t>
  </si>
  <si>
    <t>ST-P-00154</t>
  </si>
  <si>
    <t>ORD-194-1</t>
  </si>
  <si>
    <t>ORD-194</t>
  </si>
  <si>
    <t>USR-262521</t>
  </si>
  <si>
    <t>ST-S-00917</t>
  </si>
  <si>
    <t>ORD-245-3</t>
  </si>
  <si>
    <t>USR-797298</t>
  </si>
  <si>
    <t>ST-P-00306</t>
  </si>
  <si>
    <t>ORD-268-3</t>
  </si>
  <si>
    <t>USR-323024</t>
  </si>
  <si>
    <t>ST-O-00603</t>
  </si>
  <si>
    <t>ORD-198-1</t>
  </si>
  <si>
    <t>ORD-198</t>
  </si>
  <si>
    <t>USR-759696</t>
  </si>
  <si>
    <t>ST-S-00260</t>
  </si>
  <si>
    <t>ORD-278-2</t>
  </si>
  <si>
    <t>USR-973050</t>
  </si>
  <si>
    <t>ST-P-00140</t>
  </si>
  <si>
    <t>ORD-207-2</t>
  </si>
  <si>
    <t>USR-219600</t>
  </si>
  <si>
    <t>ORD-234-1</t>
  </si>
  <si>
    <t>ORD-234</t>
  </si>
  <si>
    <t>USR-670434</t>
  </si>
  <si>
    <t>ST-P-00505</t>
  </si>
  <si>
    <t>ORD-272-2</t>
  </si>
  <si>
    <t>USR-374839</t>
  </si>
  <si>
    <t>ST-S-00422</t>
  </si>
  <si>
    <t>ORD-160-3</t>
  </si>
  <si>
    <t>USR-613512</t>
  </si>
  <si>
    <t>ST-S-00238</t>
  </si>
  <si>
    <t>ORD-320-2</t>
  </si>
  <si>
    <t>USR-473589</t>
  </si>
  <si>
    <t>ORD-266-2</t>
  </si>
  <si>
    <t>USR-776922</t>
  </si>
  <si>
    <t>ST-P-00220</t>
  </si>
  <si>
    <t>ORD-218-2</t>
  </si>
  <si>
    <t>USR-689416</t>
  </si>
  <si>
    <t>ORD-219-5</t>
  </si>
  <si>
    <t>USR-501434</t>
  </si>
  <si>
    <t>ST-S-00441</t>
  </si>
  <si>
    <t>ORD-244-2</t>
  </si>
  <si>
    <t>USR-431926</t>
  </si>
  <si>
    <t>ST-S-00615</t>
  </si>
  <si>
    <t>ORD-363-1</t>
  </si>
  <si>
    <t>ORD-363</t>
  </si>
  <si>
    <t>USR-542921</t>
  </si>
  <si>
    <t>ST-S-00357</t>
  </si>
  <si>
    <t>ORD-336-4</t>
  </si>
  <si>
    <t>USR-873442</t>
  </si>
  <si>
    <t>ST-S-00645</t>
  </si>
  <si>
    <t>ORD-373-3</t>
  </si>
  <si>
    <t>USR-792032</t>
  </si>
  <si>
    <t>ST-O-00404</t>
  </si>
  <si>
    <t>ORD-375-5</t>
  </si>
  <si>
    <t>USR-758478</t>
  </si>
  <si>
    <t>ST-S-00838</t>
  </si>
  <si>
    <t>ORD-172-1</t>
  </si>
  <si>
    <t>ORD-172</t>
  </si>
  <si>
    <t>USR-889103</t>
  </si>
  <si>
    <t>ST-P-00926</t>
  </si>
  <si>
    <t>ORD-203-2</t>
  </si>
  <si>
    <t>USR-315459</t>
  </si>
  <si>
    <t>ST-P-00394</t>
  </si>
  <si>
    <t>ORD-295-1</t>
  </si>
  <si>
    <t>ORD-295</t>
  </si>
  <si>
    <t>USR-842320</t>
  </si>
  <si>
    <t>ST-S-00554</t>
  </si>
  <si>
    <t>ORD-345-1</t>
  </si>
  <si>
    <t>ORD-345</t>
  </si>
  <si>
    <t>USR-317250</t>
  </si>
  <si>
    <t>ST-O-00112</t>
  </si>
  <si>
    <t>ORD-274-2</t>
  </si>
  <si>
    <t>USR-427962</t>
  </si>
  <si>
    <t>ST-S-00209</t>
  </si>
  <si>
    <t>ORD-291-3</t>
  </si>
  <si>
    <t>USR-456700</t>
  </si>
  <si>
    <t>ST-P-00252</t>
  </si>
  <si>
    <t>ORD-299-2</t>
  </si>
  <si>
    <t>USR-166917</t>
  </si>
  <si>
    <t>ST-O-00673</t>
  </si>
  <si>
    <t>ORD-373-4</t>
  </si>
  <si>
    <t>USR-787744</t>
  </si>
  <si>
    <t>ST-O-00238</t>
  </si>
  <si>
    <t>ORD-331-5</t>
  </si>
  <si>
    <t>USR-822277</t>
  </si>
  <si>
    <t>ST-O-00781</t>
  </si>
  <si>
    <t>ORD-164-4</t>
  </si>
  <si>
    <t>USR-913407</t>
  </si>
  <si>
    <t>ORD-162-3</t>
  </si>
  <si>
    <t>USR-757583</t>
  </si>
  <si>
    <t>ST-O-00916</t>
  </si>
  <si>
    <t>ORD-317-3</t>
  </si>
  <si>
    <t>USR-597662</t>
  </si>
  <si>
    <t>ST-S-00470</t>
  </si>
  <si>
    <t>ORD-268-4</t>
  </si>
  <si>
    <t>USR-926361</t>
  </si>
  <si>
    <t>ST-P-00658</t>
  </si>
  <si>
    <t>ORD-318-5</t>
  </si>
  <si>
    <t>USR-531553</t>
  </si>
  <si>
    <t>ST-P-00256</t>
  </si>
  <si>
    <t>ORD-150-2</t>
  </si>
  <si>
    <t>USR-883814</t>
  </si>
  <si>
    <t>ST-P-00255</t>
  </si>
  <si>
    <t>ORD-194-2</t>
  </si>
  <si>
    <t>USR-789120</t>
  </si>
  <si>
    <t>ST-O-00737</t>
  </si>
  <si>
    <t>ORD-233-2</t>
  </si>
  <si>
    <t>USR-799855</t>
  </si>
  <si>
    <t>ST-P-00704</t>
  </si>
  <si>
    <t>ORD-315-2</t>
  </si>
  <si>
    <t>USR-520956</t>
  </si>
  <si>
    <t>ST-S-00463</t>
  </si>
  <si>
    <t>ORD-363-2</t>
  </si>
  <si>
    <t>USR-880250</t>
  </si>
  <si>
    <t>ST-O-00375</t>
  </si>
  <si>
    <t>ORD-277-1</t>
  </si>
  <si>
    <t>ORD-277</t>
  </si>
  <si>
    <t>USR-954374</t>
  </si>
  <si>
    <t>ST-P-00377</t>
  </si>
  <si>
    <t>ORD-160-4</t>
  </si>
  <si>
    <t>USR-361947</t>
  </si>
  <si>
    <t>ST-P-00507</t>
  </si>
  <si>
    <t>ORD-150-3</t>
  </si>
  <si>
    <t>USR-596883</t>
  </si>
  <si>
    <t>ST-S-00921</t>
  </si>
  <si>
    <t>ORD-256-3</t>
  </si>
  <si>
    <t>USR-334272</t>
  </si>
  <si>
    <t>ST-S-00527</t>
  </si>
  <si>
    <t>ORD-262-3</t>
  </si>
  <si>
    <t>USR-195712</t>
  </si>
  <si>
    <t>ORD-239-2</t>
  </si>
  <si>
    <t>USR-457824</t>
  </si>
  <si>
    <t>ST-O-00340</t>
  </si>
  <si>
    <t>ORD-334-2</t>
  </si>
  <si>
    <t>USR-323176</t>
  </si>
  <si>
    <t>ST-S-00443</t>
  </si>
  <si>
    <t>ORD-243-3</t>
  </si>
  <si>
    <t>USR-530462</t>
  </si>
  <si>
    <t>ST-S-00678</t>
  </si>
  <si>
    <t>ORD-210-2</t>
  </si>
  <si>
    <t>USR-832336</t>
  </si>
  <si>
    <t>ST-P-00172</t>
  </si>
  <si>
    <t>ORD-374-1</t>
  </si>
  <si>
    <t>ORD-374</t>
  </si>
  <si>
    <t>USR-830171</t>
  </si>
  <si>
    <t>ST-S-00681</t>
  </si>
  <si>
    <t>ORD-364-4</t>
  </si>
  <si>
    <t>USR-157074</t>
  </si>
  <si>
    <t>ST-P-00568</t>
  </si>
  <si>
    <t>ORD-192-2</t>
  </si>
  <si>
    <t>USR-912733</t>
  </si>
  <si>
    <t>ST-S-00581</t>
  </si>
  <si>
    <t>ORD-338-2</t>
  </si>
  <si>
    <t>USR-534935</t>
  </si>
  <si>
    <t>ST-O-00694</t>
  </si>
  <si>
    <t>ORD-372-3</t>
  </si>
  <si>
    <t>USR-990826</t>
  </si>
  <si>
    <t>ST-P-00452</t>
  </si>
  <si>
    <t>ORD-260-2</t>
  </si>
  <si>
    <t>USR-285975</t>
  </si>
  <si>
    <t>ST-S-00816</t>
  </si>
  <si>
    <t>ORD-362-2</t>
  </si>
  <si>
    <t>USR-359494</t>
  </si>
  <si>
    <t>ST-S-00652</t>
  </si>
  <si>
    <t>ORD-157-2</t>
  </si>
  <si>
    <t>USR-589674</t>
  </si>
  <si>
    <t>ST-P-00929</t>
  </si>
  <si>
    <t>ORD-222-1</t>
  </si>
  <si>
    <t>ORD-222</t>
  </si>
  <si>
    <t>USR-187279</t>
  </si>
  <si>
    <t>ST-O-00900</t>
  </si>
  <si>
    <t>ORD-238-5</t>
  </si>
  <si>
    <t>USR-963982</t>
  </si>
  <si>
    <t>ORD-207-3</t>
  </si>
  <si>
    <t>USR-190572</t>
  </si>
  <si>
    <t>ST-P-00628</t>
  </si>
  <si>
    <t>ORD-197-3</t>
  </si>
  <si>
    <t>USR-386912</t>
  </si>
  <si>
    <t>ST-S-00491</t>
  </si>
  <si>
    <t>ORD-283-1</t>
  </si>
  <si>
    <t>ORD-283</t>
  </si>
  <si>
    <t>USR-925433</t>
  </si>
  <si>
    <t>ST-S-00370</t>
  </si>
  <si>
    <t>ORD-247-2</t>
  </si>
  <si>
    <t>USR-121470</t>
  </si>
  <si>
    <t>ST-S-00999</t>
  </si>
  <si>
    <t>ORD-171-1</t>
  </si>
  <si>
    <t>ORD-171</t>
  </si>
  <si>
    <t>USR-254049</t>
  </si>
  <si>
    <t>ST-O-00755</t>
  </si>
  <si>
    <t>ORD-264-3</t>
  </si>
  <si>
    <t>USR-163308</t>
  </si>
  <si>
    <t>ST-O-00477</t>
  </si>
  <si>
    <t>ORD-343-5</t>
  </si>
  <si>
    <t>USR-194103</t>
  </si>
  <si>
    <t>ST-S-00919</t>
  </si>
  <si>
    <t>ORD-261-2</t>
  </si>
  <si>
    <t>USR-125709</t>
  </si>
  <si>
    <t>ST-P-00746</t>
  </si>
  <si>
    <t>ORD-279-2</t>
  </si>
  <si>
    <t>USR-776965</t>
  </si>
  <si>
    <t>ST-P-00985</t>
  </si>
  <si>
    <t>ORD-371-3</t>
  </si>
  <si>
    <t>USR-320917</t>
  </si>
  <si>
    <t>ST-P-00674</t>
  </si>
  <si>
    <t>ORD-388-1</t>
  </si>
  <si>
    <t>ORD-388</t>
  </si>
  <si>
    <t>USR-602608</t>
  </si>
  <si>
    <t>ST-P-00566</t>
  </si>
  <si>
    <t>ORD-270-2</t>
  </si>
  <si>
    <t>USR-657894</t>
  </si>
  <si>
    <t>ORD-292-2</t>
  </si>
  <si>
    <t>USR-432538</t>
  </si>
  <si>
    <t>ST-S-00191</t>
  </si>
  <si>
    <t>ORD-349-1</t>
  </si>
  <si>
    <t>ORD-349</t>
  </si>
  <si>
    <t>USR-139747</t>
  </si>
  <si>
    <t>ST-O-00385</t>
  </si>
  <si>
    <t>ORD-314-3</t>
  </si>
  <si>
    <t>USR-893729</t>
  </si>
  <si>
    <t>ST-S-00383</t>
  </si>
  <si>
    <t>ORD-151-3</t>
  </si>
  <si>
    <t>USR-324100</t>
  </si>
  <si>
    <t>ST-S-00610</t>
  </si>
  <si>
    <t>ORD-341-2</t>
  </si>
  <si>
    <t>USR-826449</t>
  </si>
  <si>
    <t>ST-S-00904</t>
  </si>
  <si>
    <t>ORD-217-1</t>
  </si>
  <si>
    <t>ORD-217</t>
  </si>
  <si>
    <t>USR-474064</t>
  </si>
  <si>
    <t>ST-O-00259</t>
  </si>
  <si>
    <t>ORD-325-3</t>
  </si>
  <si>
    <t>USR-549975</t>
  </si>
  <si>
    <t>ST-O-00356</t>
  </si>
  <si>
    <t>ORD-364-5</t>
  </si>
  <si>
    <t>USR-950254</t>
  </si>
  <si>
    <t>ST-P-00439</t>
  </si>
  <si>
    <t>ORD-171-2</t>
  </si>
  <si>
    <t>USR-583684</t>
  </si>
  <si>
    <t>ST-P-00480</t>
  </si>
  <si>
    <t>ORD-381-2</t>
  </si>
  <si>
    <t>USR-133969</t>
  </si>
  <si>
    <t>ST-O-00432</t>
  </si>
  <si>
    <t>ORD-223-2</t>
  </si>
  <si>
    <t>USR-994423</t>
  </si>
  <si>
    <t>ST-S-00596</t>
  </si>
  <si>
    <t>ORD-249-2</t>
  </si>
  <si>
    <t>USR-186969</t>
  </si>
  <si>
    <t>ORD-224-5</t>
  </si>
  <si>
    <t>USR-827514</t>
  </si>
  <si>
    <t>ORD-265-1</t>
  </si>
  <si>
    <t>ORD-265</t>
  </si>
  <si>
    <t>USR-444305</t>
  </si>
  <si>
    <t>ST-S-00985</t>
  </si>
  <si>
    <t>ORD-153-2</t>
  </si>
  <si>
    <t>USR-267105</t>
  </si>
  <si>
    <t>ST-S-00641</t>
  </si>
  <si>
    <t>ORD-170-2</t>
  </si>
  <si>
    <t>USR-679463</t>
  </si>
  <si>
    <t>ST-P-00134</t>
  </si>
  <si>
    <t>ORD-352-3</t>
  </si>
  <si>
    <t>USR-168489</t>
  </si>
  <si>
    <t>ST-O-00543</t>
  </si>
  <si>
    <t>ORD-194-3</t>
  </si>
  <si>
    <t>USR-530096</t>
  </si>
  <si>
    <t>ST-O-00641</t>
  </si>
  <si>
    <t>ORD-324-1</t>
  </si>
  <si>
    <t>ORD-324</t>
  </si>
  <si>
    <t>USR-708398</t>
  </si>
  <si>
    <t>ST-P-00233</t>
  </si>
  <si>
    <t>ORD-367-3</t>
  </si>
  <si>
    <t>USR-871687</t>
  </si>
  <si>
    <t>ST-S-00512</t>
  </si>
  <si>
    <t>ORD-381-3</t>
  </si>
  <si>
    <t>USR-590912</t>
  </si>
  <si>
    <t>ST-O-00207</t>
  </si>
  <si>
    <t>ORD-186-2</t>
  </si>
  <si>
    <t>USR-127333</t>
  </si>
  <si>
    <t>ST-S-00546</t>
  </si>
  <si>
    <t>ORD-221-2</t>
  </si>
  <si>
    <t>USR-661684</t>
  </si>
  <si>
    <t>ST-O-00973</t>
  </si>
  <si>
    <t>ORD-270-3</t>
  </si>
  <si>
    <t>USR-800512</t>
  </si>
  <si>
    <t>ST-O-00382</t>
  </si>
  <si>
    <t>ORD-353-3</t>
  </si>
  <si>
    <t>USR-628393</t>
  </si>
  <si>
    <t>ST-O-00491</t>
  </si>
  <si>
    <t>ORD-189-1</t>
  </si>
  <si>
    <t>ORD-189</t>
  </si>
  <si>
    <t>USR-970998</t>
  </si>
  <si>
    <t>ST-P-00417</t>
  </si>
  <si>
    <t>ORD-156-3</t>
  </si>
  <si>
    <t>USR-195630</t>
  </si>
  <si>
    <t>ST-O-00955</t>
  </si>
  <si>
    <t>ORD-305-3</t>
  </si>
  <si>
    <t>USR-223906</t>
  </si>
  <si>
    <t>ST-S-00665</t>
  </si>
  <si>
    <t>ORD-322-4</t>
  </si>
  <si>
    <t>USR-408596</t>
  </si>
  <si>
    <t>ST-S-00565</t>
  </si>
  <si>
    <t>ORD-166-2</t>
  </si>
  <si>
    <t>USR-445537</t>
  </si>
  <si>
    <t>ST-S-00497</t>
  </si>
  <si>
    <t>ORD-251-2</t>
  </si>
  <si>
    <t>USR-879187</t>
  </si>
  <si>
    <t>ST-P-00783</t>
  </si>
  <si>
    <t>ORD-333-2</t>
  </si>
  <si>
    <t>USR-869447</t>
  </si>
  <si>
    <t>ORD-199-4</t>
  </si>
  <si>
    <t>USR-228912</t>
  </si>
  <si>
    <t>ST-P-00669</t>
  </si>
  <si>
    <t>ORD-196-2</t>
  </si>
  <si>
    <t>USR-375707</t>
  </si>
  <si>
    <t>ST-S-00555</t>
  </si>
  <si>
    <t>ORD-242-2</t>
  </si>
  <si>
    <t>USR-332471</t>
  </si>
  <si>
    <t>ST-S-00231</t>
  </si>
  <si>
    <t>ORD-246-1</t>
  </si>
  <si>
    <t>ORD-246</t>
  </si>
  <si>
    <t>USR-913404</t>
  </si>
  <si>
    <t>ORD-298-1</t>
  </si>
  <si>
    <t>ORD-298</t>
  </si>
  <si>
    <t>USR-912104</t>
  </si>
  <si>
    <t>ST-O-00232</t>
  </si>
  <si>
    <t>ORD-345-2</t>
  </si>
  <si>
    <t>USR-365862</t>
  </si>
  <si>
    <t>ST-P-00137</t>
  </si>
  <si>
    <t>ORD-324-2</t>
  </si>
  <si>
    <t>USR-884707</t>
  </si>
  <si>
    <t>ST-O-00262</t>
  </si>
  <si>
    <t>ORD-247-3</t>
  </si>
  <si>
    <t>USR-611011</t>
  </si>
  <si>
    <t>ST-O-00490</t>
  </si>
  <si>
    <t>ORD-361-1</t>
  </si>
  <si>
    <t>ORD-361</t>
  </si>
  <si>
    <t>USR-375848</t>
  </si>
  <si>
    <t>ST-P-00372</t>
  </si>
  <si>
    <t>ORD-279-3</t>
  </si>
  <si>
    <t>USR-735159</t>
  </si>
  <si>
    <t>ST-S-00362</t>
  </si>
  <si>
    <t>ORD-188-5</t>
  </si>
  <si>
    <t>USR-327427</t>
  </si>
  <si>
    <t>ST-O-00159</t>
  </si>
  <si>
    <t>ORD-267-3</t>
  </si>
  <si>
    <t>USR-538443</t>
  </si>
  <si>
    <t>ST-P-00402</t>
  </si>
  <si>
    <t>ORD-199-5</t>
  </si>
  <si>
    <t>USR-532729</t>
  </si>
  <si>
    <t>ST-S-00831</t>
  </si>
  <si>
    <t>ORD-371-4</t>
  </si>
  <si>
    <t>USR-387063</t>
  </si>
  <si>
    <t>ST-O-00666</t>
  </si>
  <si>
    <t>ORD-223-3</t>
  </si>
  <si>
    <t>USR-809522</t>
  </si>
  <si>
    <t>ST-P-00317</t>
  </si>
  <si>
    <t>ORD-194-4</t>
  </si>
  <si>
    <t>USR-331299</t>
  </si>
  <si>
    <t>ST-P-00508</t>
  </si>
  <si>
    <t>ORD-361-2</t>
  </si>
  <si>
    <t>USR-264561</t>
  </si>
  <si>
    <t>ST-S-00330</t>
  </si>
  <si>
    <t>ORD-311-1</t>
  </si>
  <si>
    <t>ORD-311</t>
  </si>
  <si>
    <t>USR-793449</t>
  </si>
  <si>
    <t>ST-P-00815</t>
  </si>
  <si>
    <t>ORD-249-3</t>
  </si>
  <si>
    <t>USR-684872</t>
  </si>
  <si>
    <t>ST-O-00748</t>
  </si>
  <si>
    <t>ORD-200-1</t>
  </si>
  <si>
    <t>ORD-200</t>
  </si>
  <si>
    <t>USR-912781</t>
  </si>
  <si>
    <t>ST-S-00632</t>
  </si>
  <si>
    <t>ORD-364-6</t>
  </si>
  <si>
    <t>USR-841723</t>
  </si>
  <si>
    <t>ST-S-00842</t>
  </si>
  <si>
    <t>ORD-377-4</t>
  </si>
  <si>
    <t>USR-995074</t>
  </si>
  <si>
    <t>ST-O-00475</t>
  </si>
  <si>
    <t>ORD-314-4</t>
  </si>
  <si>
    <t>USR-359072</t>
  </si>
  <si>
    <t>ST-P-00862</t>
  </si>
  <si>
    <t>ORD-256-4</t>
  </si>
  <si>
    <t>USR-528675</t>
  </si>
  <si>
    <t>ORD-153-3</t>
  </si>
  <si>
    <t>USR-784644</t>
  </si>
  <si>
    <t>ST-O-00562</t>
  </si>
  <si>
    <t>ORD-321-4</t>
  </si>
  <si>
    <t>USR-619003</t>
  </si>
  <si>
    <t>ST-P-00492</t>
  </si>
  <si>
    <t>ORD-330-2</t>
  </si>
  <si>
    <t>USR-730833</t>
  </si>
  <si>
    <t>ORD-290-1</t>
  </si>
  <si>
    <t>ORD-290</t>
  </si>
  <si>
    <t>USR-519330</t>
  </si>
  <si>
    <t>ST-O-00155</t>
  </si>
  <si>
    <t>ORD-244-3</t>
  </si>
  <si>
    <t>USR-220041</t>
  </si>
  <si>
    <t>ST-P-00147</t>
  </si>
  <si>
    <t>ORD-355-1</t>
  </si>
  <si>
    <t>ORD-355</t>
  </si>
  <si>
    <t>USR-729186</t>
  </si>
  <si>
    <t>ST-S-00420</t>
  </si>
  <si>
    <t>ORD-253-4</t>
  </si>
  <si>
    <t>USR-155577</t>
  </si>
  <si>
    <t>ST-O-00961</t>
  </si>
  <si>
    <t>ORD-259-4</t>
  </si>
  <si>
    <t>USR-898662</t>
  </si>
  <si>
    <t>ST-P-00765</t>
  </si>
  <si>
    <t>ORD-193-3</t>
  </si>
  <si>
    <t>USR-706902</t>
  </si>
  <si>
    <t>ST-S-00276</t>
  </si>
  <si>
    <t>ORD-368-1</t>
  </si>
  <si>
    <t>ORD-368</t>
  </si>
  <si>
    <t>USR-948355</t>
  </si>
  <si>
    <t>ST-P-00522</t>
  </si>
  <si>
    <t>ORD-203-3</t>
  </si>
  <si>
    <t>USR-458205</t>
  </si>
  <si>
    <t>ST-O-00583</t>
  </si>
  <si>
    <t>ORD-180-1</t>
  </si>
  <si>
    <t>ORD-180</t>
  </si>
  <si>
    <t>USR-518665</t>
  </si>
  <si>
    <t>ORD-212-2</t>
  </si>
  <si>
    <t>USR-385265</t>
  </si>
  <si>
    <t>ST-P-00444</t>
  </si>
  <si>
    <t>ORD-357-2</t>
  </si>
  <si>
    <t>USR-747655</t>
  </si>
  <si>
    <t>ST-P-00234</t>
  </si>
  <si>
    <t>ORD-205-4</t>
  </si>
  <si>
    <t>USR-255289</t>
  </si>
  <si>
    <t>ST-S-00713</t>
  </si>
  <si>
    <t>ORD-375-6</t>
  </si>
  <si>
    <t>USR-136848</t>
  </si>
  <si>
    <t>ST-S-00857</t>
  </si>
  <si>
    <t>ORD-283-2</t>
  </si>
  <si>
    <t>USR-365739</t>
  </si>
  <si>
    <t>ST-P-00627</t>
  </si>
  <si>
    <t>ORD-231-4</t>
  </si>
  <si>
    <t>USR-880420</t>
  </si>
  <si>
    <t>ST-S-00848</t>
  </si>
  <si>
    <t>ORD-291-4</t>
  </si>
  <si>
    <t>USR-683054</t>
  </si>
  <si>
    <t>ST-O-00339</t>
  </si>
  <si>
    <t>ORD-272-3</t>
  </si>
  <si>
    <t>USR-951937</t>
  </si>
  <si>
    <t>ST-O-00947</t>
  </si>
  <si>
    <t>ORD-348-2</t>
  </si>
  <si>
    <t>USR-540844</t>
  </si>
  <si>
    <t>ST-P-00445</t>
  </si>
  <si>
    <t>ORD-375-7</t>
  </si>
  <si>
    <t>USR-522282</t>
  </si>
  <si>
    <t>ST-P-00159</t>
  </si>
  <si>
    <t>ORD-351-3</t>
  </si>
  <si>
    <t>USR-736780</t>
  </si>
  <si>
    <t>ST-O-00790</t>
  </si>
  <si>
    <t>ORD-291-5</t>
  </si>
  <si>
    <t>USR-509937</t>
  </si>
  <si>
    <t>ST-O-00853</t>
  </si>
  <si>
    <t>ORD-305-4</t>
  </si>
  <si>
    <t>USR-287129</t>
  </si>
  <si>
    <t>ST-S-00288</t>
  </si>
  <si>
    <t>ORD-246-2</t>
  </si>
  <si>
    <t>USR-780269</t>
  </si>
  <si>
    <t>ORD-178-6</t>
  </si>
  <si>
    <t>USR-182033</t>
  </si>
  <si>
    <t>ST-S-00438</t>
  </si>
  <si>
    <t>ORD-341-3</t>
  </si>
  <si>
    <t>USR-492077</t>
  </si>
  <si>
    <t>ST-S-00701</t>
  </si>
  <si>
    <t>ORD-248-3</t>
  </si>
  <si>
    <t>USR-676409</t>
  </si>
  <si>
    <t>ORD-212-3</t>
  </si>
  <si>
    <t>USR-599137</t>
  </si>
  <si>
    <t>ST-O-00374</t>
  </si>
  <si>
    <t>ORD-258-3</t>
  </si>
  <si>
    <t>USR-673517</t>
  </si>
  <si>
    <t>ST-O-00608</t>
  </si>
  <si>
    <t>ORD-238-6</t>
  </si>
  <si>
    <t>USR-932583</t>
  </si>
  <si>
    <t>ST-P-00551</t>
  </si>
  <si>
    <t>ORD-381-4</t>
  </si>
  <si>
    <t>USR-413771</t>
  </si>
  <si>
    <t>ST-O-00484</t>
  </si>
  <si>
    <t>ORD-388-2</t>
  </si>
  <si>
    <t>USR-994597</t>
  </si>
  <si>
    <t>ORD-389-3</t>
  </si>
  <si>
    <t>USR-758988</t>
  </si>
  <si>
    <t>ST-O-00714</t>
  </si>
  <si>
    <t>ORD-353-4</t>
  </si>
  <si>
    <t>USR-668621</t>
  </si>
  <si>
    <t>ST-P-00544</t>
  </si>
  <si>
    <t>ORD-273-2</t>
  </si>
  <si>
    <t>USR-912630</t>
  </si>
  <si>
    <t>ST-S-00579</t>
  </si>
  <si>
    <t>ORD-228-3</t>
  </si>
  <si>
    <t>USR-540373</t>
  </si>
  <si>
    <t>ORD-369-1</t>
  </si>
  <si>
    <t>ORD-369</t>
  </si>
  <si>
    <t>USR-906031</t>
  </si>
  <si>
    <t>ST-O-00920</t>
  </si>
  <si>
    <t>ORD-377-5</t>
  </si>
  <si>
    <t>USR-381191</t>
  </si>
  <si>
    <t>ST-O-00512</t>
  </si>
  <si>
    <t>ORD-252-3</t>
  </si>
  <si>
    <t>USR-629398</t>
  </si>
  <si>
    <t>ORD-171-3</t>
  </si>
  <si>
    <t>USR-714909</t>
  </si>
  <si>
    <t>ST-S-00513</t>
  </si>
  <si>
    <t>ORD-290-2</t>
  </si>
  <si>
    <t>USR-308482</t>
  </si>
  <si>
    <t>ORD-270-4</t>
  </si>
  <si>
    <t>USR-648078</t>
  </si>
  <si>
    <t>ST-S-00957</t>
  </si>
  <si>
    <t>ORD-243-4</t>
  </si>
  <si>
    <t>USR-758063</t>
  </si>
  <si>
    <t>ST-P-00859</t>
  </si>
  <si>
    <t>ORD-382-1</t>
  </si>
  <si>
    <t>ORD-382</t>
  </si>
  <si>
    <t>USR-638725</t>
  </si>
  <si>
    <t>ST-O-00391</t>
  </si>
  <si>
    <t>ORD-186-3</t>
  </si>
  <si>
    <t>USR-883552</t>
  </si>
  <si>
    <t>ST-P-00469</t>
  </si>
  <si>
    <t>ORD-286-1</t>
  </si>
  <si>
    <t>ORD-286</t>
  </si>
  <si>
    <t>USR-577665</t>
  </si>
  <si>
    <t>ST-S-00819</t>
  </si>
  <si>
    <t>ORD-201-2</t>
  </si>
  <si>
    <t>USR-170038</t>
  </si>
  <si>
    <t>ORD-385-3</t>
  </si>
  <si>
    <t>USR-522562</t>
  </si>
  <si>
    <t>ST-O-00912</t>
  </si>
  <si>
    <t>ORD-186-4</t>
  </si>
  <si>
    <t>USR-719084</t>
  </si>
  <si>
    <t>ST-P-00650</t>
  </si>
  <si>
    <t>ORD-330-3</t>
  </si>
  <si>
    <t>USR-878518</t>
  </si>
  <si>
    <t>ST-S-00444</t>
  </si>
  <si>
    <t>ORD-340-1</t>
  </si>
  <si>
    <t>ORD-340</t>
  </si>
  <si>
    <t>USR-656064</t>
  </si>
  <si>
    <t>ST-S-00822</t>
  </si>
  <si>
    <t>ORD-315-3</t>
  </si>
  <si>
    <t>USR-425132</t>
  </si>
  <si>
    <t>ST-P-00605</t>
  </si>
  <si>
    <t>ORD-282-1</t>
  </si>
  <si>
    <t>ORD-282</t>
  </si>
  <si>
    <t>USR-550049</t>
  </si>
  <si>
    <t>ST-S-00594</t>
  </si>
  <si>
    <t>ORD-367-4</t>
  </si>
  <si>
    <t>USR-819180</t>
  </si>
  <si>
    <t>ST-P-00777</t>
  </si>
  <si>
    <t>ORD-156-4</t>
  </si>
  <si>
    <t>USR-659570</t>
  </si>
  <si>
    <t>ST-S-00967</t>
  </si>
  <si>
    <t>ORD-328-3</t>
  </si>
  <si>
    <t>USR-362818</t>
  </si>
  <si>
    <t>ST-O-00417</t>
  </si>
  <si>
    <t>ORD-283-3</t>
  </si>
  <si>
    <t>USR-626221</t>
  </si>
  <si>
    <t>ORD-152-3</t>
  </si>
  <si>
    <t>USR-519314</t>
  </si>
  <si>
    <t>ST-S-00964</t>
  </si>
  <si>
    <t>ORD-291-6</t>
  </si>
  <si>
    <t>USR-491707</t>
  </si>
  <si>
    <t>ST-O-00341</t>
  </si>
  <si>
    <t>ORD-310-1</t>
  </si>
  <si>
    <t>ORD-310</t>
  </si>
  <si>
    <t>USR-228326</t>
  </si>
  <si>
    <t>ST-O-00570</t>
  </si>
  <si>
    <t>ORD-181-2</t>
  </si>
  <si>
    <t>USR-771974</t>
  </si>
  <si>
    <t>ST-S-00153</t>
  </si>
  <si>
    <t>ORD-282-2</t>
  </si>
  <si>
    <t>USR-967168</t>
  </si>
  <si>
    <t>ST-P-00196</t>
  </si>
  <si>
    <t>ORD-305-5</t>
  </si>
  <si>
    <t>USR-516701</t>
  </si>
  <si>
    <t>ST-O-00297</t>
  </si>
  <si>
    <t>ORD-270-5</t>
  </si>
  <si>
    <t>USR-765248</t>
  </si>
  <si>
    <t>ST-P-00659</t>
  </si>
  <si>
    <t>ORD-347-2</t>
  </si>
  <si>
    <t>USR-715401</t>
  </si>
  <si>
    <t>ST-S-00622</t>
  </si>
  <si>
    <t>ORD-176-1</t>
  </si>
  <si>
    <t>ORD-176</t>
  </si>
  <si>
    <t>USR-117692</t>
  </si>
  <si>
    <t>ST-P-00743</t>
  </si>
  <si>
    <t>ORD-361-3</t>
  </si>
  <si>
    <t>USR-406099</t>
  </si>
  <si>
    <t>ST-O-00514</t>
  </si>
  <si>
    <t>ORD-279-4</t>
  </si>
  <si>
    <t>USR-122330</t>
  </si>
  <si>
    <t>ST-O-00646</t>
  </si>
  <si>
    <t>ORD-348-3</t>
  </si>
  <si>
    <t>USR-724519</t>
  </si>
  <si>
    <t>ST-P-00364</t>
  </si>
  <si>
    <t>ORD-319-2</t>
  </si>
  <si>
    <t>USR-761871</t>
  </si>
  <si>
    <t>ST-O-00163</t>
  </si>
  <si>
    <t>ORD-233-3</t>
  </si>
  <si>
    <t>USR-541785</t>
  </si>
  <si>
    <t>ORD-222-2</t>
  </si>
  <si>
    <t>USR-139405</t>
  </si>
  <si>
    <t>ST-P-00998</t>
  </si>
  <si>
    <t>ORD-205-5</t>
  </si>
  <si>
    <t>USR-987334</t>
  </si>
  <si>
    <t>ORD-334-3</t>
  </si>
  <si>
    <t>USR-707312</t>
  </si>
  <si>
    <t>ST-S-00551</t>
  </si>
  <si>
    <t>ORD-283-4</t>
  </si>
  <si>
    <t>USR-708970</t>
  </si>
  <si>
    <t>ST-O-00324</t>
  </si>
  <si>
    <t>ORD-236-1</t>
  </si>
  <si>
    <t>ORD-236</t>
  </si>
  <si>
    <t>USR-396661</t>
  </si>
  <si>
    <t>ST-P-00523</t>
  </si>
  <si>
    <t>ORD-169-2</t>
  </si>
  <si>
    <t>USR-927639</t>
  </si>
  <si>
    <t>ST-S-00391</t>
  </si>
  <si>
    <t>ORD-193-4</t>
  </si>
  <si>
    <t>USR-375128</t>
  </si>
  <si>
    <t>ST-O-00842</t>
  </si>
  <si>
    <t>ORD-275-4</t>
  </si>
  <si>
    <t>USR-896691</t>
  </si>
  <si>
    <t>ST-O-00279</t>
  </si>
  <si>
    <t>ORD-181-3</t>
  </si>
  <si>
    <t>USR-242870</t>
  </si>
  <si>
    <t>ST-P-00608</t>
  </si>
  <si>
    <t>ORD-213-4</t>
  </si>
  <si>
    <t>USR-549011</t>
  </si>
  <si>
    <t>ORD-196-3</t>
  </si>
  <si>
    <t>USR-584572</t>
  </si>
  <si>
    <t>ST-O-00315</t>
  </si>
  <si>
    <t>ORD-355-2</t>
  </si>
  <si>
    <t>USR-520861</t>
  </si>
  <si>
    <t>ST-S-00336</t>
  </si>
  <si>
    <t>ORD-333-3</t>
  </si>
  <si>
    <t>USR-603702</t>
  </si>
  <si>
    <t>ST-S-00766</t>
  </si>
  <si>
    <t>ORD-175-1</t>
  </si>
  <si>
    <t>ORD-175</t>
  </si>
  <si>
    <t>USR-725832</t>
  </si>
  <si>
    <t>ST-S-00202</t>
  </si>
  <si>
    <t>ORD-390-2</t>
  </si>
  <si>
    <t>USR-186235</t>
  </si>
  <si>
    <t>ST-S-00127</t>
  </si>
  <si>
    <t>ORD-166-3</t>
  </si>
  <si>
    <t>USR-302218</t>
  </si>
  <si>
    <t>ST-P-00835</t>
  </si>
  <si>
    <t>ORD-307-1</t>
  </si>
  <si>
    <t>ORD-307</t>
  </si>
  <si>
    <t>USR-250750</t>
  </si>
  <si>
    <t>ST-S-00720</t>
  </si>
  <si>
    <t>ORD-158-1</t>
  </si>
  <si>
    <t>ORD-158</t>
  </si>
  <si>
    <t>USR-695412</t>
  </si>
  <si>
    <t>ST-P-00338</t>
  </si>
  <si>
    <t>ORD-286-2</t>
  </si>
  <si>
    <t>USR-498196</t>
  </si>
  <si>
    <t>ORD-261-3</t>
  </si>
  <si>
    <t>USR-617408</t>
  </si>
  <si>
    <t>ORD-256-5</t>
  </si>
  <si>
    <t>USR-918481</t>
  </si>
  <si>
    <t>ST-P-00866</t>
  </si>
  <si>
    <t>ORD-265-2</t>
  </si>
  <si>
    <t>USR-450237</t>
  </si>
  <si>
    <t>ST-O-00312</t>
  </si>
  <si>
    <t>ORD-307-2</t>
  </si>
  <si>
    <t>USR-587391</t>
  </si>
  <si>
    <t>ORD-164-5</t>
  </si>
  <si>
    <t>USR-710960</t>
  </si>
  <si>
    <t>ST-P-00395</t>
  </si>
  <si>
    <t>ORD-303-2</t>
  </si>
  <si>
    <t>USR-525635</t>
  </si>
  <si>
    <t>ST-O-00306</t>
  </si>
  <si>
    <t>ORD-197-4</t>
  </si>
  <si>
    <t>USR-445480</t>
  </si>
  <si>
    <t>ST-S-00697</t>
  </si>
  <si>
    <t>ORD-382-2</t>
  </si>
  <si>
    <t>USR-444486</t>
  </si>
  <si>
    <t>ST-P-00879</t>
  </si>
  <si>
    <t>ORD-175-2</t>
  </si>
  <si>
    <t>USR-111355</t>
  </si>
  <si>
    <t>ST-O-00291</t>
  </si>
  <si>
    <t>ORD-260-3</t>
  </si>
  <si>
    <t>USR-671393</t>
  </si>
  <si>
    <t>ST-O-00718</t>
  </si>
  <si>
    <t>ORD-189-2</t>
  </si>
  <si>
    <t>USR-210015</t>
  </si>
  <si>
    <t>ST-S-00801</t>
  </si>
  <si>
    <t>ORD-369-2</t>
  </si>
  <si>
    <t>USR-402425</t>
  </si>
  <si>
    <t>ST-S-00800</t>
  </si>
  <si>
    <t>ORD-380-3</t>
  </si>
  <si>
    <t>USR-815145</t>
  </si>
  <si>
    <t>ST-S-00372</t>
  </si>
  <si>
    <t>ORD-273-3</t>
  </si>
  <si>
    <t>USR-696634</t>
  </si>
  <si>
    <t>ST-P-00362</t>
  </si>
  <si>
    <t>ORD-271-1</t>
  </si>
  <si>
    <t>ORD-271</t>
  </si>
  <si>
    <t>USR-333869</t>
  </si>
  <si>
    <t>ORD-299-3</t>
  </si>
  <si>
    <t>USR-878609</t>
  </si>
  <si>
    <t>ST-O-00581</t>
  </si>
  <si>
    <t>ORD-364-7</t>
  </si>
  <si>
    <t>USR-981825</t>
  </si>
  <si>
    <t>ST-O-00984</t>
  </si>
  <si>
    <t>ORD-202-4</t>
  </si>
  <si>
    <t>USR-372597</t>
  </si>
  <si>
    <t>ST-P-00112</t>
  </si>
  <si>
    <t>ORD-273-4</t>
  </si>
  <si>
    <t>USR-519216</t>
  </si>
  <si>
    <t>ST-S-00284</t>
  </si>
  <si>
    <t>ORD-282-3</t>
  </si>
  <si>
    <t>USR-685691</t>
  </si>
  <si>
    <t>ST-S-00793</t>
  </si>
  <si>
    <t>ORD-313-2</t>
  </si>
  <si>
    <t>USR-318350</t>
  </si>
  <si>
    <t>ST-P-00705</t>
  </si>
  <si>
    <t>ORD-292-3</t>
  </si>
  <si>
    <t>USR-327592</t>
  </si>
  <si>
    <t>ORD-231-5</t>
  </si>
  <si>
    <t>USR-367440</t>
  </si>
  <si>
    <t>ST-P-00654</t>
  </si>
  <si>
    <t>ORD-167-2</t>
  </si>
  <si>
    <t>USR-395339</t>
  </si>
  <si>
    <t>ST-P-00803</t>
  </si>
  <si>
    <t>ORD-361-4</t>
  </si>
  <si>
    <t>USR-568320</t>
  </si>
  <si>
    <t>ST-O-00408</t>
  </si>
  <si>
    <t>ORD-320-3</t>
  </si>
  <si>
    <t>USR-616238</t>
  </si>
  <si>
    <t>ORD-389-4</t>
  </si>
  <si>
    <t>USR-469831</t>
  </si>
  <si>
    <t>ST-S-00167</t>
  </si>
  <si>
    <t>ORD-268-5</t>
  </si>
  <si>
    <t>USR-940941</t>
  </si>
  <si>
    <t>ST-O-00230</t>
  </si>
  <si>
    <t>ORD-316-1</t>
  </si>
  <si>
    <t>ORD-316</t>
  </si>
  <si>
    <t>USR-930869</t>
  </si>
  <si>
    <t>ST-O-00904</t>
  </si>
  <si>
    <t>ORD-388-3</t>
  </si>
  <si>
    <t>USR-635220</t>
  </si>
  <si>
    <t>ST-P-00764</t>
  </si>
  <si>
    <t>ORD-165-3</t>
  </si>
  <si>
    <t>USR-480719</t>
  </si>
  <si>
    <t>ST-S-00203</t>
  </si>
  <si>
    <t>ORD-259-5</t>
  </si>
  <si>
    <t>USR-297100</t>
  </si>
  <si>
    <t>ST-P-00428</t>
  </si>
  <si>
    <t>ORD-272-4</t>
  </si>
  <si>
    <t>USR-983350</t>
  </si>
  <si>
    <t>ST-S-00674</t>
  </si>
  <si>
    <t>ORD-386-3</t>
  </si>
  <si>
    <t>USR-603194</t>
  </si>
  <si>
    <t>ST-S-00694</t>
  </si>
  <si>
    <t>ORD-192-3</t>
  </si>
  <si>
    <t>USR-490747</t>
  </si>
  <si>
    <t>ST-S-00233</t>
  </si>
  <si>
    <t>ORD-358-6</t>
  </si>
  <si>
    <t>USR-792871</t>
  </si>
  <si>
    <t>ORD-178-7</t>
  </si>
  <si>
    <t>USR-173871</t>
  </si>
  <si>
    <t>ST-O-00287</t>
  </si>
  <si>
    <t>ORD-273-5</t>
  </si>
  <si>
    <t>USR-397386</t>
  </si>
  <si>
    <t>ST-O-00147</t>
  </si>
  <si>
    <t>ORD-320-4</t>
  </si>
  <si>
    <t>USR-778258</t>
  </si>
  <si>
    <t>ORD-207-4</t>
  </si>
  <si>
    <t>USR-510609</t>
  </si>
  <si>
    <t>ST-S-00294</t>
  </si>
  <si>
    <t>ORD-226-2</t>
  </si>
  <si>
    <t>USR-947297</t>
  </si>
  <si>
    <t>ST-O-00861</t>
  </si>
  <si>
    <t>ORD-352-4</t>
  </si>
  <si>
    <t>USR-657922</t>
  </si>
  <si>
    <t>ST-S-00940</t>
  </si>
  <si>
    <t>ORD-373-5</t>
  </si>
  <si>
    <t>USR-712821</t>
  </si>
  <si>
    <t>ST-O-00366</t>
  </si>
  <si>
    <t>ORD-172-2</t>
  </si>
  <si>
    <t>USR-657887</t>
  </si>
  <si>
    <t>ST-O-00441</t>
  </si>
  <si>
    <t>ORD-164-6</t>
  </si>
  <si>
    <t>USR-620313</t>
  </si>
  <si>
    <t>ST-O-00629</t>
  </si>
  <si>
    <t>ORD-249-4</t>
  </si>
  <si>
    <t>USR-965193</t>
  </si>
  <si>
    <t>ST-S-00991</t>
  </si>
  <si>
    <t>ORD-277-2</t>
  </si>
  <si>
    <t>USR-335058</t>
  </si>
  <si>
    <t>ORD-375-8</t>
  </si>
  <si>
    <t>USR-430877</t>
  </si>
  <si>
    <t>ST-S-00958</t>
  </si>
  <si>
    <t>ORD-253-5</t>
  </si>
  <si>
    <t>USR-400559</t>
  </si>
  <si>
    <t>ST-O-00639</t>
  </si>
  <si>
    <t>ORD-234-2</t>
  </si>
  <si>
    <t>USR-123008</t>
  </si>
  <si>
    <t>ORD-358-7</t>
  </si>
  <si>
    <t>USR-204151</t>
  </si>
  <si>
    <t>ST-P-00769</t>
  </si>
  <si>
    <t>ORD-156-5</t>
  </si>
  <si>
    <t>USR-839893</t>
  </si>
  <si>
    <t>ST-O-00942</t>
  </si>
  <si>
    <t>ORD-248-4</t>
  </si>
  <si>
    <t>USR-631644</t>
  </si>
  <si>
    <t>ST-S-00468</t>
  </si>
  <si>
    <t>ORD-354-1</t>
  </si>
  <si>
    <t>ORD-354</t>
  </si>
  <si>
    <t>USR-447025</t>
  </si>
  <si>
    <t>ST-P-00203</t>
  </si>
  <si>
    <t>ORD-363-3</t>
  </si>
  <si>
    <t>USR-761471</t>
  </si>
  <si>
    <t>ST-S-00166</t>
  </si>
  <si>
    <t>ORD-378-3</t>
  </si>
  <si>
    <t>USR-523563</t>
  </si>
  <si>
    <t>ST-S-00688</t>
  </si>
  <si>
    <t>ORD-182-2</t>
  </si>
  <si>
    <t>USR-703455</t>
  </si>
  <si>
    <t>ST-P-00898</t>
  </si>
  <si>
    <t>ORD-184-2</t>
  </si>
  <si>
    <t>USR-180966</t>
  </si>
  <si>
    <t>ST-O-00241</t>
  </si>
  <si>
    <t>ORD-219-6</t>
  </si>
  <si>
    <t>USR-752513</t>
  </si>
  <si>
    <t>ST-P-00139</t>
  </si>
  <si>
    <t>ORD-185-1</t>
  </si>
  <si>
    <t>ORD-185</t>
  </si>
  <si>
    <t>USR-346448</t>
  </si>
  <si>
    <t>ST-P-00936</t>
  </si>
  <si>
    <t>ORD-350-3</t>
  </si>
  <si>
    <t>USR-603945</t>
  </si>
  <si>
    <t>ST-S-00481</t>
  </si>
  <si>
    <t>ORD-320-5</t>
  </si>
  <si>
    <t>USR-429666</t>
  </si>
  <si>
    <t>ST-S-00761</t>
  </si>
  <si>
    <t>ORD-229-3</t>
  </si>
  <si>
    <t>USR-981862</t>
  </si>
  <si>
    <t>ST-S-00205</t>
  </si>
  <si>
    <t>ORD-316-2</t>
  </si>
  <si>
    <t>USR-580874</t>
  </si>
  <si>
    <t>ST-P-00717</t>
  </si>
  <si>
    <t>ORD-308-1</t>
  </si>
  <si>
    <t>ORD-308</t>
  </si>
  <si>
    <t>USR-823392</t>
  </si>
  <si>
    <t>ST-P-00556</t>
  </si>
  <si>
    <t>ORD-270-6</t>
  </si>
  <si>
    <t>USR-411372</t>
  </si>
  <si>
    <t>ST-O-00849</t>
  </si>
  <si>
    <t>ORD-349-2</t>
  </si>
  <si>
    <t>USR-575810</t>
  </si>
  <si>
    <t>ST-P-00552</t>
  </si>
  <si>
    <t>ORD-285-1</t>
  </si>
  <si>
    <t>ORD-285</t>
  </si>
  <si>
    <t>USR-229722</t>
  </si>
  <si>
    <t>ST-P-00770</t>
  </si>
  <si>
    <t>ORD-283-5</t>
  </si>
  <si>
    <t>USR-558389</t>
  </si>
  <si>
    <t>ST-P-00363</t>
  </si>
  <si>
    <t>ORD-236-2</t>
  </si>
  <si>
    <t>USR-881558</t>
  </si>
  <si>
    <t>ST-P-00615</t>
  </si>
  <si>
    <t>ORD-266-3</t>
  </si>
  <si>
    <t>ST-O-00573</t>
  </si>
  <si>
    <t>ORD-267-4</t>
  </si>
  <si>
    <t>USR-444895</t>
  </si>
  <si>
    <t>ST-S-00452</t>
  </si>
  <si>
    <t>ORD-249-5</t>
  </si>
  <si>
    <t>USR-914563</t>
  </si>
  <si>
    <t>ST-P-00585</t>
  </si>
  <si>
    <t>ORD-181-4</t>
  </si>
  <si>
    <t>USR-798455</t>
  </si>
  <si>
    <t>ST-S-00606</t>
  </si>
  <si>
    <t>ORD-349-3</t>
  </si>
  <si>
    <t>USR-620813</t>
  </si>
  <si>
    <t>ST-O-00808</t>
  </si>
  <si>
    <t>ORD-184-3</t>
  </si>
  <si>
    <t>USR-287819</t>
  </si>
  <si>
    <t>ST-O-00918</t>
  </si>
  <si>
    <t>ORD-195-2</t>
  </si>
  <si>
    <t>USR-746357</t>
  </si>
  <si>
    <t>ST-P-00312</t>
  </si>
  <si>
    <t>ORD-295-2</t>
  </si>
  <si>
    <t>USR-670943</t>
  </si>
  <si>
    <t>ST-O-00388</t>
  </si>
  <si>
    <t>ORD-369-3</t>
  </si>
  <si>
    <t>USR-610829</t>
  </si>
  <si>
    <t>ST-S-00184</t>
  </si>
  <si>
    <t>ORD-258-4</t>
  </si>
  <si>
    <t>USR-945362</t>
  </si>
  <si>
    <t>ST-O-00282</t>
  </si>
  <si>
    <t>ORD-176-2</t>
  </si>
  <si>
    <t>USR-447175</t>
  </si>
  <si>
    <t>ST-S-00631</t>
  </si>
  <si>
    <t>ORD-219-7</t>
  </si>
  <si>
    <t>USR-131098</t>
  </si>
  <si>
    <t>ST-P-00655</t>
  </si>
  <si>
    <t>ORD-220-3</t>
  </si>
  <si>
    <t>USR-295505</t>
  </si>
  <si>
    <t>ST-S-00252</t>
  </si>
  <si>
    <t>ORD-155-1</t>
  </si>
  <si>
    <t>ORD-155</t>
  </si>
  <si>
    <t>USR-854661</t>
  </si>
  <si>
    <t>ST-O-00461</t>
  </si>
  <si>
    <t>ORD-196-4</t>
  </si>
  <si>
    <t>USR-779310</t>
  </si>
  <si>
    <t>ST-O-00376</t>
  </si>
  <si>
    <t>ORD-316-3</t>
  </si>
  <si>
    <t>USR-806791</t>
  </si>
  <si>
    <t>ORD-313-3</t>
  </si>
  <si>
    <t>USR-572958</t>
  </si>
  <si>
    <t>ST-P-00392</t>
  </si>
  <si>
    <t>ORD-337-4</t>
  </si>
  <si>
    <t>USR-285694</t>
  </si>
  <si>
    <t>ST-S-00736</t>
  </si>
  <si>
    <t>ORD-341-4</t>
  </si>
  <si>
    <t>USR-871222</t>
  </si>
  <si>
    <t>ORD-378-4</t>
  </si>
  <si>
    <t>USR-695939</t>
  </si>
  <si>
    <t>ST-O-00436</t>
  </si>
  <si>
    <t>ORD-295-3</t>
  </si>
  <si>
    <t>USR-531967</t>
  </si>
  <si>
    <t>ORD-234-3</t>
  </si>
  <si>
    <t>USR-314695</t>
  </si>
  <si>
    <t>ORD-275-5</t>
  </si>
  <si>
    <t>USR-402338</t>
  </si>
  <si>
    <t>ORD-321-5</t>
  </si>
  <si>
    <t>USR-303811</t>
  </si>
  <si>
    <t>ST-S-00536</t>
  </si>
  <si>
    <t>ORD-222-3</t>
  </si>
  <si>
    <t>USR-265536</t>
  </si>
  <si>
    <t>ST-P-00863</t>
  </si>
  <si>
    <t>ORD-180-2</t>
  </si>
  <si>
    <t>USR-963303</t>
  </si>
  <si>
    <t>ST-O-00380</t>
  </si>
  <si>
    <t>ORD-358-8</t>
  </si>
  <si>
    <t>USR-954205</t>
  </si>
  <si>
    <t>ST-P-00186</t>
  </si>
  <si>
    <t>ORD-264-4</t>
  </si>
  <si>
    <t>USR-439232</t>
  </si>
  <si>
    <t>ST-O-00355</t>
  </si>
  <si>
    <t>ORD-209-2</t>
  </si>
  <si>
    <t>USR-620119</t>
  </si>
  <si>
    <t>ST-P-00232</t>
  </si>
  <si>
    <t>ORD-234-4</t>
  </si>
  <si>
    <t>USR-780201</t>
  </si>
  <si>
    <t>ST-O-00421</t>
  </si>
  <si>
    <t>ORD-350-4</t>
  </si>
  <si>
    <t>USR-478786</t>
  </si>
  <si>
    <t>ST-O-00280</t>
  </si>
  <si>
    <t>ORD-320-6</t>
  </si>
  <si>
    <t>USR-783317</t>
  </si>
  <si>
    <t>ORD-258-5</t>
  </si>
  <si>
    <t>USR-847859</t>
  </si>
  <si>
    <t>ST-O-00634</t>
  </si>
  <si>
    <t>ORD-254-2</t>
  </si>
  <si>
    <t>USR-255042</t>
  </si>
  <si>
    <t>ST-P-00953</t>
  </si>
  <si>
    <t>ORD-369-4</t>
  </si>
  <si>
    <t>USR-802488</t>
  </si>
  <si>
    <t>ST-O-00481</t>
  </si>
  <si>
    <t>ORD-208-1</t>
  </si>
  <si>
    <t>ORD-208</t>
  </si>
  <si>
    <t>USR-462355</t>
  </si>
  <si>
    <t>ST-S-00704</t>
  </si>
  <si>
    <t>ORD-216-2</t>
  </si>
  <si>
    <t>USR-524467</t>
  </si>
  <si>
    <t>ST-S-00211</t>
  </si>
  <si>
    <t>ORD-343-6</t>
  </si>
  <si>
    <t>USR-642058</t>
  </si>
  <si>
    <t>ST-P-00352</t>
  </si>
  <si>
    <t>ORD-202-5</t>
  </si>
  <si>
    <t>USR-889326</t>
  </si>
  <si>
    <t>ORD-211-1</t>
  </si>
  <si>
    <t>ORD-211</t>
  </si>
  <si>
    <t>USR-820021</t>
  </si>
  <si>
    <t>ST-S-00375</t>
  </si>
  <si>
    <t>ORD-327-1</t>
  </si>
  <si>
    <t>ORD-327</t>
  </si>
  <si>
    <t>USR-415470</t>
  </si>
  <si>
    <t>ORD-151-4</t>
  </si>
  <si>
    <t>USR-664973</t>
  </si>
  <si>
    <t>ST-O-00702</t>
  </si>
  <si>
    <t>ORD-383-1</t>
  </si>
  <si>
    <t>ORD-383</t>
  </si>
  <si>
    <t>USR-781144</t>
  </si>
  <si>
    <t>ORD-158-2</t>
  </si>
  <si>
    <t>USR-894136</t>
  </si>
  <si>
    <t>ST-S-00373</t>
  </si>
  <si>
    <t>ORD-252-4</t>
  </si>
  <si>
    <t>USR-780555</t>
  </si>
  <si>
    <t>ST-P-00178</t>
  </si>
  <si>
    <t>ORD-378-5</t>
  </si>
  <si>
    <t>USR-550536</t>
  </si>
  <si>
    <t>ST-S-00138</t>
  </si>
  <si>
    <t>ORD-363-4</t>
  </si>
  <si>
    <t>USR-351072</t>
  </si>
  <si>
    <t>ORD-212-4</t>
  </si>
  <si>
    <t>USR-477349</t>
  </si>
  <si>
    <t>ST-O-00601</t>
  </si>
  <si>
    <t>ORD-187-1</t>
  </si>
  <si>
    <t>ORD-187</t>
  </si>
  <si>
    <t>USR-285789</t>
  </si>
  <si>
    <t>ST-O-00688</t>
  </si>
  <si>
    <t>ORD-221-3</t>
  </si>
  <si>
    <t>USR-288302</t>
  </si>
  <si>
    <t>ST-O-00992</t>
  </si>
  <si>
    <t>ORD-292-4</t>
  </si>
  <si>
    <t>USR-186099</t>
  </si>
  <si>
    <t>ORD-371-5</t>
  </si>
  <si>
    <t>USR-623970</t>
  </si>
  <si>
    <t>ORD-331-6</t>
  </si>
  <si>
    <t>USR-242006</t>
  </si>
  <si>
    <t>ST-S-00171</t>
  </si>
  <si>
    <t>ORD-237-1</t>
  </si>
  <si>
    <t>ORD-237</t>
  </si>
  <si>
    <t>USR-150323</t>
  </si>
  <si>
    <t>ST-O-00333</t>
  </si>
  <si>
    <t>ORD-270-7</t>
  </si>
  <si>
    <t>USR-793066</t>
  </si>
  <si>
    <t>ORD-203-4</t>
  </si>
  <si>
    <t>USR-227483</t>
  </si>
  <si>
    <t>ST-O-00454</t>
  </si>
  <si>
    <t>ORD-312-3</t>
  </si>
  <si>
    <t>USR-147179</t>
  </si>
  <si>
    <t>ST-P-00916</t>
  </si>
  <si>
    <t>ORD-251-3</t>
  </si>
  <si>
    <t>USR-954058</t>
  </si>
  <si>
    <t>ST-S-00453</t>
  </si>
  <si>
    <t>ORD-325-4</t>
  </si>
  <si>
    <t>USR-813943</t>
  </si>
  <si>
    <t>ST-O-00486</t>
  </si>
  <si>
    <t>ORD-192-4</t>
  </si>
  <si>
    <t>USR-235320</t>
  </si>
  <si>
    <t>ST-O-00150</t>
  </si>
  <si>
    <t>ORD-242-3</t>
  </si>
  <si>
    <t>USR-445101</t>
  </si>
  <si>
    <t>ORD-351-4</t>
  </si>
  <si>
    <t>USR-520871</t>
  </si>
  <si>
    <t>ST-O-00533</t>
  </si>
  <si>
    <t>ORD-174-1</t>
  </si>
  <si>
    <t>ORD-174</t>
  </si>
  <si>
    <t>USR-881939</t>
  </si>
  <si>
    <t>ST-O-00633</t>
  </si>
  <si>
    <t>ORD-295-4</t>
  </si>
  <si>
    <t>USR-349442</t>
  </si>
  <si>
    <t>ST-O-00692</t>
  </si>
  <si>
    <t>ORD-227-2</t>
  </si>
  <si>
    <t>USR-346766</t>
  </si>
  <si>
    <t>ST-S-00440</t>
  </si>
  <si>
    <t>ORD-161-1</t>
  </si>
  <si>
    <t>ORD-161</t>
  </si>
  <si>
    <t>ORD-220-4</t>
  </si>
  <si>
    <t>USR-906487</t>
  </si>
  <si>
    <t>ST-P-00463</t>
  </si>
  <si>
    <t>ORD-259-6</t>
  </si>
  <si>
    <t>USR-656929</t>
  </si>
  <si>
    <t>ST-O-00308</t>
  </si>
  <si>
    <t>ORD-236-3</t>
  </si>
  <si>
    <t>USR-902082</t>
  </si>
  <si>
    <t>ST-O-00203</t>
  </si>
  <si>
    <t>ORD-263-1</t>
  </si>
  <si>
    <t>ORD-263</t>
  </si>
  <si>
    <t>USR-965836</t>
  </si>
  <si>
    <t>ST-P-00163</t>
  </si>
  <si>
    <t>ORD-305-6</t>
  </si>
  <si>
    <t>USR-380552</t>
  </si>
  <si>
    <t>ORD-218-3</t>
  </si>
  <si>
    <t>USR-792975</t>
  </si>
  <si>
    <t>ORD-319-3</t>
  </si>
  <si>
    <t>USR-884143</t>
  </si>
  <si>
    <t>ST-P-00618</t>
  </si>
  <si>
    <t>ORD-194-5</t>
  </si>
  <si>
    <t>USR-392945</t>
  </si>
  <si>
    <t>ST-S-00655</t>
  </si>
  <si>
    <t>ORD-259-7</t>
  </si>
  <si>
    <t>USR-882908</t>
  </si>
  <si>
    <t>ST-S-00310</t>
  </si>
  <si>
    <t>ORD-152-4</t>
  </si>
  <si>
    <t>USR-425382</t>
  </si>
  <si>
    <t>ST-P-00426</t>
  </si>
  <si>
    <t>ORD-336-5</t>
  </si>
  <si>
    <t>USR-459881</t>
  </si>
  <si>
    <t>ST-O-00911</t>
  </si>
  <si>
    <t>ORD-310-2</t>
  </si>
  <si>
    <t>USR-861438</t>
  </si>
  <si>
    <t>ST-P-00160</t>
  </si>
  <si>
    <t>ORD-284-1</t>
  </si>
  <si>
    <t>ORD-284</t>
  </si>
  <si>
    <t>USR-954126</t>
  </si>
  <si>
    <t>ST-S-00385</t>
  </si>
  <si>
    <t>ORD-305-7</t>
  </si>
  <si>
    <t>USR-553033</t>
  </si>
  <si>
    <t>ORD-280-1</t>
  </si>
  <si>
    <t>ORD-280</t>
  </si>
  <si>
    <t>USR-277837</t>
  </si>
  <si>
    <t>ST-S-00825</t>
  </si>
  <si>
    <t>ORD-278-3</t>
  </si>
  <si>
    <t>USR-562528</t>
  </si>
  <si>
    <t>ORD-153-4</t>
  </si>
  <si>
    <t>USR-305436</t>
  </si>
  <si>
    <t>ST-P-00150</t>
  </si>
  <si>
    <t>ORD-311-2</t>
  </si>
  <si>
    <t>USR-926641</t>
  </si>
  <si>
    <t>ST-P-00486</t>
  </si>
  <si>
    <t>ORD-249-6</t>
  </si>
  <si>
    <t>USR-438144</t>
  </si>
  <si>
    <t>ORD-374-2</t>
  </si>
  <si>
    <t>USR-325858</t>
  </si>
  <si>
    <t>ST-P-00812</t>
  </si>
  <si>
    <t>ORD-307-3</t>
  </si>
  <si>
    <t>USR-901133</t>
  </si>
  <si>
    <t>ST-O-00891</t>
  </si>
  <si>
    <t>ORD-300-2</t>
  </si>
  <si>
    <t>USR-733709</t>
  </si>
  <si>
    <t>ORD-151-5</t>
  </si>
  <si>
    <t>USR-887157</t>
  </si>
  <si>
    <t>ORD-303-3</t>
  </si>
  <si>
    <t>USR-298813</t>
  </si>
  <si>
    <t>ST-P-00993</t>
  </si>
  <si>
    <t>ORD-164-7</t>
  </si>
  <si>
    <t>USR-999377</t>
  </si>
  <si>
    <t>ST-P-00261</t>
  </si>
  <si>
    <t>ORD-234-5</t>
  </si>
  <si>
    <t>USR-983300</t>
  </si>
  <si>
    <t>ST-P-00275</t>
  </si>
  <si>
    <t>ORD-197-5</t>
  </si>
  <si>
    <t>USR-836180</t>
  </si>
  <si>
    <t>ORD-258-6</t>
  </si>
  <si>
    <t>USR-678525</t>
  </si>
  <si>
    <t>ST-P-00649</t>
  </si>
  <si>
    <t>ORD-308-2</t>
  </si>
  <si>
    <t>USR-749316</t>
  </si>
  <si>
    <t>ST-S-00817</t>
  </si>
  <si>
    <t>ORD-277-3</t>
  </si>
  <si>
    <t>USR-254301</t>
  </si>
  <si>
    <t>ST-S-00840</t>
  </si>
  <si>
    <t>ORD-292-5</t>
  </si>
  <si>
    <t>USR-203661</t>
  </si>
  <si>
    <t>ST-P-00346</t>
  </si>
  <si>
    <t>ORD-317-4</t>
  </si>
  <si>
    <t>USR-460899</t>
  </si>
  <si>
    <t>ORD-315-4</t>
  </si>
  <si>
    <t>USR-386174</t>
  </si>
  <si>
    <t>ST-S-00740</t>
  </si>
  <si>
    <t>ORD-357-3</t>
  </si>
  <si>
    <t>USR-517941</t>
  </si>
  <si>
    <t>ST-S-00691</t>
  </si>
  <si>
    <t>ORD-330-4</t>
  </si>
  <si>
    <t>USR-874055</t>
  </si>
  <si>
    <t>ORD-166-4</t>
  </si>
  <si>
    <t>USR-259229</t>
  </si>
  <si>
    <t>ORD-385-4</t>
  </si>
  <si>
    <t>USR-509170</t>
  </si>
  <si>
    <t>ORD-299-4</t>
  </si>
  <si>
    <t>USR-544557</t>
  </si>
  <si>
    <t>ORD-332-2</t>
  </si>
  <si>
    <t>USR-661832</t>
  </si>
  <si>
    <t>ST-P-00339</t>
  </si>
  <si>
    <t>ORD-250-3</t>
  </si>
  <si>
    <t>USR-266712</t>
  </si>
  <si>
    <t>ST-O-00611</t>
  </si>
  <si>
    <t>ORD-377-6</t>
  </si>
  <si>
    <t>USR-919687</t>
  </si>
  <si>
    <t>ST-O-00636</t>
  </si>
  <si>
    <t>ORD-241-1</t>
  </si>
  <si>
    <t>ORD-241</t>
  </si>
  <si>
    <t>USR-300202</t>
  </si>
  <si>
    <t>ST-O-00870</t>
  </si>
  <si>
    <t>ORD-332-3</t>
  </si>
  <si>
    <t>USR-300495</t>
  </si>
  <si>
    <t>ST-O-00126</t>
  </si>
  <si>
    <t>ORD-160-5</t>
  </si>
  <si>
    <t>USR-624945</t>
  </si>
  <si>
    <t>ST-P-00142</t>
  </si>
  <si>
    <t>ORD-256-6</t>
  </si>
  <si>
    <t>USR-867778</t>
  </si>
  <si>
    <t>ORD-291-7</t>
  </si>
  <si>
    <t>USR-373703</t>
  </si>
  <si>
    <t>ORD-327-2</t>
  </si>
  <si>
    <t>USR-182313</t>
  </si>
  <si>
    <t>ST-O-00464</t>
  </si>
  <si>
    <t>ORD-211-2</t>
  </si>
  <si>
    <t>USR-959944</t>
  </si>
  <si>
    <t>ST-S-00827</t>
  </si>
  <si>
    <t>ORD-154-2</t>
  </si>
  <si>
    <t>USR-597622</t>
  </si>
  <si>
    <t>ORD-366-3</t>
  </si>
  <si>
    <t>USR-216702</t>
  </si>
  <si>
    <t>ST-P-00791</t>
  </si>
  <si>
    <t>ORD-172-3</t>
  </si>
  <si>
    <t>USR-668064</t>
  </si>
  <si>
    <t>ORD-274-3</t>
  </si>
  <si>
    <t>USR-880924</t>
  </si>
  <si>
    <t>ORD-319-4</t>
  </si>
  <si>
    <t>USR-763823</t>
  </si>
  <si>
    <t>ORD-248-5</t>
  </si>
  <si>
    <t>USR-785043</t>
  </si>
  <si>
    <t>ST-O-00410</t>
  </si>
  <si>
    <t>ORD-152-5</t>
  </si>
  <si>
    <t>USR-425227</t>
  </si>
  <si>
    <t>ORD-209-3</t>
  </si>
  <si>
    <t>USR-352324</t>
  </si>
  <si>
    <t>ST-O-00425</t>
  </si>
  <si>
    <t>ORD-312-4</t>
  </si>
  <si>
    <t>USR-565887</t>
  </si>
  <si>
    <t>ST-S-00950</t>
  </si>
  <si>
    <t>ORD-351-5</t>
  </si>
  <si>
    <t>USR-178121</t>
  </si>
  <si>
    <t>ST-P-00699</t>
  </si>
  <si>
    <t>ORD-182-3</t>
  </si>
  <si>
    <t>USR-374659</t>
  </si>
  <si>
    <t>ST-S-00860</t>
  </si>
  <si>
    <t>3629.7</t>
  </si>
  <si>
    <t>270.0</t>
  </si>
  <si>
    <t>4362.3</t>
  </si>
  <si>
    <t>468.0</t>
  </si>
  <si>
    <t>222.6</t>
  </si>
  <si>
    <t>1744.1</t>
  </si>
  <si>
    <t>north</t>
  </si>
  <si>
    <t>south</t>
  </si>
  <si>
    <t xml:space="preserve"> ST-O-00434</t>
  </si>
  <si>
    <t xml:space="preserve"> ST-S-00133</t>
  </si>
  <si>
    <t xml:space="preserve"> ST-S-00920</t>
  </si>
  <si>
    <t xml:space="preserve"> ST-P-00750</t>
  </si>
  <si>
    <t xml:space="preserve"> ST-S-00616</t>
  </si>
  <si>
    <t xml:space="preserve"> ST-P-00600</t>
  </si>
  <si>
    <t xml:space="preserve"> ST-P-00471</t>
  </si>
  <si>
    <t xml:space="preserve"> ST-S-00169</t>
  </si>
  <si>
    <t xml:space="preserve"> PRD-181</t>
  </si>
  <si>
    <t xml:space="preserve"> PRD-519</t>
  </si>
  <si>
    <t xml:space="preserve"> PRD-284</t>
  </si>
  <si>
    <t xml:space="preserve"> PRD-117</t>
  </si>
  <si>
    <t xml:space="preserve"> PRD-517</t>
  </si>
  <si>
    <t>headphones Pro</t>
  </si>
  <si>
    <t>desk Lamp</t>
  </si>
  <si>
    <t>external SSD 1TB</t>
  </si>
  <si>
    <t>ergonomic Chair</t>
  </si>
  <si>
    <t>COST</t>
  </si>
  <si>
    <t>REVENUE</t>
  </si>
  <si>
    <t>PROFIT</t>
  </si>
  <si>
    <t>MARGIN%</t>
  </si>
  <si>
    <t>ST-S-00616</t>
  </si>
  <si>
    <t>ST-P-00471</t>
  </si>
  <si>
    <t>ST-S-00920</t>
  </si>
  <si>
    <t>ST-P-00750</t>
  </si>
  <si>
    <t>West</t>
  </si>
  <si>
    <t>Central</t>
  </si>
  <si>
    <t>East</t>
  </si>
  <si>
    <t>External Ssd 1Tb</t>
  </si>
  <si>
    <t>Webcam Hd</t>
  </si>
  <si>
    <t>Usb Hub</t>
  </si>
  <si>
    <t>Suma z REVENUE</t>
  </si>
  <si>
    <t>Suma z PROFIT</t>
  </si>
  <si>
    <t>Liczba z ORDER ID</t>
  </si>
  <si>
    <t>Suma końcowa</t>
  </si>
  <si>
    <t>Etykiety wierszy</t>
  </si>
  <si>
    <t>2024</t>
  </si>
  <si>
    <t>2025</t>
  </si>
  <si>
    <t>Etykiety kolumn</t>
  </si>
  <si>
    <t xml:space="preserve"> </t>
  </si>
  <si>
    <t xml:space="preserve">REVENUE </t>
  </si>
  <si>
    <t xml:space="preserve">PROFIT </t>
  </si>
  <si>
    <t xml:space="preserve">QUANTITY </t>
  </si>
  <si>
    <t xml:space="preserve">ORDER ID </t>
  </si>
  <si>
    <t xml:space="preserve">MARGIN% </t>
  </si>
  <si>
    <t xml:space="preserve">COST </t>
  </si>
  <si>
    <t>Order</t>
  </si>
  <si>
    <t>Revenue</t>
  </si>
  <si>
    <t>Profit</t>
  </si>
  <si>
    <t>Margin</t>
  </si>
  <si>
    <t>Cost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</si>
  <si>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</si>
  <si>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</si>
  <si>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</si>
  <si>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</si>
  <si>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</si>
  <si>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</si>
  <si>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</si>
  <si>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</si>
  <si>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</si>
  <si>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</si>
  <si>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</si>
  <si>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</si>
  <si>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2026</t>
  </si>
  <si>
    <t>Firma generuje sprzedaż skutecznie, lecz głównym wyzwaniem jest rentowność.</t>
  </si>
  <si>
    <t>Łączny przychód wyniósł ok. 4,29 mln zł, przy zysku 174 tys. zł.</t>
  </si>
  <si>
    <t>Marża na poziomie 4,13% jest stosunkowo niska — firma działa na wysokich obrotach, ale przy ograniczonej rentowności.</t>
  </si>
  <si>
    <t>Koszty (4,12 mln zł) stanowią zdecydowaną większość przychodów, co wskazuje na konieczność optymalizacji kosztowej lub podniesienia cen/marży produktów.</t>
  </si>
  <si>
    <t>Liczba 560 zamówień sugeruje wysoki wolumen sprzedaży, ale niewielki zysk jednostkowy.</t>
  </si>
  <si>
    <t>Sprzedaż jest silnie skoncentrowana na jednej kategori</t>
  </si>
  <si>
    <t>Największy udział w sprzedaży mają:</t>
  </si>
  <si>
    <t>Produkty premium (laptopy) odpowiadają za główną część przychodów.</t>
  </si>
  <si>
    <t>Produkty biurowe (np. standing desk) i akcesoria mają mniejszy wpływ na wynik finansowy.</t>
  </si>
  <si>
    <t>Największy potencjał wzrostu znajduje się w e-commerce</t>
  </si>
  <si>
    <t>Kanał partnerski generuje najwyższe przychody.</t>
  </si>
  <si>
    <t>Sprzedaż sklepowa utrzymuje stabilny, średni poziom.</t>
  </si>
  <si>
    <t>Kanał online osiąga najniższe wyniki.</t>
  </si>
  <si>
    <t>Warto przenieść dobre praktyki najlepszych zespołów na pozostałe.</t>
  </si>
  <si>
    <t>Występują zauważalne różnice między zespołami.</t>
  </si>
  <si>
    <t>Niektóre zespoły dominują w konkretnych kanałach sprzedaży.</t>
  </si>
  <si>
    <t>Brak równomiernego rozłożenia wyników może oznaczać:</t>
  </si>
  <si>
    <t>różnice kompetencyjne,</t>
  </si>
  <si>
    <t>nierówny podział rynku.</t>
  </si>
  <si>
    <t>Firma wykazuje wyraźną sezonowość</t>
  </si>
  <si>
    <t>Sprzedaż rośnie w drugiej połowie roku.</t>
  </si>
  <si>
    <t>Najwyższe przychody pojawiają się w okresie wrzesień–październik.</t>
  </si>
  <si>
    <t>Początek roku charakteryzuje się słabszą sprzedażą.</t>
  </si>
  <si>
    <t xml:space="preserve"> Najważniejsze obszary do poprawy</t>
  </si>
  <si>
    <t>rozwój kanału online</t>
  </si>
  <si>
    <t>poprawa marży</t>
  </si>
  <si>
    <t>standaryzacja wyników zespołów sprzedaży</t>
  </si>
  <si>
    <t>wykorzystanie sezonowych pików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</si>
</sst>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sz val="11"/>
      <color rgb="FFF3E7C8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4"/>
      <color rgb="FF896B6B"/>
      <name val="Calibri"/>
      <family val="2"/>
      <scheme val="minor"/>
    </font>
    <font>
      <sz val="12"/>
      <color rgb="FF605856"/>
      <name val="Calibri"/>
      <family val="2"/>
      <scheme val="minor"/>
    </font>
    <font>
      <b/>
      <sz val="12"/>
      <color rgb="FF60585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96B6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CD0"/>
        <bgColor indexed="64"/>
      </patternFill>
    </fill>
  </fills>
  <borders count="13">
    <border>
      <left/>
      <right/>
      <top/>
      <bottom/>
      <diagonal/>
    </border>
    <border>
      <left style="thin">
        <color rgb="FF605856"/>
      </left>
      <right style="thin">
        <color rgb="FF605856"/>
      </right>
      <top style="thin">
        <color rgb="FF605856"/>
      </top>
      <bottom style="thin">
        <color rgb="FF605856"/>
      </bottom>
      <diagonal/>
    </border>
    <border>
      <left style="thin">
        <color rgb="FF605856"/>
      </left>
      <right style="thin">
        <color rgb="FF605856"/>
      </right>
      <top/>
      <bottom style="thin">
        <color rgb="FF605856"/>
      </bottom>
      <diagonal/>
    </border>
    <border>
      <left style="thin">
        <color rgb="FF605856"/>
      </left>
      <right style="thin">
        <color rgb="FF605856"/>
      </right>
      <top style="thin">
        <color rgb="FF605856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896B6B"/>
      </left>
      <right/>
      <top/>
      <bottom/>
      <diagonal/>
    </border>
    <border>
      <left/>
      <right style="medium">
        <color rgb="FF896B6B"/>
      </right>
      <top/>
      <bottom/>
      <diagonal/>
    </border>
    <border>
      <left style="medium">
        <color rgb="FF896B6B"/>
      </left>
      <right/>
      <top/>
      <bottom style="medium">
        <color rgb="FF896B6B"/>
      </bottom>
      <diagonal/>
    </border>
    <border>
      <left/>
      <right/>
      <top/>
      <bottom style="medium">
        <color rgb="FF896B6B"/>
      </bottom>
      <diagonal/>
    </border>
    <border>
      <left/>
      <right style="medium">
        <color rgb="FF896B6B"/>
      </right>
      <top/>
      <bottom style="medium">
        <color rgb="FF896B6B"/>
      </bottom>
      <diagonal/>
    </border>
    <border>
      <left style="medium">
        <color rgb="FF896B6B"/>
      </left>
      <right/>
      <top style="medium">
        <color rgb="FF896B6B"/>
      </top>
      <bottom style="thin">
        <color rgb="FF896B6B"/>
      </bottom>
      <diagonal/>
    </border>
    <border>
      <left/>
      <right/>
      <top style="medium">
        <color rgb="FF896B6B"/>
      </top>
      <bottom style="thin">
        <color rgb="FF896B6B"/>
      </bottom>
      <diagonal/>
    </border>
    <border>
      <left/>
      <right style="medium">
        <color rgb="FF896B6B"/>
      </right>
      <top style="medium">
        <color rgb="FF896B6B"/>
      </top>
      <bottom style="thin">
        <color rgb="FF896B6B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9" fontId="0" fillId="0" borderId="0" xfId="1" applyFont="1"/>
    <xf numFmtId="0" fontId="4" fillId="3" borderId="0" xfId="0" applyFont="1" applyFill="1"/>
    <xf numFmtId="9" fontId="4" fillId="3" borderId="0" xfId="1" applyFont="1" applyFill="1"/>
    <xf numFmtId="44" fontId="4" fillId="3" borderId="0" xfId="2" applyFont="1" applyFill="1"/>
    <xf numFmtId="44" fontId="0" fillId="0" borderId="0" xfId="2" applyFont="1"/>
    <xf numFmtId="0" fontId="0" fillId="0" borderId="1" xfId="0" applyBorder="1"/>
    <xf numFmtId="14" fontId="0" fillId="0" borderId="1" xfId="0" applyNumberFormat="1" applyBorder="1"/>
    <xf numFmtId="44" fontId="0" fillId="0" borderId="1" xfId="2" applyFont="1" applyBorder="1"/>
    <xf numFmtId="9" fontId="0" fillId="0" borderId="1" xfId="1" applyFont="1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14" fontId="0" fillId="0" borderId="3" xfId="0" applyNumberFormat="1" applyBorder="1"/>
    <xf numFmtId="44" fontId="0" fillId="0" borderId="2" xfId="2" applyFont="1" applyBorder="1"/>
    <xf numFmtId="44" fontId="0" fillId="0" borderId="3" xfId="2" applyFont="1" applyBorder="1"/>
    <xf numFmtId="9" fontId="0" fillId="0" borderId="2" xfId="1" applyFont="1" applyBorder="1"/>
    <xf numFmtId="9" fontId="0" fillId="0" borderId="3" xfId="1" applyFont="1" applyBorder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2" borderId="4" xfId="0" applyFont="1" applyFill="1" applyBorder="1"/>
    <xf numFmtId="10" fontId="0" fillId="0" borderId="0" xfId="0" applyNumberFormat="1"/>
    <xf numFmtId="0" fontId="7" fillId="3" borderId="0" xfId="0" applyFont="1" applyFill="1"/>
    <xf numFmtId="44" fontId="7" fillId="3" borderId="0" xfId="2" applyFont="1" applyFill="1"/>
    <xf numFmtId="0" fontId="7" fillId="3" borderId="0" xfId="1" applyNumberFormat="1" applyFont="1" applyFill="1" applyAlignment="1">
      <alignment horizontal="center" vertical="center"/>
    </xf>
    <xf numFmtId="10" fontId="7" fillId="3" borderId="0" xfId="1" applyNumberFormat="1" applyFont="1" applyFill="1"/>
    <xf numFmtId="0" fontId="7" fillId="4" borderId="5" xfId="0" applyFont="1" applyFill="1" applyBorder="1" applyAlignment="1">
      <alignment horizontal="center" vertical="center"/>
    </xf>
    <xf numFmtId="44" fontId="7" fillId="4" borderId="0" xfId="2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44" fontId="7" fillId="4" borderId="8" xfId="2" applyFont="1" applyFill="1" applyBorder="1" applyAlignment="1">
      <alignment horizontal="center" vertical="center"/>
    </xf>
    <xf numFmtId="0" fontId="7" fillId="4" borderId="0" xfId="0" applyFont="1" applyFill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0" fontId="7" fillId="4" borderId="6" xfId="1" applyNumberFormat="1" applyFont="1" applyFill="1" applyBorder="1" applyAlignment="1">
      <alignment horizontal="center" vertical="center"/>
    </xf>
    <xf numFmtId="10" fontId="7" fillId="4" borderId="9" xfId="1" applyNumberFormat="1" applyFont="1" applyFill="1" applyBorder="1" applyAlignment="1">
      <alignment horizontal="center" vertical="center"/>
    </xf>
    <xf numFmtId="0" fontId="8" fillId="3" borderId="0" xfId="0" applyFont="1" applyFill="1"/>
    <xf numFmtId="10" fontId="0" fillId="0" borderId="0" xfId="1" applyNumberFormat="1" applyFont="1"/>
    <xf numFmtId="0" fontId="7" fillId="5" borderId="0" xfId="0" applyFont="1" applyFill="1"/>
    <xf numFmtId="44" fontId="7" fillId="5" borderId="0" xfId="2" applyFont="1" applyFill="1"/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44" fontId="7" fillId="5" borderId="0" xfId="2" applyFont="1" applyFill="1" applyBorder="1" applyAlignment="1">
      <alignment horizontal="center" vertical="center"/>
    </xf>
    <xf numFmtId="10" fontId="7" fillId="5" borderId="6" xfId="1" applyNumberFormat="1" applyFont="1" applyFill="1" applyBorder="1" applyAlignment="1">
      <alignment horizontal="center" vertical="center"/>
    </xf>
    <xf numFmtId="0" fontId="7" fillId="5" borderId="0" xfId="1" applyNumberFormat="1" applyFont="1" applyFill="1" applyAlignment="1">
      <alignment horizontal="center" vertical="center"/>
    </xf>
    <xf numFmtId="10" fontId="7" fillId="5" borderId="0" xfId="1" applyNumberFormat="1" applyFont="1" applyFill="1"/>
    <xf numFmtId="0" fontId="7" fillId="5" borderId="7" xfId="0" applyFont="1" applyFill="1" applyBorder="1" applyAlignment="1">
      <alignment horizontal="center" vertical="center"/>
    </xf>
    <xf numFmtId="44" fontId="7" fillId="5" borderId="8" xfId="2" applyFont="1" applyFill="1" applyBorder="1" applyAlignment="1">
      <alignment horizontal="center" vertical="center"/>
    </xf>
    <xf numFmtId="10" fontId="7" fillId="5" borderId="9" xfId="1" applyNumberFormat="1" applyFont="1" applyFill="1" applyBorder="1" applyAlignment="1">
      <alignment horizontal="center" vertical="center"/>
    </xf>
    <xf numFmtId="0" fontId="8" fillId="5" borderId="0" xfId="0" applyFont="1" applyFill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NumberFormat="1"/>
  </cellXfs>
  <cellStyles count="3">
    <cellStyle name="Normalny" xfId="0" builtinId="0"/>
    <cellStyle name="Procentowy" xfId="1" builtinId="5"/>
    <cellStyle name="Walutowy" xfId="2" builtinId="4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19" formatCode="d/mm/yyyy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19" formatCode="d/mm/yyyy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19" formatCode="d/mm/yyyy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0" formatCode="General"/>
      <border diagonalUp="0" diagonalDown="0">
        <left style="thin">
          <color rgb="FF605856"/>
        </left>
        <right style="thin">
          <color rgb="FF605856"/>
        </right>
        <top style="thin">
          <color rgb="FF605856"/>
        </top>
        <bottom style="thin">
          <color rgb="FF605856"/>
        </bottom>
        <vertical/>
        <horizontal/>
      </border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896B6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605856"/>
      <color rgb="FF896B6B"/>
      <color rgb="FFEBE9EB"/>
      <color rgb="FFF3E7C8"/>
      <color rgb="FFD0CCD0"/>
      <color rgb="FF787878"/>
      <color rgb="FF274156"/>
      <color rgb="FFDBDBDB"/>
      <color rgb="FFDEE5ED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39718190710877"/>
          <c:y val="0.15189873417721519"/>
          <c:w val="0.47756458466039237"/>
          <c:h val="0.62869198312236285"/>
        </c:manualLayout>
      </c:layout>
      <c:doughnutChart>
        <c:varyColors val="1"/>
        <c:ser>
          <c:idx val="0"/>
          <c:order val="0"/>
          <c:tx>
            <c:strRef>
              <c:f>ANALYST_KPI!$A$6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896B6B"/>
            </a:solidFill>
          </c:spPr>
          <c:dPt>
            <c:idx val="0"/>
            <c:bubble3D val="0"/>
            <c:spPr>
              <a:solidFill>
                <a:srgbClr val="896B6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90-43A5-8190-9E748FA455B6}"/>
              </c:ext>
            </c:extLst>
          </c:dPt>
          <c:dPt>
            <c:idx val="1"/>
            <c:bubble3D val="0"/>
            <c:spPr>
              <a:solidFill>
                <a:srgbClr val="F3E7C8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90-43A5-8190-9E748FA455B6}"/>
              </c:ext>
            </c:extLst>
          </c:dPt>
          <c:dPt>
            <c:idx val="2"/>
            <c:bubble3D val="0"/>
            <c:spPr>
              <a:solidFill>
                <a:srgbClr val="896B6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90-43A5-8190-9E748FA455B6}"/>
              </c:ext>
            </c:extLst>
          </c:dPt>
          <c:dLbls>
            <c:delete val="1"/>
          </c:dLbls>
          <c:val>
            <c:numRef>
              <c:f>ANALYST_KPI!$B$6:$D$6</c:f>
              <c:numCache>
                <c:formatCode>_("zł"* #,##0.00_);_("zł"* \(#,##0.00\);_("zł"* "-"??_);_(@_)</c:formatCode>
                <c:ptCount val="3"/>
                <c:pt idx="0">
                  <c:v>5482531.4389999937</c:v>
                </c:pt>
                <c:pt idx="1">
                  <c:v>217781.43900000016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90-43A5-8190-9E748FA455B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[sales_analysis.xlsx]ANALYST_TEAM&amp;REGION!temavschannel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Team&amp;Channel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shade val="53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53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5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53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tint val="54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54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5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54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'ANALYST_TEAM&amp;REGION'!$B$2:$B$3</c:f>
              <c:strCache>
                <c:ptCount val="1"/>
                <c:pt idx="0">
                  <c:v>Team 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3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53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5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5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53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'ANALYST_TEAM&amp;REGION'!$B$4:$B$7</c:f>
              <c:numCache>
                <c:formatCode>_("zł"* #,##0.00_);_("zł"* \(#,##0.00\);_("zł"* "-"??_);_(@_)</c:formatCode>
                <c:ptCount val="3"/>
                <c:pt idx="0">
                  <c:v>411746.44300000003</c:v>
                </c:pt>
                <c:pt idx="1">
                  <c:v>420808.86000000004</c:v>
                </c:pt>
                <c:pt idx="2">
                  <c:v>215129.09399999998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D-4A66-916C-C7C36353300B}"/>
            </c:ext>
          </c:extLst>
        </c:ser>
        <c:ser>
          <c:idx val="1"/>
          <c:order val="1"/>
          <c:tx>
            <c:strRef>
              <c:f>'ANALYST_TEAM&amp;REGION'!$C$2:$C$3</c:f>
              <c:strCache>
                <c:ptCount val="1"/>
                <c:pt idx="0">
                  <c:v>Team 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76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'ANALYST_TEAM&amp;REGION'!$C$4:$C$7</c:f>
              <c:numCache>
                <c:formatCode>_("zł"* #,##0.00_);_("zł"* \(#,##0.00\);_("zł"* "-"??_);_(@_)</c:formatCode>
                <c:ptCount val="3"/>
                <c:pt idx="0">
                  <c:v>652907.23400000017</c:v>
                </c:pt>
                <c:pt idx="1">
                  <c:v>359662.36999999994</c:v>
                </c:pt>
                <c:pt idx="2">
                  <c:v>208497.53100000002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FC-41B8-903C-6FC558A85D9C}"/>
            </c:ext>
          </c:extLst>
        </c:ser>
        <c:ser>
          <c:idx val="2"/>
          <c:order val="2"/>
          <c:tx>
            <c:strRef>
              <c:f>'ANALYST_TEAM&amp;REGION'!$D$2:$D$3</c:f>
              <c:strCache>
                <c:ptCount val="1"/>
                <c:pt idx="0">
                  <c:v>Team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'ANALYST_TEAM&amp;REGION'!$D$4:$D$7</c:f>
              <c:numCache>
                <c:formatCode>_("zł"* #,##0.00_);_("zł"* \(#,##0.00\);_("zł"* "-"??_);_(@_)</c:formatCode>
                <c:ptCount val="3"/>
                <c:pt idx="0">
                  <c:v>535212.66600000008</c:v>
                </c:pt>
                <c:pt idx="1">
                  <c:v>327205.90399999992</c:v>
                </c:pt>
                <c:pt idx="2">
                  <c:v>305008.391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FC-41B8-903C-6FC558A85D9C}"/>
            </c:ext>
          </c:extLst>
        </c:ser>
        <c:ser>
          <c:idx val="3"/>
          <c:order val="3"/>
          <c:tx>
            <c:strRef>
              <c:f>'ANALYST_TEAM&amp;REGION'!$E$2:$E$3</c:f>
              <c:strCache>
                <c:ptCount val="1"/>
                <c:pt idx="0">
                  <c:v>Team 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tint val="77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'ANALYST_TEAM&amp;REGION'!$E$4:$E$7</c:f>
              <c:numCache>
                <c:formatCode>_("zł"* #,##0.00_);_("zł"* \(#,##0.00\);_("zł"* "-"??_);_(@_)</c:formatCode>
                <c:ptCount val="3"/>
                <c:pt idx="0">
                  <c:v>509582.63500000007</c:v>
                </c:pt>
                <c:pt idx="1">
                  <c:v>184579.033</c:v>
                </c:pt>
                <c:pt idx="2">
                  <c:v>271092.17499999999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FC-41B8-903C-6FC558A85D9C}"/>
            </c:ext>
          </c:extLst>
        </c:ser>
        <c:ser>
          <c:idx val="4"/>
          <c:order val="4"/>
          <c:tx>
            <c:strRef>
              <c:f>'ANALYST_TEAM&amp;REGION'!$F$2:$F$3</c:f>
              <c:strCache>
                <c:ptCount val="1"/>
                <c:pt idx="0">
                  <c:v>Team 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4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54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5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54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tint val="54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'ANALYST_TEAM&amp;REGION'!$F$4:$F$7</c:f>
              <c:numCache>
                <c:formatCode>_("zł"* #,##0.00_);_("zł"* \(#,##0.00\);_("zł"* "-"??_);_(@_)</c:formatCode>
                <c:ptCount val="3"/>
                <c:pt idx="0">
                  <c:v>471910.02700000006</c:v>
                </c:pt>
                <c:pt idx="1">
                  <c:v>296961.35999999993</c:v>
                </c:pt>
                <c:pt idx="2">
                  <c:v>312227.7159999999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FC-41B8-903C-6FC558A85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4201392"/>
        <c:axId val="1874214352"/>
        <c:axId val="0"/>
      </c:bar3DChart>
      <c:catAx>
        <c:axId val="1874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14352"/>
        <c:crosses val="autoZero"/>
        <c:auto val="1"/>
        <c:lblAlgn val="ctr"/>
        <c:lblOffset val="100"/>
        <c:noMultiLvlLbl val="0"/>
      </c:catAx>
      <c:valAx>
        <c:axId val="18742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Profit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shade val="76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4.2730639730639728E-3"/>
              <c:y val="0.277094444444444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19050" anchor="t" anchorCtr="0">
              <a:no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127003367003367"/>
                  <c:h val="0.31428571428571428"/>
                </c:manualLayout>
              </c15:layout>
            </c:ext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-5.8960774410774408E-2"/>
              <c:y val="0.286947619047619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19050" anchor="t" anchorCtr="0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121212121212122"/>
                  <c:h val="0.3136761904761905"/>
                </c:manualLayout>
              </c15:layout>
            </c:ext>
          </c:extLst>
        </c:dLbl>
      </c:pivotFmt>
      <c:pivotFmt>
        <c:idx val="15"/>
        <c:dLbl>
          <c:idx val="0"/>
          <c:layout>
            <c:manualLayout>
              <c:x val="-1.494040404040404E-2"/>
              <c:y val="0.307127777777777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19050" anchor="t" anchorCtr="0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1"/>
          <c:showPercent val="1"/>
          <c:showBubbleSize val="1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121212121212122"/>
                  <c:h val="0.31428571428571428"/>
                </c:manualLayout>
              </c15:layout>
            </c:ext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>
              <a:shade val="76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4.2730639730639728E-3"/>
              <c:y val="0.277094444444444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19050" anchor="t" anchorCtr="0">
              <a:no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127003367003367"/>
                  <c:h val="0.31428571428571428"/>
                </c:manualLayout>
              </c15:layout>
            </c:ext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>
              <a:tint val="77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-5.8960774410774408E-2"/>
              <c:y val="0.286947619047619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19050" anchor="t" anchorCtr="0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121212121212122"/>
                  <c:h val="0.3136761904761905"/>
                </c:manualLayout>
              </c15:layout>
            </c:ext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  <a:sp3d/>
        </c:spPr>
        <c:dLbl>
          <c:idx val="0"/>
          <c:layout>
            <c:manualLayout>
              <c:x val="4.2730639730639728E-3"/>
              <c:y val="0.277094444444444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0" tIns="0" rIns="0" bIns="19050" anchor="t" anchorCtr="0">
              <a:noAutofit/>
            </a:bodyPr>
            <a:lstStyle/>
            <a:p>
              <a:pPr algn="ctr">
                <a:defRPr lang="en-US"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127003367003367"/>
                  <c:h val="0.31428571428571428"/>
                </c:manualLayout>
              </c15:layout>
            </c:ext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3">
              <a:tint val="77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-5.8960774410774408E-2"/>
              <c:y val="0.286947619047619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19050" anchor="t" anchorCtr="0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7878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121212121212122"/>
                  <c:h val="0.3136761904761905"/>
                </c:manualLayout>
              </c15:layout>
            </c:ext>
          </c:extLst>
        </c:dLbl>
      </c:pivotFmt>
      <c:pivotFmt>
        <c:idx val="24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515488215488212E-2"/>
          <c:y val="8.737857142857143E-2"/>
          <c:w val="0.97648441503158157"/>
          <c:h val="0.78640776699029125"/>
        </c:manualLayout>
      </c:layout>
      <c:bar3DChart>
        <c:barDir val="bar"/>
        <c:grouping val="percentStacked"/>
        <c:varyColors val="0"/>
        <c:ser>
          <c:idx val="0"/>
          <c:order val="0"/>
          <c:tx>
            <c:v>Serie1</c:v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1D2-4DF9-B7CB-34D0543C6F76}"/>
              </c:ext>
            </c:extLst>
          </c:dPt>
          <c:dLbls>
            <c:dLbl>
              <c:idx val="0"/>
              <c:layout>
                <c:manualLayout>
                  <c:x val="4.2730639730639728E-3"/>
                  <c:y val="0.277094444444444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0" tIns="0" rIns="0" bIns="19050" anchor="t" anchorCtr="0">
                  <a:noAutofit/>
                </a:bodyPr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78787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27003367003367"/>
                      <c:h val="0.314285714285714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1D2-4DF9-B7CB-34D0543C6F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Suma</c:v>
              </c:pt>
            </c:strLit>
          </c:cat>
          <c:val>
            <c:numLit>
              <c:formatCode>General</c:formatCode>
              <c:ptCount val="1"/>
              <c:pt idx="0">
                <c:v>84672.808999999907</c:v>
              </c:pt>
            </c:numLit>
          </c:val>
          <c:extLst>
            <c:ext xmlns:c16="http://schemas.microsoft.com/office/drawing/2014/chart" uri="{C3380CC4-5D6E-409C-BE32-E72D297353CC}">
              <c16:uniqueId val="{00000001-C1D2-4DF9-B7CB-34D0543C6F76}"/>
            </c:ext>
          </c:extLst>
        </c:ser>
        <c:ser>
          <c:idx val="1"/>
          <c:order val="1"/>
          <c:tx>
            <c:v>Serie2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BB6-45B5-B419-5002E44CBFD1}"/>
              </c:ext>
            </c:extLst>
          </c:dPt>
          <c:dLbls>
            <c:dLbl>
              <c:idx val="0"/>
              <c:layout>
                <c:manualLayout>
                  <c:x val="-5.8960774410774408E-2"/>
                  <c:y val="0.286947619047619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0" rIns="0" bIns="19050" anchor="t" anchorCtr="0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78787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121212121212122"/>
                      <c:h val="0.31367619047619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BB6-45B5-B419-5002E44CB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78787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Suma</c:v>
              </c:pt>
            </c:strLit>
          </c:cat>
          <c:val>
            <c:numLit>
              <c:formatCode>General</c:formatCode>
              <c:ptCount val="1"/>
              <c:pt idx="0">
                <c:v>94525.363999999943</c:v>
              </c:pt>
            </c:numLit>
          </c:val>
          <c:extLst>
            <c:ext xmlns:c16="http://schemas.microsoft.com/office/drawing/2014/chart" uri="{C3380CC4-5D6E-409C-BE32-E72D297353CC}">
              <c16:uniqueId val="{00000002-0DC5-4B76-ACF9-CB81DBAF8E54}"/>
            </c:ext>
          </c:extLst>
        </c:ser>
        <c:ser>
          <c:idx val="2"/>
          <c:order val="2"/>
          <c:tx>
            <c:v>Serie3</c:v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Suma</c:v>
              </c:pt>
            </c:strLit>
          </c:cat>
          <c:val>
            <c:numLit>
              <c:formatCode>General</c:formatCode>
              <c:ptCount val="1"/>
              <c:pt idx="0">
                <c:v>38583.265999999989</c:v>
              </c:pt>
            </c:numLit>
          </c:val>
          <c:extLst>
            <c:ext xmlns:c16="http://schemas.microsoft.com/office/drawing/2014/chart" uri="{C3380CC4-5D6E-409C-BE32-E72D297353CC}">
              <c16:uniqueId val="{00000003-0DC5-4B76-ACF9-CB81DBAF8E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42986624"/>
        <c:axId val="542986144"/>
        <c:axId val="0"/>
      </c:bar3DChart>
      <c:catAx>
        <c:axId val="542986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2986144"/>
        <c:crosses val="autoZero"/>
        <c:auto val="1"/>
        <c:lblAlgn val="ctr"/>
        <c:lblOffset val="100"/>
        <c:noMultiLvlLbl val="0"/>
      </c:catAx>
      <c:valAx>
        <c:axId val="54298614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4298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[sales_analysis.xlsx]ANALYST_TEAM&amp;REGION!best5product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Best product TOP5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'ANALYST_TEAM&amp;REGION'!$J$1:$J$2</c:f>
              <c:strCache>
                <c:ptCount val="1"/>
                <c:pt idx="0">
                  <c:v>Team A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'ANALYST_TEAM&amp;REGION'!$J$3:$J$8</c:f>
              <c:numCache>
                <c:formatCode>_("zł"* #,##0.00_);_("zł"* \(#,##0.00\);_("zł"* "-"??_);_(@_)</c:formatCode>
                <c:ptCount val="5"/>
                <c:pt idx="0">
                  <c:v>95422.577999999994</c:v>
                </c:pt>
                <c:pt idx="1">
                  <c:v>278532.85499999998</c:v>
                </c:pt>
                <c:pt idx="2">
                  <c:v>90597.312000000005</c:v>
                </c:pt>
                <c:pt idx="3">
                  <c:v>63620.153999999995</c:v>
                </c:pt>
                <c:pt idx="4">
                  <c:v>93536.082999999999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F-4F31-9CBA-133C33489CCE}"/>
            </c:ext>
          </c:extLst>
        </c:ser>
        <c:ser>
          <c:idx val="1"/>
          <c:order val="1"/>
          <c:tx>
            <c:strRef>
              <c:f>'ANALYST_TEAM&amp;REGION'!$K$1:$K$2</c:f>
              <c:strCache>
                <c:ptCount val="1"/>
                <c:pt idx="0">
                  <c:v>Team B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'ANALYST_TEAM&amp;REGION'!$K$3:$K$8</c:f>
              <c:numCache>
                <c:formatCode>_("zł"* #,##0.00_);_("zł"* \(#,##0.00\);_("zł"* "-"??_);_(@_)</c:formatCode>
                <c:ptCount val="5"/>
                <c:pt idx="0">
                  <c:v>159690.696</c:v>
                </c:pt>
                <c:pt idx="1">
                  <c:v>65521.745999999999</c:v>
                </c:pt>
                <c:pt idx="2">
                  <c:v>343042.94700000004</c:v>
                </c:pt>
                <c:pt idx="3">
                  <c:v>99457.956000000006</c:v>
                </c:pt>
                <c:pt idx="4">
                  <c:v>181177.10799999998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83-46F3-AC55-210228866B41}"/>
            </c:ext>
          </c:extLst>
        </c:ser>
        <c:ser>
          <c:idx val="2"/>
          <c:order val="2"/>
          <c:tx>
            <c:strRef>
              <c:f>'ANALYST_TEAM&amp;REGION'!$L$1:$L$2</c:f>
              <c:strCache>
                <c:ptCount val="1"/>
                <c:pt idx="0">
                  <c:v>Team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'ANALYST_TEAM&amp;REGION'!$L$3:$L$8</c:f>
              <c:numCache>
                <c:formatCode>_("zł"* #,##0.00_);_("zł"* \(#,##0.00\);_("zł"* "-"??_);_(@_)</c:formatCode>
                <c:ptCount val="5"/>
                <c:pt idx="0">
                  <c:v>263720.89799999999</c:v>
                </c:pt>
                <c:pt idx="1">
                  <c:v>126812.06099999999</c:v>
                </c:pt>
                <c:pt idx="2">
                  <c:v>125043.16500000001</c:v>
                </c:pt>
                <c:pt idx="3">
                  <c:v>123695.90999999999</c:v>
                </c:pt>
                <c:pt idx="4">
                  <c:v>114221.10900000001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583-46F3-AC55-210228866B41}"/>
            </c:ext>
          </c:extLst>
        </c:ser>
        <c:ser>
          <c:idx val="3"/>
          <c:order val="3"/>
          <c:tx>
            <c:strRef>
              <c:f>'ANALYST_TEAM&amp;REGION'!$M$1:$M$2</c:f>
              <c:strCache>
                <c:ptCount val="1"/>
                <c:pt idx="0">
                  <c:v>Team D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'ANALYST_TEAM&amp;REGION'!$M$3:$M$8</c:f>
              <c:numCache>
                <c:formatCode>_("zł"* #,##0.00_);_("zł"* \(#,##0.00\);_("zł"* "-"??_);_(@_)</c:formatCode>
                <c:ptCount val="5"/>
                <c:pt idx="0">
                  <c:v>138942.46799999999</c:v>
                </c:pt>
                <c:pt idx="1">
                  <c:v>142516.34099999999</c:v>
                </c:pt>
                <c:pt idx="2">
                  <c:v>81740.843999999997</c:v>
                </c:pt>
                <c:pt idx="3">
                  <c:v>80876.717999999993</c:v>
                </c:pt>
                <c:pt idx="4">
                  <c:v>62159.724000000002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583-46F3-AC55-210228866B41}"/>
            </c:ext>
          </c:extLst>
        </c:ser>
        <c:ser>
          <c:idx val="4"/>
          <c:order val="4"/>
          <c:tx>
            <c:strRef>
              <c:f>'ANALYST_TEAM&amp;REGION'!$N$1:$N$2</c:f>
              <c:strCache>
                <c:ptCount val="1"/>
                <c:pt idx="0">
                  <c:v>Team E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'ANALYST_TEAM&amp;REGION'!$N$3:$N$8</c:f>
              <c:numCache>
                <c:formatCode>_("zł"* #,##0.00_);_("zł"* \(#,##0.00\);_("zł"* "-"??_);_(@_)</c:formatCode>
                <c:ptCount val="5"/>
                <c:pt idx="0">
                  <c:v>230703.59400000001</c:v>
                </c:pt>
                <c:pt idx="1">
                  <c:v>116080.803</c:v>
                </c:pt>
                <c:pt idx="2">
                  <c:v>189506.63700000002</c:v>
                </c:pt>
                <c:pt idx="3">
                  <c:v>8771.49</c:v>
                </c:pt>
                <c:pt idx="4">
                  <c:v>52741.584000000003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583-46F3-AC55-210228866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2453728"/>
        <c:axId val="1862450368"/>
      </c:barChart>
      <c:catAx>
        <c:axId val="1862453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50368"/>
        <c:crosses val="autoZero"/>
        <c:auto val="1"/>
        <c:lblAlgn val="ctr"/>
        <c:lblOffset val="100"/>
        <c:noMultiLvlLbl val="0"/>
      </c:catAx>
      <c:valAx>
        <c:axId val="1862450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out"/>
        <c:minorTickMark val="none"/>
        <c:tickLblPos val="nextTo"/>
        <c:crossAx val="18624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96B6B"/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rgbClr val="896B6B"/>
                </a:solidFill>
              </a:rPr>
              <a:t>Revenue</a:t>
            </a:r>
            <a:endParaRPr lang="en-US">
              <a:solidFill>
                <a:srgbClr val="896B6B"/>
              </a:solidFill>
            </a:endParaRPr>
          </a:p>
        </c:rich>
      </c:tx>
      <c:layout>
        <c:manualLayout>
          <c:xMode val="edge"/>
          <c:yMode val="edge"/>
          <c:x val="0.23946472019464715"/>
          <c:y val="3.8942976356050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96B6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95121951219512"/>
              <c:y val="-0.10453920220082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95121951219512"/>
              <c:y val="-0.10453920220082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95121951219512"/>
              <c:y val="-0.10453920220082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Serie1</c:v>
          </c:tx>
          <c:spPr>
            <a:solidFill>
              <a:srgbClr val="F3E7C8"/>
            </a:solidFill>
          </c:spPr>
          <c:dPt>
            <c:idx val="0"/>
            <c:bubble3D val="0"/>
            <c:spPr>
              <a:solidFill>
                <a:srgbClr val="F3E7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2-45B5-A91C-7C4DE745B17B}"/>
              </c:ext>
            </c:extLst>
          </c:dPt>
          <c:dPt>
            <c:idx val="1"/>
            <c:bubble3D val="0"/>
            <c:spPr>
              <a:solidFill>
                <a:srgbClr val="89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F2-45B5-A91C-7C4DE745B17B}"/>
              </c:ext>
            </c:extLst>
          </c:dPt>
          <c:dLbls>
            <c:dLbl>
              <c:idx val="0"/>
              <c:layout>
                <c:manualLayout>
                  <c:x val="0.12195121951219512"/>
                  <c:y val="-0.1045392022008254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F2-45B5-A91C-7C4DE745B1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896B6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B2B</c:v>
              </c:pt>
              <c:pt idx="1">
                <c:v>B2C</c:v>
              </c:pt>
            </c:strLit>
          </c:cat>
          <c:val>
            <c:numLit>
              <c:formatCode>General</c:formatCode>
              <c:ptCount val="2"/>
              <c:pt idx="0">
                <c:v>4932320.0439999979</c:v>
              </c:pt>
              <c:pt idx="1">
                <c:v>550211.3949999999</c:v>
              </c:pt>
            </c:numLit>
          </c:val>
          <c:extLst>
            <c:ext xmlns:c16="http://schemas.microsoft.com/office/drawing/2014/chart" uri="{C3380CC4-5D6E-409C-BE32-E72D297353CC}">
              <c16:uniqueId val="{00000004-92F2-45B5-A91C-7C4DE745B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896B6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96B6B"/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rgbClr val="896B6B"/>
                </a:solidFill>
              </a:rPr>
              <a:t>Number of orders</a:t>
            </a:r>
            <a:endParaRPr lang="en-US">
              <a:solidFill>
                <a:srgbClr val="896B6B"/>
              </a:solidFill>
            </a:endParaRPr>
          </a:p>
        </c:rich>
      </c:tx>
      <c:layout>
        <c:manualLayout>
          <c:xMode val="edge"/>
          <c:yMode val="edge"/>
          <c:x val="0.2740758257999294"/>
          <c:y val="5.1023619516467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96B6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Serie1</c:v>
          </c:tx>
          <c:dPt>
            <c:idx val="0"/>
            <c:bubble3D val="0"/>
            <c:spPr>
              <a:solidFill>
                <a:srgbClr val="F3E7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B-4FFF-98B1-C9767FE02B82}"/>
              </c:ext>
            </c:extLst>
          </c:dPt>
          <c:dPt>
            <c:idx val="1"/>
            <c:bubble3D val="0"/>
            <c:spPr>
              <a:solidFill>
                <a:srgbClr val="89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B-4FFF-98B1-C9767FE02B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896B6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B2B</c:v>
              </c:pt>
              <c:pt idx="1">
                <c:v>B2C</c:v>
              </c:pt>
            </c:strLit>
          </c:cat>
          <c:val>
            <c:numLit>
              <c:formatCode>General</c:formatCode>
              <c:ptCount val="2"/>
              <c:pt idx="0">
                <c:v>514</c:v>
              </c:pt>
              <c:pt idx="1">
                <c:v>186</c:v>
              </c:pt>
            </c:numLit>
          </c:val>
          <c:extLst>
            <c:ext xmlns:c16="http://schemas.microsoft.com/office/drawing/2014/chart" uri="{C3380CC4-5D6E-409C-BE32-E72D297353CC}">
              <c16:uniqueId val="{00000004-62FB-4FFF-98B1-C9767FE02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ANALYST_KPI!$A$6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896B6B"/>
            </a:solidFill>
          </c:spPr>
          <c:dPt>
            <c:idx val="0"/>
            <c:bubble3D val="0"/>
            <c:spPr>
              <a:solidFill>
                <a:srgbClr val="896B6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20-4647-8EB4-BB2810A68051}"/>
              </c:ext>
            </c:extLst>
          </c:dPt>
          <c:dPt>
            <c:idx val="1"/>
            <c:bubble3D val="0"/>
            <c:spPr>
              <a:solidFill>
                <a:srgbClr val="F3E7C8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620-4647-8EB4-BB2810A68051}"/>
              </c:ext>
            </c:extLst>
          </c:dPt>
          <c:dPt>
            <c:idx val="2"/>
            <c:bubble3D val="0"/>
            <c:spPr>
              <a:solidFill>
                <a:srgbClr val="896B6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E6-4E8F-ADCD-450880B729FD}"/>
              </c:ext>
            </c:extLst>
          </c:dPt>
          <c:dLbls>
            <c:delete val="1"/>
          </c:dLbls>
          <c:val>
            <c:numRef>
              <c:f>ANALYST_KPI!$B$6:$D$6</c:f>
              <c:numCache>
                <c:formatCode>_("zł"* #,##0.00_);_("zł"* \(#,##0.00\);_("zł"* "-"??_);_(@_)</c:formatCode>
                <c:ptCount val="3"/>
                <c:pt idx="0">
                  <c:v>5482531.4389999937</c:v>
                </c:pt>
                <c:pt idx="1">
                  <c:v>217781.43900000016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0-4647-8EB4-BB2810A6805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[sales_analysis.xlsx]ANALYST_KPI!wzrost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ANALYST_KPI!$B$26:$B$27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ANALYST_KPI!$A$28:$A$40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ANALYST_KPI!$B$28:$B$40</c:f>
              <c:numCache>
                <c:formatCode>_("zł"* #,##0.00_);_("zł"* \(#,##0.00\);_("zł"* "-"??_);_(@_)</c:formatCode>
                <c:ptCount val="12"/>
                <c:pt idx="0">
                  <c:v>185433.818</c:v>
                </c:pt>
                <c:pt idx="1">
                  <c:v>184910.31599999996</c:v>
                </c:pt>
                <c:pt idx="2">
                  <c:v>123578.652</c:v>
                </c:pt>
                <c:pt idx="3">
                  <c:v>179548.731</c:v>
                </c:pt>
                <c:pt idx="4">
                  <c:v>287475.25599999994</c:v>
                </c:pt>
                <c:pt idx="5">
                  <c:v>231579.70599999998</c:v>
                </c:pt>
                <c:pt idx="6">
                  <c:v>234245.05800000002</c:v>
                </c:pt>
                <c:pt idx="7">
                  <c:v>182655.14900000003</c:v>
                </c:pt>
                <c:pt idx="8">
                  <c:v>165245.49400000001</c:v>
                </c:pt>
                <c:pt idx="9">
                  <c:v>272032.20799999998</c:v>
                </c:pt>
                <c:pt idx="10">
                  <c:v>118159.36900000001</c:v>
                </c:pt>
                <c:pt idx="11">
                  <c:v>165839.05200000003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2-4508-83CD-14DF9E559E86}"/>
            </c:ext>
          </c:extLst>
        </c:ser>
        <c:ser>
          <c:idx val="1"/>
          <c:order val="1"/>
          <c:tx>
            <c:strRef>
              <c:f>ANALYST_KPI!$C$26:$C$27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ANALYST_KPI!$A$28:$A$40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ANALYST_KPI!$C$28:$C$40</c:f>
              <c:numCache>
                <c:formatCode>_("zł"* #,##0.00_);_("zł"* \(#,##0.00\);_("zł"* "-"??_);_(@_)</c:formatCode>
                <c:ptCount val="12"/>
                <c:pt idx="0">
                  <c:v>168897.05300000001</c:v>
                </c:pt>
                <c:pt idx="1">
                  <c:v>70979.361999999979</c:v>
                </c:pt>
                <c:pt idx="2">
                  <c:v>245720.06700000001</c:v>
                </c:pt>
                <c:pt idx="3">
                  <c:v>159025.46099999998</c:v>
                </c:pt>
                <c:pt idx="4">
                  <c:v>157132.53599999999</c:v>
                </c:pt>
                <c:pt idx="5">
                  <c:v>217134.79400000005</c:v>
                </c:pt>
                <c:pt idx="6">
                  <c:v>178684.56000000003</c:v>
                </c:pt>
                <c:pt idx="7">
                  <c:v>207375.14700000003</c:v>
                </c:pt>
                <c:pt idx="8">
                  <c:v>185316.489</c:v>
                </c:pt>
                <c:pt idx="9">
                  <c:v>257107.74299999996</c:v>
                </c:pt>
                <c:pt idx="10">
                  <c:v>227183.08199999999</c:v>
                </c:pt>
                <c:pt idx="11">
                  <c:v>148519.07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8-45B5-B692-E86E039A3FEB}"/>
            </c:ext>
          </c:extLst>
        </c:ser>
        <c:ser>
          <c:idx val="2"/>
          <c:order val="2"/>
          <c:tx>
            <c:strRef>
              <c:f>ANALYST_KPI!$D$26:$D$27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ANALYST_KPI!$A$28:$A$40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ANALYST_KPI!$D$28:$D$40</c:f>
              <c:numCache>
                <c:formatCode>_("zł"* #,##0.00_);_("zł"* \(#,##0.00\);_("zł"* "-"??_);_(@_)</c:formatCode>
                <c:ptCount val="12"/>
                <c:pt idx="0">
                  <c:v>217007.11900000001</c:v>
                </c:pt>
                <c:pt idx="1">
                  <c:v>186662.82200000004</c:v>
                </c:pt>
                <c:pt idx="2">
                  <c:v>132388.486</c:v>
                </c:pt>
                <c:pt idx="3">
                  <c:v>188771.86499999999</c:v>
                </c:pt>
                <c:pt idx="4">
                  <c:v>136753.508</c:v>
                </c:pt>
                <c:pt idx="5">
                  <c:v>67169.466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88-45B5-B692-E86E039A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648799"/>
        <c:axId val="1065650239"/>
      </c:barChart>
      <c:catAx>
        <c:axId val="10656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0239"/>
        <c:crosses val="autoZero"/>
        <c:auto val="1"/>
        <c:lblAlgn val="ctr"/>
        <c:lblOffset val="100"/>
        <c:noMultiLvlLbl val="0"/>
      </c:catAx>
      <c:valAx>
        <c:axId val="1065650239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4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[sales_analysis.xlsx]ANALYST_TEAM&amp;REGION!temavschannel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Team&amp;Channel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'ANALYST_TEAM&amp;REGION'!$B$2:$B$3</c:f>
              <c:strCache>
                <c:ptCount val="1"/>
                <c:pt idx="0">
                  <c:v>Team 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3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53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5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5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53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'ANALYST_TEAM&amp;REGION'!$B$4:$B$7</c:f>
              <c:numCache>
                <c:formatCode>_("zł"* #,##0.00_);_("zł"* \(#,##0.00\);_("zł"* "-"??_);_(@_)</c:formatCode>
                <c:ptCount val="3"/>
                <c:pt idx="0">
                  <c:v>411746.44300000003</c:v>
                </c:pt>
                <c:pt idx="1">
                  <c:v>420808.86000000004</c:v>
                </c:pt>
                <c:pt idx="2">
                  <c:v>215129.09399999998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4-4E8E-8749-8013BC5478E8}"/>
            </c:ext>
          </c:extLst>
        </c:ser>
        <c:ser>
          <c:idx val="1"/>
          <c:order val="1"/>
          <c:tx>
            <c:strRef>
              <c:f>'ANALYST_TEAM&amp;REGION'!$C$2:$C$3</c:f>
              <c:strCache>
                <c:ptCount val="1"/>
                <c:pt idx="0">
                  <c:v>Team 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76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'ANALYST_TEAM&amp;REGION'!$C$4:$C$7</c:f>
              <c:numCache>
                <c:formatCode>_("zł"* #,##0.00_);_("zł"* \(#,##0.00\);_("zł"* "-"??_);_(@_)</c:formatCode>
                <c:ptCount val="3"/>
                <c:pt idx="0">
                  <c:v>652907.23400000017</c:v>
                </c:pt>
                <c:pt idx="1">
                  <c:v>359662.36999999994</c:v>
                </c:pt>
                <c:pt idx="2">
                  <c:v>208497.53100000002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5B-454B-ADAE-00DF77A2327D}"/>
            </c:ext>
          </c:extLst>
        </c:ser>
        <c:ser>
          <c:idx val="2"/>
          <c:order val="2"/>
          <c:tx>
            <c:strRef>
              <c:f>'ANALYST_TEAM&amp;REGION'!$D$2:$D$3</c:f>
              <c:strCache>
                <c:ptCount val="1"/>
                <c:pt idx="0">
                  <c:v>Team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'ANALYST_TEAM&amp;REGION'!$D$4:$D$7</c:f>
              <c:numCache>
                <c:formatCode>_("zł"* #,##0.00_);_("zł"* \(#,##0.00\);_("zł"* "-"??_);_(@_)</c:formatCode>
                <c:ptCount val="3"/>
                <c:pt idx="0">
                  <c:v>535212.66600000008</c:v>
                </c:pt>
                <c:pt idx="1">
                  <c:v>327205.90399999992</c:v>
                </c:pt>
                <c:pt idx="2">
                  <c:v>305008.391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5B-454B-ADAE-00DF77A2327D}"/>
            </c:ext>
          </c:extLst>
        </c:ser>
        <c:ser>
          <c:idx val="3"/>
          <c:order val="3"/>
          <c:tx>
            <c:strRef>
              <c:f>'ANALYST_TEAM&amp;REGION'!$E$2:$E$3</c:f>
              <c:strCache>
                <c:ptCount val="1"/>
                <c:pt idx="0">
                  <c:v>Team 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tint val="77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'ANALYST_TEAM&amp;REGION'!$E$4:$E$7</c:f>
              <c:numCache>
                <c:formatCode>_("zł"* #,##0.00_);_("zł"* \(#,##0.00\);_("zł"* "-"??_);_(@_)</c:formatCode>
                <c:ptCount val="3"/>
                <c:pt idx="0">
                  <c:v>509582.63500000007</c:v>
                </c:pt>
                <c:pt idx="1">
                  <c:v>184579.033</c:v>
                </c:pt>
                <c:pt idx="2">
                  <c:v>271092.17499999999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5B-454B-ADAE-00DF77A2327D}"/>
            </c:ext>
          </c:extLst>
        </c:ser>
        <c:ser>
          <c:idx val="4"/>
          <c:order val="4"/>
          <c:tx>
            <c:strRef>
              <c:f>'ANALYST_TEAM&amp;REGION'!$F$2:$F$3</c:f>
              <c:strCache>
                <c:ptCount val="1"/>
                <c:pt idx="0">
                  <c:v>Team 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4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54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5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54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tint val="54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'ANALYST_TEAM&amp;REGION'!$F$4:$F$7</c:f>
              <c:numCache>
                <c:formatCode>_("zł"* #,##0.00_);_("zł"* \(#,##0.00\);_("zł"* "-"??_);_(@_)</c:formatCode>
                <c:ptCount val="3"/>
                <c:pt idx="0">
                  <c:v>471910.02700000006</c:v>
                </c:pt>
                <c:pt idx="1">
                  <c:v>296961.35999999993</c:v>
                </c:pt>
                <c:pt idx="2">
                  <c:v>312227.7159999999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5B-454B-ADAE-00DF77A2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4201392"/>
        <c:axId val="1874214352"/>
        <c:axId val="0"/>
      </c:bar3DChart>
      <c:catAx>
        <c:axId val="1874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14352"/>
        <c:crosses val="autoZero"/>
        <c:auto val="1"/>
        <c:lblAlgn val="ctr"/>
        <c:lblOffset val="100"/>
        <c:noMultiLvlLbl val="0"/>
      </c:catAx>
      <c:valAx>
        <c:axId val="18742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[sales_analysis.xlsx]ANALYST_TEAM&amp;REGION!best5product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Best product TOP5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'ANALYST_TEAM&amp;REGION'!$J$1:$J$2</c:f>
              <c:strCache>
                <c:ptCount val="1"/>
                <c:pt idx="0">
                  <c:v>Team A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'ANALYST_TEAM&amp;REGION'!$J$3:$J$8</c:f>
              <c:numCache>
                <c:formatCode>_("zł"* #,##0.00_);_("zł"* \(#,##0.00\);_("zł"* "-"??_);_(@_)</c:formatCode>
                <c:ptCount val="5"/>
                <c:pt idx="0">
                  <c:v>95422.577999999994</c:v>
                </c:pt>
                <c:pt idx="1">
                  <c:v>278532.85499999998</c:v>
                </c:pt>
                <c:pt idx="2">
                  <c:v>90597.312000000005</c:v>
                </c:pt>
                <c:pt idx="3">
                  <c:v>63620.153999999995</c:v>
                </c:pt>
                <c:pt idx="4">
                  <c:v>93536.082999999999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D-4451-9D6B-86B58EC5A67A}"/>
            </c:ext>
          </c:extLst>
        </c:ser>
        <c:ser>
          <c:idx val="1"/>
          <c:order val="1"/>
          <c:tx>
            <c:strRef>
              <c:f>'ANALYST_TEAM&amp;REGION'!$K$1:$K$2</c:f>
              <c:strCache>
                <c:ptCount val="1"/>
                <c:pt idx="0">
                  <c:v>Team B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'ANALYST_TEAM&amp;REGION'!$K$3:$K$8</c:f>
              <c:numCache>
                <c:formatCode>_("zł"* #,##0.00_);_("zł"* \(#,##0.00\);_("zł"* "-"??_);_(@_)</c:formatCode>
                <c:ptCount val="5"/>
                <c:pt idx="0">
                  <c:v>159690.696</c:v>
                </c:pt>
                <c:pt idx="1">
                  <c:v>65521.745999999999</c:v>
                </c:pt>
                <c:pt idx="2">
                  <c:v>343042.94700000004</c:v>
                </c:pt>
                <c:pt idx="3">
                  <c:v>99457.956000000006</c:v>
                </c:pt>
                <c:pt idx="4">
                  <c:v>181177.10799999998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954-4DF3-8AB0-96012489FCF5}"/>
            </c:ext>
          </c:extLst>
        </c:ser>
        <c:ser>
          <c:idx val="2"/>
          <c:order val="2"/>
          <c:tx>
            <c:strRef>
              <c:f>'ANALYST_TEAM&amp;REGION'!$L$1:$L$2</c:f>
              <c:strCache>
                <c:ptCount val="1"/>
                <c:pt idx="0">
                  <c:v>Team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'ANALYST_TEAM&amp;REGION'!$L$3:$L$8</c:f>
              <c:numCache>
                <c:formatCode>_("zł"* #,##0.00_);_("zł"* \(#,##0.00\);_("zł"* "-"??_);_(@_)</c:formatCode>
                <c:ptCount val="5"/>
                <c:pt idx="0">
                  <c:v>263720.89799999999</c:v>
                </c:pt>
                <c:pt idx="1">
                  <c:v>126812.06099999999</c:v>
                </c:pt>
                <c:pt idx="2">
                  <c:v>125043.16500000001</c:v>
                </c:pt>
                <c:pt idx="3">
                  <c:v>123695.90999999999</c:v>
                </c:pt>
                <c:pt idx="4">
                  <c:v>114221.10900000001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954-4DF3-8AB0-96012489FCF5}"/>
            </c:ext>
          </c:extLst>
        </c:ser>
        <c:ser>
          <c:idx val="3"/>
          <c:order val="3"/>
          <c:tx>
            <c:strRef>
              <c:f>'ANALYST_TEAM&amp;REGION'!$M$1:$M$2</c:f>
              <c:strCache>
                <c:ptCount val="1"/>
                <c:pt idx="0">
                  <c:v>Team D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'ANALYST_TEAM&amp;REGION'!$M$3:$M$8</c:f>
              <c:numCache>
                <c:formatCode>_("zł"* #,##0.00_);_("zł"* \(#,##0.00\);_("zł"* "-"??_);_(@_)</c:formatCode>
                <c:ptCount val="5"/>
                <c:pt idx="0">
                  <c:v>138942.46799999999</c:v>
                </c:pt>
                <c:pt idx="1">
                  <c:v>142516.34099999999</c:v>
                </c:pt>
                <c:pt idx="2">
                  <c:v>81740.843999999997</c:v>
                </c:pt>
                <c:pt idx="3">
                  <c:v>80876.717999999993</c:v>
                </c:pt>
                <c:pt idx="4">
                  <c:v>62159.724000000002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54-4DF3-8AB0-96012489FCF5}"/>
            </c:ext>
          </c:extLst>
        </c:ser>
        <c:ser>
          <c:idx val="4"/>
          <c:order val="4"/>
          <c:tx>
            <c:strRef>
              <c:f>'ANALYST_TEAM&amp;REGION'!$N$1:$N$2</c:f>
              <c:strCache>
                <c:ptCount val="1"/>
                <c:pt idx="0">
                  <c:v>Team E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'ANALYST_TEAM&amp;REGION'!$N$3:$N$8</c:f>
              <c:numCache>
                <c:formatCode>_("zł"* #,##0.00_);_("zł"* \(#,##0.00\);_("zł"* "-"??_);_(@_)</c:formatCode>
                <c:ptCount val="5"/>
                <c:pt idx="0">
                  <c:v>230703.59400000001</c:v>
                </c:pt>
                <c:pt idx="1">
                  <c:v>116080.803</c:v>
                </c:pt>
                <c:pt idx="2">
                  <c:v>189506.63700000002</c:v>
                </c:pt>
                <c:pt idx="3">
                  <c:v>8771.49</c:v>
                </c:pt>
                <c:pt idx="4">
                  <c:v>52741.584000000003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954-4DF3-8AB0-96012489F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2453728"/>
        <c:axId val="1862450368"/>
      </c:barChart>
      <c:catAx>
        <c:axId val="1862453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50368"/>
        <c:crosses val="autoZero"/>
        <c:auto val="1"/>
        <c:lblAlgn val="ctr"/>
        <c:lblOffset val="100"/>
        <c:noMultiLvlLbl val="0"/>
      </c:catAx>
      <c:valAx>
        <c:axId val="1862450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out"/>
        <c:minorTickMark val="none"/>
        <c:tickLblPos val="nextTo"/>
        <c:crossAx val="18624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96B6B"/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rgbClr val="896B6B"/>
                </a:solidFill>
              </a:rPr>
              <a:t>Revenue</a:t>
            </a:r>
            <a:endParaRPr lang="en-US">
              <a:solidFill>
                <a:srgbClr val="896B6B"/>
              </a:solidFill>
            </a:endParaRPr>
          </a:p>
        </c:rich>
      </c:tx>
      <c:layout>
        <c:manualLayout>
          <c:xMode val="edge"/>
          <c:yMode val="edge"/>
          <c:x val="0.23946472019464715"/>
          <c:y val="3.8942976356050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96B6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95121951219512"/>
              <c:y val="-0.10453920220082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95121951219512"/>
              <c:y val="-0.10453920220082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195121951219512"/>
              <c:y val="-0.10453920220082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Serie1</c:v>
          </c:tx>
          <c:spPr>
            <a:solidFill>
              <a:srgbClr val="F3E7C8"/>
            </a:solidFill>
          </c:spPr>
          <c:dPt>
            <c:idx val="0"/>
            <c:bubble3D val="0"/>
            <c:spPr>
              <a:solidFill>
                <a:srgbClr val="F3E7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60-4019-8F27-1EAE359894F5}"/>
              </c:ext>
            </c:extLst>
          </c:dPt>
          <c:dPt>
            <c:idx val="1"/>
            <c:bubble3D val="0"/>
            <c:spPr>
              <a:solidFill>
                <a:srgbClr val="89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60-4019-8F27-1EAE359894F5}"/>
              </c:ext>
            </c:extLst>
          </c:dPt>
          <c:dLbls>
            <c:dLbl>
              <c:idx val="0"/>
              <c:layout>
                <c:manualLayout>
                  <c:x val="0.12195121951219512"/>
                  <c:y val="-0.1045392022008254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60-4019-8F27-1EAE359894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896B6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B2B</c:v>
              </c:pt>
              <c:pt idx="1">
                <c:v>B2C</c:v>
              </c:pt>
            </c:strLit>
          </c:cat>
          <c:val>
            <c:numLit>
              <c:formatCode>General</c:formatCode>
              <c:ptCount val="2"/>
              <c:pt idx="0">
                <c:v>4932320.0439999979</c:v>
              </c:pt>
              <c:pt idx="1">
                <c:v>550211.3949999999</c:v>
              </c:pt>
            </c:numLit>
          </c:val>
          <c:extLst>
            <c:ext xmlns:c16="http://schemas.microsoft.com/office/drawing/2014/chart" uri="{C3380CC4-5D6E-409C-BE32-E72D297353CC}">
              <c16:uniqueId val="{00000004-A460-4019-8F27-1EAE35989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896B6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96B6B"/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rgbClr val="896B6B"/>
                </a:solidFill>
              </a:rPr>
              <a:t>Number of orders</a:t>
            </a:r>
            <a:endParaRPr lang="en-US">
              <a:solidFill>
                <a:srgbClr val="896B6B"/>
              </a:solidFill>
            </a:endParaRPr>
          </a:p>
        </c:rich>
      </c:tx>
      <c:layout>
        <c:manualLayout>
          <c:xMode val="edge"/>
          <c:yMode val="edge"/>
          <c:x val="0.2740758257999294"/>
          <c:y val="5.1023619516467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96B6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72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896B6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3E7C8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896B6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Serie1</c:v>
          </c:tx>
          <c:dPt>
            <c:idx val="0"/>
            <c:bubble3D val="0"/>
            <c:spPr>
              <a:solidFill>
                <a:srgbClr val="F3E7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F0-40D0-BFDC-F60048AA4383}"/>
              </c:ext>
            </c:extLst>
          </c:dPt>
          <c:dPt>
            <c:idx val="1"/>
            <c:bubble3D val="0"/>
            <c:spPr>
              <a:solidFill>
                <a:srgbClr val="89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F0-40D0-BFDC-F60048AA43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896B6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B2B</c:v>
              </c:pt>
              <c:pt idx="1">
                <c:v>B2C</c:v>
              </c:pt>
            </c:strLit>
          </c:cat>
          <c:val>
            <c:numLit>
              <c:formatCode>General</c:formatCode>
              <c:ptCount val="2"/>
              <c:pt idx="0">
                <c:v>514</c:v>
              </c:pt>
              <c:pt idx="1">
                <c:v>186</c:v>
              </c:pt>
            </c:numLit>
          </c:val>
          <c:extLst>
            <c:ext xmlns:c16="http://schemas.microsoft.com/office/drawing/2014/chart" uri="{C3380CC4-5D6E-409C-BE32-E72D297353CC}">
              <c16:uniqueId val="{00000004-1FF0-40D0-BFDC-F60048AA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[sales_analysis.xlsx]ANALYST_TEAM&amp;REGION!temavschannel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/>
              <a:t>Team&amp;Channel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shade val="53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53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5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53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tint val="54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54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5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54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  <a:sp3d contourW="9525">
            <a:contourClr>
              <a:schemeClr val="accent3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'ANALYST_TEAM&amp;REGION'!$B$2:$B$3</c:f>
              <c:strCache>
                <c:ptCount val="1"/>
                <c:pt idx="0">
                  <c:v>Team 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3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53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5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5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53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'ANALYST_TEAM&amp;REGION'!$B$4:$B$7</c:f>
              <c:numCache>
                <c:formatCode>_("zł"* #,##0.00_);_("zł"* \(#,##0.00\);_("zł"* "-"??_);_(@_)</c:formatCode>
                <c:ptCount val="3"/>
                <c:pt idx="0">
                  <c:v>411746.44300000003</c:v>
                </c:pt>
                <c:pt idx="1">
                  <c:v>420808.86000000004</c:v>
                </c:pt>
                <c:pt idx="2">
                  <c:v>215129.09399999998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0-4C35-A8B6-75B9E09C14C5}"/>
            </c:ext>
          </c:extLst>
        </c:ser>
        <c:ser>
          <c:idx val="1"/>
          <c:order val="1"/>
          <c:tx>
            <c:strRef>
              <c:f>'ANALYST_TEAM&amp;REGION'!$C$2:$C$3</c:f>
              <c:strCache>
                <c:ptCount val="1"/>
                <c:pt idx="0">
                  <c:v>Team 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76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'ANALYST_TEAM&amp;REGION'!$C$4:$C$7</c:f>
              <c:numCache>
                <c:formatCode>_("zł"* #,##0.00_);_("zł"* \(#,##0.00\);_("zł"* "-"??_);_(@_)</c:formatCode>
                <c:ptCount val="3"/>
                <c:pt idx="0">
                  <c:v>652907.23400000017</c:v>
                </c:pt>
                <c:pt idx="1">
                  <c:v>359662.36999999994</c:v>
                </c:pt>
                <c:pt idx="2">
                  <c:v>208497.53100000002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93F-4D59-B8E7-E45C555CC832}"/>
            </c:ext>
          </c:extLst>
        </c:ser>
        <c:ser>
          <c:idx val="2"/>
          <c:order val="2"/>
          <c:tx>
            <c:strRef>
              <c:f>'ANALYST_TEAM&amp;REGION'!$D$2:$D$3</c:f>
              <c:strCache>
                <c:ptCount val="1"/>
                <c:pt idx="0">
                  <c:v>Team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'ANALYST_TEAM&amp;REGION'!$D$4:$D$7</c:f>
              <c:numCache>
                <c:formatCode>_("zł"* #,##0.00_);_("zł"* \(#,##0.00\);_("zł"* "-"??_);_(@_)</c:formatCode>
                <c:ptCount val="3"/>
                <c:pt idx="0">
                  <c:v>535212.66600000008</c:v>
                </c:pt>
                <c:pt idx="1">
                  <c:v>327205.90399999992</c:v>
                </c:pt>
                <c:pt idx="2">
                  <c:v>305008.391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93F-4D59-B8E7-E45C555CC832}"/>
            </c:ext>
          </c:extLst>
        </c:ser>
        <c:ser>
          <c:idx val="3"/>
          <c:order val="3"/>
          <c:tx>
            <c:strRef>
              <c:f>'ANALYST_TEAM&amp;REGION'!$E$2:$E$3</c:f>
              <c:strCache>
                <c:ptCount val="1"/>
                <c:pt idx="0">
                  <c:v>Team 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tint val="77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'ANALYST_TEAM&amp;REGION'!$E$4:$E$7</c:f>
              <c:numCache>
                <c:formatCode>_("zł"* #,##0.00_);_("zł"* \(#,##0.00\);_("zł"* "-"??_);_(@_)</c:formatCode>
                <c:ptCount val="3"/>
                <c:pt idx="0">
                  <c:v>509582.63500000007</c:v>
                </c:pt>
                <c:pt idx="1">
                  <c:v>184579.033</c:v>
                </c:pt>
                <c:pt idx="2">
                  <c:v>271092.17499999999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93F-4D59-B8E7-E45C555CC832}"/>
            </c:ext>
          </c:extLst>
        </c:ser>
        <c:ser>
          <c:idx val="4"/>
          <c:order val="4"/>
          <c:tx>
            <c:strRef>
              <c:f>'ANALYST_TEAM&amp;REGION'!$F$2:$F$3</c:f>
              <c:strCache>
                <c:ptCount val="1"/>
                <c:pt idx="0">
                  <c:v>Team 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4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54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5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54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tint val="54000"/>
                  <a:shade val="95000"/>
                </a:schemeClr>
              </a:contourClr>
            </a:sp3d>
          </c:spPr>
          <c:invertIfNegative val="0"/>
          <c:cat>
            <c:strRef>
              <c:f>'ANALYST_TEAM&amp;REGION'!$A$4:$A$7</c:f>
              <c:strCache>
                <c:ptCount val="3"/>
                <c:pt idx="0">
                  <c:v>Partner</c:v>
                </c:pt>
                <c:pt idx="1">
                  <c:v>Store</c:v>
                </c:pt>
                <c:pt idx="2">
                  <c:v>Online</c:v>
                </c:pt>
              </c:strCache>
            </c:strRef>
          </c:cat>
          <c:val>
            <c:numRef>
              <c:f>'ANALYST_TEAM&amp;REGION'!$F$4:$F$7</c:f>
              <c:numCache>
                <c:formatCode>_("zł"* #,##0.00_);_("zł"* \(#,##0.00\);_("zł"* "-"??_);_(@_)</c:formatCode>
                <c:ptCount val="3"/>
                <c:pt idx="0">
                  <c:v>471910.02700000006</c:v>
                </c:pt>
                <c:pt idx="1">
                  <c:v>296961.35999999993</c:v>
                </c:pt>
                <c:pt idx="2">
                  <c:v>312227.7159999999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93F-4D59-B8E7-E45C555CC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4201392"/>
        <c:axId val="1874214352"/>
        <c:axId val="0"/>
      </c:bar3DChart>
      <c:catAx>
        <c:axId val="1874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14352"/>
        <c:crosses val="autoZero"/>
        <c:auto val="1"/>
        <c:lblAlgn val="ctr"/>
        <c:lblOffset val="100"/>
        <c:noMultiLvlLbl val="0"/>
      </c:catAx>
      <c:valAx>
        <c:axId val="18742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[sales_analysis.xlsx]ANALYST_TEAM&amp;REGION!best5product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87878"/>
                </a:solidFill>
                <a:latin typeface="+mn-lt"/>
                <a:ea typeface="+mn-ea"/>
                <a:cs typeface="+mn-cs"/>
              </a:defRPr>
            </a:pPr>
            <a:r>
              <a:rPr lang="pl-PL" sz="1400">
                <a:solidFill>
                  <a:srgbClr val="787878"/>
                </a:solidFill>
              </a:rPr>
              <a:t>Best product TOP5</a:t>
            </a:r>
            <a:endParaRPr lang="en-US" sz="1400">
              <a:solidFill>
                <a:srgbClr val="78787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878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0CC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'ANALYST_TEAM&amp;REGION'!$J$1:$J$2</c:f>
              <c:strCache>
                <c:ptCount val="1"/>
                <c:pt idx="0">
                  <c:v>Team A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'ANALYST_TEAM&amp;REGION'!$J$3:$J$8</c:f>
              <c:numCache>
                <c:formatCode>_("zł"* #,##0.00_);_("zł"* \(#,##0.00\);_("zł"* "-"??_);_(@_)</c:formatCode>
                <c:ptCount val="5"/>
                <c:pt idx="0">
                  <c:v>95422.577999999994</c:v>
                </c:pt>
                <c:pt idx="1">
                  <c:v>278532.85499999998</c:v>
                </c:pt>
                <c:pt idx="2">
                  <c:v>90597.312000000005</c:v>
                </c:pt>
                <c:pt idx="3">
                  <c:v>63620.153999999995</c:v>
                </c:pt>
                <c:pt idx="4">
                  <c:v>93536.082999999999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0-439F-9698-D8E8DEC696FF}"/>
            </c:ext>
          </c:extLst>
        </c:ser>
        <c:ser>
          <c:idx val="1"/>
          <c:order val="1"/>
          <c:tx>
            <c:strRef>
              <c:f>'ANALYST_TEAM&amp;REGION'!$K$1:$K$2</c:f>
              <c:strCache>
                <c:ptCount val="1"/>
                <c:pt idx="0">
                  <c:v>Team B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'ANALYST_TEAM&amp;REGION'!$K$3:$K$8</c:f>
              <c:numCache>
                <c:formatCode>_("zł"* #,##0.00_);_("zł"* \(#,##0.00\);_("zł"* "-"??_);_(@_)</c:formatCode>
                <c:ptCount val="5"/>
                <c:pt idx="0">
                  <c:v>159690.696</c:v>
                </c:pt>
                <c:pt idx="1">
                  <c:v>65521.745999999999</c:v>
                </c:pt>
                <c:pt idx="2">
                  <c:v>343042.94700000004</c:v>
                </c:pt>
                <c:pt idx="3">
                  <c:v>99457.956000000006</c:v>
                </c:pt>
                <c:pt idx="4">
                  <c:v>181177.10799999998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5CA-43D8-9DB0-430F0827C913}"/>
            </c:ext>
          </c:extLst>
        </c:ser>
        <c:ser>
          <c:idx val="2"/>
          <c:order val="2"/>
          <c:tx>
            <c:strRef>
              <c:f>'ANALYST_TEAM&amp;REGION'!$L$1:$L$2</c:f>
              <c:strCache>
                <c:ptCount val="1"/>
                <c:pt idx="0">
                  <c:v>Team C</c:v>
                </c:pt>
              </c:strCache>
            </c:strRef>
          </c:tx>
          <c:spPr>
            <a:solidFill>
              <a:srgbClr val="D0CCD0"/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'ANALYST_TEAM&amp;REGION'!$L$3:$L$8</c:f>
              <c:numCache>
                <c:formatCode>_("zł"* #,##0.00_);_("zł"* \(#,##0.00\);_("zł"* "-"??_);_(@_)</c:formatCode>
                <c:ptCount val="5"/>
                <c:pt idx="0">
                  <c:v>263720.89799999999</c:v>
                </c:pt>
                <c:pt idx="1">
                  <c:v>126812.06099999999</c:v>
                </c:pt>
                <c:pt idx="2">
                  <c:v>125043.16500000001</c:v>
                </c:pt>
                <c:pt idx="3">
                  <c:v>123695.90999999999</c:v>
                </c:pt>
                <c:pt idx="4">
                  <c:v>114221.10900000001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5CA-43D8-9DB0-430F0827C913}"/>
            </c:ext>
          </c:extLst>
        </c:ser>
        <c:ser>
          <c:idx val="3"/>
          <c:order val="3"/>
          <c:tx>
            <c:strRef>
              <c:f>'ANALYST_TEAM&amp;REGION'!$M$1:$M$2</c:f>
              <c:strCache>
                <c:ptCount val="1"/>
                <c:pt idx="0">
                  <c:v>Team D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'ANALYST_TEAM&amp;REGION'!$M$3:$M$8</c:f>
              <c:numCache>
                <c:formatCode>_("zł"* #,##0.00_);_("zł"* \(#,##0.00\);_("zł"* "-"??_);_(@_)</c:formatCode>
                <c:ptCount val="5"/>
                <c:pt idx="0">
                  <c:v>138942.46799999999</c:v>
                </c:pt>
                <c:pt idx="1">
                  <c:v>142516.34099999999</c:v>
                </c:pt>
                <c:pt idx="2">
                  <c:v>81740.843999999997</c:v>
                </c:pt>
                <c:pt idx="3">
                  <c:v>80876.717999999993</c:v>
                </c:pt>
                <c:pt idx="4">
                  <c:v>62159.724000000002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5CA-43D8-9DB0-430F0827C913}"/>
            </c:ext>
          </c:extLst>
        </c:ser>
        <c:ser>
          <c:idx val="4"/>
          <c:order val="4"/>
          <c:tx>
            <c:strRef>
              <c:f>'ANALYST_TEAM&amp;REGION'!$N$1:$N$2</c:f>
              <c:strCache>
                <c:ptCount val="1"/>
                <c:pt idx="0">
                  <c:v>Team E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'ANALYST_TEAM&amp;REGION'!$I$3:$I$8</c:f>
              <c:strCache>
                <c:ptCount val="5"/>
                <c:pt idx="0">
                  <c:v>Business Laptop</c:v>
                </c:pt>
                <c:pt idx="1">
                  <c:v>Gaming Laptop</c:v>
                </c:pt>
                <c:pt idx="2">
                  <c:v>Laptop Pro 15</c:v>
                </c:pt>
                <c:pt idx="3">
                  <c:v>Standing Desk</c:v>
                </c:pt>
                <c:pt idx="4">
                  <c:v>Ultrawide Monitor</c:v>
                </c:pt>
              </c:strCache>
            </c:strRef>
          </c:cat>
          <c:val>
            <c:numRef>
              <c:f>'ANALYST_TEAM&amp;REGION'!$N$3:$N$8</c:f>
              <c:numCache>
                <c:formatCode>_("zł"* #,##0.00_);_("zł"* \(#,##0.00\);_("zł"* "-"??_);_(@_)</c:formatCode>
                <c:ptCount val="5"/>
                <c:pt idx="0">
                  <c:v>230703.59400000001</c:v>
                </c:pt>
                <c:pt idx="1">
                  <c:v>116080.803</c:v>
                </c:pt>
                <c:pt idx="2">
                  <c:v>189506.63700000002</c:v>
                </c:pt>
                <c:pt idx="3">
                  <c:v>8771.49</c:v>
                </c:pt>
                <c:pt idx="4">
                  <c:v>52741.584000000003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5CA-43D8-9DB0-430F0827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2453728"/>
        <c:axId val="1862450368"/>
      </c:barChart>
      <c:catAx>
        <c:axId val="1862453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450368"/>
        <c:crosses val="autoZero"/>
        <c:auto val="1"/>
        <c:lblAlgn val="ctr"/>
        <c:lblOffset val="100"/>
        <c:noMultiLvlLbl val="0"/>
      </c:catAx>
      <c:valAx>
        <c:axId val="1862450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out"/>
        <c:minorTickMark val="none"/>
        <c:tickLblPos val="nextTo"/>
        <c:crossAx val="186245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39718190710877"/>
          <c:y val="0.15189873417721519"/>
          <c:w val="0.47756458466039237"/>
          <c:h val="0.62869198312236285"/>
        </c:manualLayout>
      </c:layout>
      <c:doughnutChart>
        <c:varyColors val="1"/>
        <c:ser>
          <c:idx val="0"/>
          <c:order val="0"/>
          <c:tx>
            <c:strRef>
              <c:f>ANALYST_KPI!$A$6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896B6B"/>
            </a:solidFill>
          </c:spPr>
          <c:dPt>
            <c:idx val="0"/>
            <c:bubble3D val="0"/>
            <c:spPr>
              <a:solidFill>
                <a:srgbClr val="D0CCD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D8-4DCC-BB44-52143FDAC0E7}"/>
              </c:ext>
            </c:extLst>
          </c:dPt>
          <c:dPt>
            <c:idx val="1"/>
            <c:bubble3D val="0"/>
            <c:spPr>
              <a:solidFill>
                <a:srgbClr val="F3E7C8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D8-4DCC-BB44-52143FDAC0E7}"/>
              </c:ext>
            </c:extLst>
          </c:dPt>
          <c:dPt>
            <c:idx val="2"/>
            <c:bubble3D val="0"/>
            <c:spPr>
              <a:solidFill>
                <a:srgbClr val="896B6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D8-4DCC-BB44-52143FDAC0E7}"/>
              </c:ext>
            </c:extLst>
          </c:dPt>
          <c:dLbls>
            <c:delete val="1"/>
          </c:dLbls>
          <c:val>
            <c:numRef>
              <c:f>ANALYST_KPI!$B$6:$D$6</c:f>
              <c:numCache>
                <c:formatCode>_("zł"* #,##0.00_);_("zł"* \(#,##0.00\);_("zł"* "-"??_);_(@_)</c:formatCode>
                <c:ptCount val="3"/>
                <c:pt idx="0">
                  <c:v>5482531.4389999937</c:v>
                </c:pt>
                <c:pt idx="1">
                  <c:v>217781.43900000016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D8-4DCC-BB44-52143FDAC0E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[sales_analysis.xlsx]ANALYST_KPI!wzrost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87878"/>
                </a:solidFill>
                <a:latin typeface="+mn-lt"/>
                <a:ea typeface="+mn-ea"/>
                <a:cs typeface="+mn-cs"/>
              </a:defRPr>
            </a:pPr>
            <a:r>
              <a:rPr lang="pl-PL" sz="1400">
                <a:solidFill>
                  <a:srgbClr val="787878"/>
                </a:solidFill>
              </a:rPr>
              <a:t>Revenue</a:t>
            </a:r>
            <a:endParaRPr lang="en-US" sz="1400">
              <a:solidFill>
                <a:srgbClr val="787878"/>
              </a:solidFill>
            </a:endParaRPr>
          </a:p>
        </c:rich>
      </c:tx>
      <c:layout>
        <c:manualLayout>
          <c:xMode val="edge"/>
          <c:yMode val="edge"/>
          <c:x val="0.47106786307312887"/>
          <c:y val="1.5700088519735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878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058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96B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878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ANALYST_KPI!$B$26:$B$27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605856"/>
            </a:solidFill>
            <a:ln>
              <a:noFill/>
            </a:ln>
            <a:effectLst/>
          </c:spPr>
          <c:invertIfNegative val="0"/>
          <c:cat>
            <c:strRef>
              <c:f>ANALYST_KPI!$A$28:$A$40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ANALYST_KPI!$B$28:$B$40</c:f>
              <c:numCache>
                <c:formatCode>_("zł"* #,##0.00_);_("zł"* \(#,##0.00\);_("zł"* "-"??_);_(@_)</c:formatCode>
                <c:ptCount val="12"/>
                <c:pt idx="0">
                  <c:v>185433.818</c:v>
                </c:pt>
                <c:pt idx="1">
                  <c:v>184910.31599999996</c:v>
                </c:pt>
                <c:pt idx="2">
                  <c:v>123578.652</c:v>
                </c:pt>
                <c:pt idx="3">
                  <c:v>179548.731</c:v>
                </c:pt>
                <c:pt idx="4">
                  <c:v>287475.25599999994</c:v>
                </c:pt>
                <c:pt idx="5">
                  <c:v>231579.70599999998</c:v>
                </c:pt>
                <c:pt idx="6">
                  <c:v>234245.05800000002</c:v>
                </c:pt>
                <c:pt idx="7">
                  <c:v>182655.14900000003</c:v>
                </c:pt>
                <c:pt idx="8">
                  <c:v>165245.49400000001</c:v>
                </c:pt>
                <c:pt idx="9">
                  <c:v>272032.20799999998</c:v>
                </c:pt>
                <c:pt idx="10">
                  <c:v>118159.36900000001</c:v>
                </c:pt>
                <c:pt idx="11">
                  <c:v>165839.05200000003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5-4700-BF96-EF7FE6956539}"/>
            </c:ext>
          </c:extLst>
        </c:ser>
        <c:ser>
          <c:idx val="1"/>
          <c:order val="1"/>
          <c:tx>
            <c:strRef>
              <c:f>ANALYST_KPI!$C$26:$C$27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896B6B"/>
            </a:solidFill>
            <a:ln>
              <a:noFill/>
            </a:ln>
            <a:effectLst/>
          </c:spPr>
          <c:invertIfNegative val="0"/>
          <c:cat>
            <c:strRef>
              <c:f>ANALYST_KPI!$A$28:$A$40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ANALYST_KPI!$C$28:$C$40</c:f>
              <c:numCache>
                <c:formatCode>_("zł"* #,##0.00_);_("zł"* \(#,##0.00\);_("zł"* "-"??_);_(@_)</c:formatCode>
                <c:ptCount val="12"/>
                <c:pt idx="0">
                  <c:v>168897.05300000001</c:v>
                </c:pt>
                <c:pt idx="1">
                  <c:v>70979.361999999979</c:v>
                </c:pt>
                <c:pt idx="2">
                  <c:v>245720.06700000001</c:v>
                </c:pt>
                <c:pt idx="3">
                  <c:v>159025.46099999998</c:v>
                </c:pt>
                <c:pt idx="4">
                  <c:v>157132.53599999999</c:v>
                </c:pt>
                <c:pt idx="5">
                  <c:v>217134.79400000005</c:v>
                </c:pt>
                <c:pt idx="6">
                  <c:v>178684.56000000003</c:v>
                </c:pt>
                <c:pt idx="7">
                  <c:v>207375.14700000003</c:v>
                </c:pt>
                <c:pt idx="8">
                  <c:v>185316.489</c:v>
                </c:pt>
                <c:pt idx="9">
                  <c:v>257107.74299999996</c:v>
                </c:pt>
                <c:pt idx="10">
                  <c:v>227183.08199999999</c:v>
                </c:pt>
                <c:pt idx="11">
                  <c:v>148519.07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73-4AE7-AC79-B671539A451C}"/>
            </c:ext>
          </c:extLst>
        </c:ser>
        <c:ser>
          <c:idx val="2"/>
          <c:order val="2"/>
          <c:tx>
            <c:strRef>
              <c:f>ANALYST_KPI!$D$26:$D$27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787878"/>
            </a:solidFill>
            <a:ln>
              <a:noFill/>
            </a:ln>
            <a:effectLst/>
          </c:spPr>
          <c:invertIfNegative val="0"/>
          <c:cat>
            <c:strRef>
              <c:f>ANALYST_KPI!$A$28:$A$40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ANALYST_KPI!$D$28:$D$40</c:f>
              <c:numCache>
                <c:formatCode>_("zł"* #,##0.00_);_("zł"* \(#,##0.00\);_("zł"* "-"??_);_(@_)</c:formatCode>
                <c:ptCount val="12"/>
                <c:pt idx="0">
                  <c:v>217007.11900000001</c:v>
                </c:pt>
                <c:pt idx="1">
                  <c:v>186662.82200000004</c:v>
                </c:pt>
                <c:pt idx="2">
                  <c:v>132388.486</c:v>
                </c:pt>
                <c:pt idx="3">
                  <c:v>188771.86499999999</c:v>
                </c:pt>
                <c:pt idx="4">
                  <c:v>136753.508</c:v>
                </c:pt>
                <c:pt idx="5">
                  <c:v>67169.466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73-4AE7-AC79-B671539A4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648799"/>
        <c:axId val="1065650239"/>
      </c:barChart>
      <c:catAx>
        <c:axId val="10656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0239"/>
        <c:crosses val="autoZero"/>
        <c:auto val="1"/>
        <c:lblAlgn val="ctr"/>
        <c:lblOffset val="100"/>
        <c:noMultiLvlLbl val="0"/>
      </c:catAx>
      <c:valAx>
        <c:axId val="1065650239"/>
        <c:scaling>
          <c:orientation val="minMax"/>
          <c:min val="10000"/>
        </c:scaling>
        <c:delete val="0"/>
        <c:axPos val="l"/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487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hyperlink" Target="#piggi!A1"/><Relationship Id="rId18" Type="http://schemas.openxmlformats.org/officeDocument/2006/relationships/image" Target="../media/image13.png"/><Relationship Id="rId3" Type="http://schemas.openxmlformats.org/officeDocument/2006/relationships/chart" Target="../charts/chart1.xml"/><Relationship Id="rId21" Type="http://schemas.openxmlformats.org/officeDocument/2006/relationships/image" Target="../media/image16.svg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17" Type="http://schemas.openxmlformats.org/officeDocument/2006/relationships/image" Target="../media/image12.svg"/><Relationship Id="rId25" Type="http://schemas.openxmlformats.org/officeDocument/2006/relationships/chart" Target="../charts/chart6.xml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20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7.png"/><Relationship Id="rId24" Type="http://schemas.openxmlformats.org/officeDocument/2006/relationships/chart" Target="../charts/chart5.xml"/><Relationship Id="rId5" Type="http://schemas.openxmlformats.org/officeDocument/2006/relationships/chart" Target="../charts/chart3.xml"/><Relationship Id="rId15" Type="http://schemas.openxmlformats.org/officeDocument/2006/relationships/image" Target="../media/image10.svg"/><Relationship Id="rId23" Type="http://schemas.openxmlformats.org/officeDocument/2006/relationships/image" Target="../media/image18.svg"/><Relationship Id="rId10" Type="http://schemas.openxmlformats.org/officeDocument/2006/relationships/image" Target="../media/image6.svg"/><Relationship Id="rId19" Type="http://schemas.openxmlformats.org/officeDocument/2006/relationships/image" Target="../media/image14.svg"/><Relationship Id="rId4" Type="http://schemas.openxmlformats.org/officeDocument/2006/relationships/chart" Target="../charts/chart2.xml"/><Relationship Id="rId9" Type="http://schemas.openxmlformats.org/officeDocument/2006/relationships/image" Target="../media/image5.png"/><Relationship Id="rId14" Type="http://schemas.openxmlformats.org/officeDocument/2006/relationships/image" Target="../media/image9.png"/><Relationship Id="rId22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svg"/><Relationship Id="rId3" Type="http://schemas.openxmlformats.org/officeDocument/2006/relationships/chart" Target="../charts/chart13.xml"/><Relationship Id="rId7" Type="http://schemas.openxmlformats.org/officeDocument/2006/relationships/chart" Target="../charts/chart15.xml"/><Relationship Id="rId12" Type="http://schemas.openxmlformats.org/officeDocument/2006/relationships/image" Target="../media/image25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20.svg"/><Relationship Id="rId11" Type="http://schemas.openxmlformats.org/officeDocument/2006/relationships/image" Target="../media/image24.svg"/><Relationship Id="rId5" Type="http://schemas.openxmlformats.org/officeDocument/2006/relationships/image" Target="../media/image19.png"/><Relationship Id="rId10" Type="http://schemas.openxmlformats.org/officeDocument/2006/relationships/image" Target="../media/image23.png"/><Relationship Id="rId4" Type="http://schemas.openxmlformats.org/officeDocument/2006/relationships/chart" Target="../charts/chart14.xml"/><Relationship Id="rId9" Type="http://schemas.openxmlformats.org/officeDocument/2006/relationships/image" Target="../media/image22.svg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215900</xdr:colOff>
      <xdr:row>1</xdr:row>
      <xdr:rowOff>179211</xdr:rowOff>
    </xdr:from>
    <xdr:to>
      <xdr:col>12</xdr:col>
      <xdr:colOff>0</xdr:colOff>
      <xdr:row>20</xdr:row>
      <xdr:rowOff>0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9301239D-D32F-4321-A70C-37DB83F9EC09}"/>
            </a:ext>
          </a:extLst>
        </xdr:cNvPr>
        <xdr:cNvSpPr>
          <a:spLocks noChangeAspect="1"/>
        </xdr:cNvSpPr>
      </xdr:nvSpPr>
      <xdr:spPr>
        <a:xfrm>
          <a:off x="215900" y="484011"/>
          <a:ext cx="15900400" cy="5611989"/>
        </a:xfrm>
        <a:prstGeom prst="roundRect">
          <a:avLst>
            <a:gd name="adj" fmla="val 1128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0</xdr:colOff>
      <xdr:row>2</xdr:row>
      <xdr:rowOff>127000</xdr:rowOff>
    </xdr:from>
    <xdr:to>
      <xdr:col>2</xdr:col>
      <xdr:colOff>1178277</xdr:colOff>
      <xdr:row>6</xdr:row>
      <xdr:rowOff>0</xdr:rowOff>
    </xdr:to>
    <xdr:grpSp>
      <xdr:nvGrpSpPr>
        <xdr:cNvPr id="3" name="Grupa 2">
          <a:extLst>
            <a:ext uri="{FF2B5EF4-FFF2-40B4-BE49-F238E27FC236}">
              <a16:creationId xmlns:a16="http://schemas.microsoft.com/office/drawing/2014/main" id="{6ADC3956-F3A2-4237-91A9-318DB77FD3E3}"/>
            </a:ext>
          </a:extLst>
        </xdr:cNvPr>
        <xdr:cNvGrpSpPr/>
      </xdr:nvGrpSpPr>
      <xdr:grpSpPr>
        <a:xfrm>
          <a:off x="1409700" y="736600"/>
          <a:ext cx="2580357" cy="1092200"/>
          <a:chOff x="2659945" y="1763888"/>
          <a:chExt cx="2617611" cy="1086555"/>
        </a:xfrm>
      </xdr:grpSpPr>
      <xdr:sp macro="" textlink="">
        <xdr:nvSpPr>
          <xdr:cNvPr id="4" name="Prostokąt: zaokrąglone rogi 3">
            <a:extLst>
              <a:ext uri="{FF2B5EF4-FFF2-40B4-BE49-F238E27FC236}">
                <a16:creationId xmlns:a16="http://schemas.microsoft.com/office/drawing/2014/main" id="{88684C5E-10F0-8231-21E7-CB33349B8B7B}"/>
              </a:ext>
            </a:extLst>
          </xdr:cNvPr>
          <xdr:cNvSpPr/>
        </xdr:nvSpPr>
        <xdr:spPr>
          <a:xfrm>
            <a:off x="2659945" y="1763888"/>
            <a:ext cx="2617611" cy="1086555"/>
          </a:xfrm>
          <a:prstGeom prst="roundRect">
            <a:avLst>
              <a:gd name="adj" fmla="val 13420"/>
            </a:avLst>
          </a:prstGeom>
          <a:solidFill>
            <a:schemeClr val="bg1"/>
          </a:solidFill>
          <a:ln w="3175">
            <a:noFill/>
          </a:ln>
          <a:effectLst>
            <a:outerShdw blurRad="241300" dist="38100" dir="8100000" sx="103000" sy="103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200">
              <a:solidFill>
                <a:srgbClr val="605856"/>
              </a:solidFill>
            </a:endParaRPr>
          </a:p>
        </xdr:txBody>
      </xdr:sp>
      <xdr:sp macro="" textlink="ANALYST_KPI!B6">
        <xdr:nvSpPr>
          <xdr:cNvPr id="5" name="pole tekstowe 4">
            <a:extLst>
              <a:ext uri="{FF2B5EF4-FFF2-40B4-BE49-F238E27FC236}">
                <a16:creationId xmlns:a16="http://schemas.microsoft.com/office/drawing/2014/main" id="{CDCD6969-4082-305B-8F9B-C45D3AB55D11}"/>
              </a:ext>
            </a:extLst>
          </xdr:cNvPr>
          <xdr:cNvSpPr txBox="1"/>
        </xdr:nvSpPr>
        <xdr:spPr>
          <a:xfrm>
            <a:off x="3252611" y="2109612"/>
            <a:ext cx="1968500" cy="395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228FD3D-57DD-4DBF-8AC1-9394E4374CE4}" type="TxLink">
              <a:rPr lang="en-US" sz="2000" b="0" i="0" u="none" strike="noStrike">
                <a:solidFill>
                  <a:srgbClr val="605856"/>
                </a:solidFill>
                <a:latin typeface="Calibri"/>
                <a:ea typeface="Calibri"/>
                <a:cs typeface="Calibri"/>
              </a:rPr>
              <a:pPr algn="ctr"/>
              <a:t> 5 482 531,44 zł </a:t>
            </a:fld>
            <a:endParaRPr lang="en-US" sz="2000">
              <a:solidFill>
                <a:srgbClr val="605856"/>
              </a:solidFill>
            </a:endParaRPr>
          </a:p>
        </xdr:txBody>
      </xdr:sp>
      <xdr:pic>
        <xdr:nvPicPr>
          <xdr:cNvPr id="6" name="Grafika 5" descr="Wykres słupkowy z trendem wzrostowym z wypełnieniem pełnym">
            <a:extLst>
              <a:ext uri="{FF2B5EF4-FFF2-40B4-BE49-F238E27FC236}">
                <a16:creationId xmlns:a16="http://schemas.microsoft.com/office/drawing/2014/main" id="{7EF58B5D-D7EC-0ADB-D5EB-B66B639D61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037415" y="2060223"/>
            <a:ext cx="500943" cy="500943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312208</xdr:colOff>
      <xdr:row>2</xdr:row>
      <xdr:rowOff>127000</xdr:rowOff>
    </xdr:from>
    <xdr:to>
      <xdr:col>5</xdr:col>
      <xdr:colOff>545042</xdr:colOff>
      <xdr:row>6</xdr:row>
      <xdr:rowOff>0</xdr:rowOff>
    </xdr:to>
    <xdr:grpSp>
      <xdr:nvGrpSpPr>
        <xdr:cNvPr id="7" name="Grupa 6">
          <a:extLst>
            <a:ext uri="{FF2B5EF4-FFF2-40B4-BE49-F238E27FC236}">
              <a16:creationId xmlns:a16="http://schemas.microsoft.com/office/drawing/2014/main" id="{712CFEA1-143B-4F72-95D9-AE0CC42470DA}"/>
            </a:ext>
          </a:extLst>
        </xdr:cNvPr>
        <xdr:cNvGrpSpPr/>
      </xdr:nvGrpSpPr>
      <xdr:grpSpPr>
        <a:xfrm>
          <a:off x="4305088" y="736600"/>
          <a:ext cx="2572174" cy="1092200"/>
          <a:chOff x="2659945" y="1763888"/>
          <a:chExt cx="2617611" cy="1086555"/>
        </a:xfrm>
      </xdr:grpSpPr>
      <xdr:sp macro="" textlink="">
        <xdr:nvSpPr>
          <xdr:cNvPr id="8" name="Prostokąt: zaokrąglone rogi 7">
            <a:extLst>
              <a:ext uri="{FF2B5EF4-FFF2-40B4-BE49-F238E27FC236}">
                <a16:creationId xmlns:a16="http://schemas.microsoft.com/office/drawing/2014/main" id="{57309488-50F4-0944-62D9-9A78DBCD1E1B}"/>
              </a:ext>
            </a:extLst>
          </xdr:cNvPr>
          <xdr:cNvSpPr/>
        </xdr:nvSpPr>
        <xdr:spPr>
          <a:xfrm>
            <a:off x="2659945" y="1763888"/>
            <a:ext cx="2617611" cy="1086555"/>
          </a:xfrm>
          <a:prstGeom prst="roundRect">
            <a:avLst>
              <a:gd name="adj" fmla="val 13420"/>
            </a:avLst>
          </a:prstGeom>
          <a:solidFill>
            <a:schemeClr val="bg1"/>
          </a:solidFill>
          <a:ln w="3175">
            <a:noFill/>
          </a:ln>
          <a:effectLst>
            <a:outerShdw blurRad="241300" dist="38100" dir="8100000" sx="103000" sy="103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200">
              <a:solidFill>
                <a:srgbClr val="605856"/>
              </a:solidFill>
            </a:endParaRPr>
          </a:p>
        </xdr:txBody>
      </xdr:sp>
      <xdr:sp macro="" textlink="ANALYST_KPI!B7">
        <xdr:nvSpPr>
          <xdr:cNvPr id="9" name="pole tekstowe 8">
            <a:extLst>
              <a:ext uri="{FF2B5EF4-FFF2-40B4-BE49-F238E27FC236}">
                <a16:creationId xmlns:a16="http://schemas.microsoft.com/office/drawing/2014/main" id="{A8AD5DE3-133D-228F-9FB7-949A9C678497}"/>
              </a:ext>
            </a:extLst>
          </xdr:cNvPr>
          <xdr:cNvSpPr txBox="1"/>
        </xdr:nvSpPr>
        <xdr:spPr>
          <a:xfrm>
            <a:off x="3252611" y="2109612"/>
            <a:ext cx="1968500" cy="395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746E603-15A5-49EC-9A6A-3677D638151C}" type="TxLink">
              <a:rPr lang="en-US" sz="2000" b="0" i="0" u="none" strike="noStrike">
                <a:solidFill>
                  <a:srgbClr val="605856"/>
                </a:solidFill>
                <a:latin typeface="Calibri"/>
                <a:ea typeface="Calibri"/>
                <a:cs typeface="Calibri"/>
              </a:rPr>
              <a:pPr algn="ctr"/>
              <a:t> 217 781,44 zł </a:t>
            </a:fld>
            <a:endParaRPr lang="en-US" sz="2000">
              <a:solidFill>
                <a:srgbClr val="605856"/>
              </a:solidFill>
            </a:endParaRPr>
          </a:p>
        </xdr:txBody>
      </xdr:sp>
    </xdr:grpSp>
    <xdr:clientData/>
  </xdr:twoCellAnchor>
  <xdr:twoCellAnchor editAs="absolute">
    <xdr:from>
      <xdr:col>5</xdr:col>
      <xdr:colOff>871362</xdr:colOff>
      <xdr:row>2</xdr:row>
      <xdr:rowOff>127000</xdr:rowOff>
    </xdr:from>
    <xdr:to>
      <xdr:col>7</xdr:col>
      <xdr:colOff>1351139</xdr:colOff>
      <xdr:row>6</xdr:row>
      <xdr:rowOff>0</xdr:rowOff>
    </xdr:to>
    <xdr:grpSp>
      <xdr:nvGrpSpPr>
        <xdr:cNvPr id="10" name="Grupa 9">
          <a:extLst>
            <a:ext uri="{FF2B5EF4-FFF2-40B4-BE49-F238E27FC236}">
              <a16:creationId xmlns:a16="http://schemas.microsoft.com/office/drawing/2014/main" id="{C844D229-91DA-40FC-B5D9-F10417A00DF8}"/>
            </a:ext>
          </a:extLst>
        </xdr:cNvPr>
        <xdr:cNvGrpSpPr/>
      </xdr:nvGrpSpPr>
      <xdr:grpSpPr>
        <a:xfrm>
          <a:off x="7203582" y="736600"/>
          <a:ext cx="2582897" cy="1092200"/>
          <a:chOff x="2659945" y="1763888"/>
          <a:chExt cx="2617611" cy="1086555"/>
        </a:xfrm>
      </xdr:grpSpPr>
      <xdr:sp macro="" textlink="">
        <xdr:nvSpPr>
          <xdr:cNvPr id="11" name="Prostokąt: zaokrąglone rogi 10">
            <a:extLst>
              <a:ext uri="{FF2B5EF4-FFF2-40B4-BE49-F238E27FC236}">
                <a16:creationId xmlns:a16="http://schemas.microsoft.com/office/drawing/2014/main" id="{2DD9C74A-9D21-CB6F-7D35-C51CA6E032A7}"/>
              </a:ext>
            </a:extLst>
          </xdr:cNvPr>
          <xdr:cNvSpPr/>
        </xdr:nvSpPr>
        <xdr:spPr>
          <a:xfrm>
            <a:off x="2659945" y="1763888"/>
            <a:ext cx="2617611" cy="1086555"/>
          </a:xfrm>
          <a:prstGeom prst="roundRect">
            <a:avLst>
              <a:gd name="adj" fmla="val 13420"/>
            </a:avLst>
          </a:prstGeom>
          <a:solidFill>
            <a:schemeClr val="bg1"/>
          </a:solidFill>
          <a:ln w="3175">
            <a:noFill/>
          </a:ln>
          <a:effectLst>
            <a:outerShdw blurRad="241300" dist="38100" dir="8100000" sx="103000" sy="103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200">
              <a:solidFill>
                <a:srgbClr val="605856"/>
              </a:solidFill>
            </a:endParaRPr>
          </a:p>
        </xdr:txBody>
      </xdr:sp>
      <xdr:sp macro="" textlink="ANALYST_KPI!B8">
        <xdr:nvSpPr>
          <xdr:cNvPr id="12" name="pole tekstowe 11">
            <a:extLst>
              <a:ext uri="{FF2B5EF4-FFF2-40B4-BE49-F238E27FC236}">
                <a16:creationId xmlns:a16="http://schemas.microsoft.com/office/drawing/2014/main" id="{083726E4-6DCC-71BC-CAE6-10078C7FBEE4}"/>
              </a:ext>
            </a:extLst>
          </xdr:cNvPr>
          <xdr:cNvSpPr txBox="1"/>
        </xdr:nvSpPr>
        <xdr:spPr>
          <a:xfrm>
            <a:off x="3252611" y="2109612"/>
            <a:ext cx="1968500" cy="395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05F86A7-D279-455B-8DF7-10734F73FEC2}" type="TxLink">
              <a:rPr lang="en-US" sz="2000" b="0" i="0" u="none" strike="noStrike">
                <a:solidFill>
                  <a:srgbClr val="605856"/>
                </a:solidFill>
                <a:latin typeface="Calibri"/>
                <a:ea typeface="Calibri"/>
                <a:cs typeface="Calibri"/>
              </a:rPr>
              <a:pPr algn="ctr"/>
              <a:t>700</a:t>
            </a:fld>
            <a:endParaRPr lang="en-US" sz="2000">
              <a:solidFill>
                <a:srgbClr val="605856"/>
              </a:solidFill>
            </a:endParaRPr>
          </a:p>
        </xdr:txBody>
      </xdr:sp>
    </xdr:grpSp>
    <xdr:clientData/>
  </xdr:twoCellAnchor>
  <xdr:twoCellAnchor editAs="absolute">
    <xdr:from>
      <xdr:col>8</xdr:col>
      <xdr:colOff>238126</xdr:colOff>
      <xdr:row>2</xdr:row>
      <xdr:rowOff>127000</xdr:rowOff>
    </xdr:from>
    <xdr:to>
      <xdr:col>9</xdr:col>
      <xdr:colOff>1416404</xdr:colOff>
      <xdr:row>6</xdr:row>
      <xdr:rowOff>0</xdr:rowOff>
    </xdr:to>
    <xdr:grpSp>
      <xdr:nvGrpSpPr>
        <xdr:cNvPr id="13" name="Grupa 12">
          <a:extLst>
            <a:ext uri="{FF2B5EF4-FFF2-40B4-BE49-F238E27FC236}">
              <a16:creationId xmlns:a16="http://schemas.microsoft.com/office/drawing/2014/main" id="{BAD4974C-1B3D-48AE-A70B-05A3A0DBFF28}"/>
            </a:ext>
          </a:extLst>
        </xdr:cNvPr>
        <xdr:cNvGrpSpPr/>
      </xdr:nvGrpSpPr>
      <xdr:grpSpPr>
        <a:xfrm>
          <a:off x="10083166" y="736600"/>
          <a:ext cx="2580358" cy="1092200"/>
          <a:chOff x="2659945" y="1763888"/>
          <a:chExt cx="2617611" cy="1086555"/>
        </a:xfrm>
      </xdr:grpSpPr>
      <xdr:sp macro="" textlink="">
        <xdr:nvSpPr>
          <xdr:cNvPr id="14" name="Prostokąt: zaokrąglone rogi 13">
            <a:extLst>
              <a:ext uri="{FF2B5EF4-FFF2-40B4-BE49-F238E27FC236}">
                <a16:creationId xmlns:a16="http://schemas.microsoft.com/office/drawing/2014/main" id="{AC1FF455-66AB-7DA3-0874-0E41CE1F41B5}"/>
              </a:ext>
            </a:extLst>
          </xdr:cNvPr>
          <xdr:cNvSpPr/>
        </xdr:nvSpPr>
        <xdr:spPr>
          <a:xfrm>
            <a:off x="2659945" y="1763888"/>
            <a:ext cx="2617611" cy="1086555"/>
          </a:xfrm>
          <a:prstGeom prst="roundRect">
            <a:avLst>
              <a:gd name="adj" fmla="val 13420"/>
            </a:avLst>
          </a:prstGeom>
          <a:solidFill>
            <a:schemeClr val="bg1"/>
          </a:solidFill>
          <a:ln w="3175">
            <a:noFill/>
          </a:ln>
          <a:effectLst>
            <a:outerShdw blurRad="241300" dist="38100" dir="8100000" sx="103000" sy="103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200">
              <a:solidFill>
                <a:srgbClr val="605856"/>
              </a:solidFill>
            </a:endParaRPr>
          </a:p>
        </xdr:txBody>
      </xdr:sp>
      <xdr:sp macro="" textlink="ANALYST_KPI!B9">
        <xdr:nvSpPr>
          <xdr:cNvPr id="15" name="pole tekstowe 14">
            <a:extLst>
              <a:ext uri="{FF2B5EF4-FFF2-40B4-BE49-F238E27FC236}">
                <a16:creationId xmlns:a16="http://schemas.microsoft.com/office/drawing/2014/main" id="{1541ACDF-0676-8329-A7FD-9CBDBE20680E}"/>
              </a:ext>
            </a:extLst>
          </xdr:cNvPr>
          <xdr:cNvSpPr txBox="1"/>
        </xdr:nvSpPr>
        <xdr:spPr>
          <a:xfrm>
            <a:off x="3252611" y="2109612"/>
            <a:ext cx="1968500" cy="395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EDCDEE6-5FD0-4D4D-B2E8-0DE2D7D7E7B0}" type="TxLink">
              <a:rPr lang="en-US" sz="2000" b="0" i="0" u="none" strike="noStrike">
                <a:solidFill>
                  <a:srgbClr val="605856"/>
                </a:solidFill>
                <a:latin typeface="Calibri"/>
                <a:ea typeface="Calibri"/>
                <a:cs typeface="Calibri"/>
              </a:rPr>
              <a:pPr algn="ctr"/>
              <a:t>4,19%</a:t>
            </a:fld>
            <a:endParaRPr lang="en-US" sz="2000">
              <a:solidFill>
                <a:srgbClr val="605856"/>
              </a:solidFill>
            </a:endParaRPr>
          </a:p>
        </xdr:txBody>
      </xdr:sp>
    </xdr:grpSp>
    <xdr:clientData/>
  </xdr:twoCellAnchor>
  <xdr:twoCellAnchor editAs="absolute">
    <xdr:from>
      <xdr:col>10</xdr:col>
      <xdr:colOff>303389</xdr:colOff>
      <xdr:row>2</xdr:row>
      <xdr:rowOff>127000</xdr:rowOff>
    </xdr:from>
    <xdr:to>
      <xdr:col>11</xdr:col>
      <xdr:colOff>1552223</xdr:colOff>
      <xdr:row>6</xdr:row>
      <xdr:rowOff>0</xdr:rowOff>
    </xdr:to>
    <xdr:grpSp>
      <xdr:nvGrpSpPr>
        <xdr:cNvPr id="16" name="Grupa 15">
          <a:extLst>
            <a:ext uri="{FF2B5EF4-FFF2-40B4-BE49-F238E27FC236}">
              <a16:creationId xmlns:a16="http://schemas.microsoft.com/office/drawing/2014/main" id="{1C88CFDA-DA46-4EC5-945C-638AB1112DA9}"/>
            </a:ext>
          </a:extLst>
        </xdr:cNvPr>
        <xdr:cNvGrpSpPr/>
      </xdr:nvGrpSpPr>
      <xdr:grpSpPr>
        <a:xfrm>
          <a:off x="12967829" y="736600"/>
          <a:ext cx="2589954" cy="1092200"/>
          <a:chOff x="2659945" y="1763888"/>
          <a:chExt cx="2617611" cy="1086555"/>
        </a:xfrm>
      </xdr:grpSpPr>
      <xdr:sp macro="" textlink="">
        <xdr:nvSpPr>
          <xdr:cNvPr id="17" name="Prostokąt: zaokrąglone rogi 16">
            <a:extLst>
              <a:ext uri="{FF2B5EF4-FFF2-40B4-BE49-F238E27FC236}">
                <a16:creationId xmlns:a16="http://schemas.microsoft.com/office/drawing/2014/main" id="{3FDA8C81-A364-B389-701E-082157E3EE99}"/>
              </a:ext>
            </a:extLst>
          </xdr:cNvPr>
          <xdr:cNvSpPr/>
        </xdr:nvSpPr>
        <xdr:spPr>
          <a:xfrm>
            <a:off x="2659945" y="1763888"/>
            <a:ext cx="2617611" cy="1086555"/>
          </a:xfrm>
          <a:prstGeom prst="roundRect">
            <a:avLst>
              <a:gd name="adj" fmla="val 13420"/>
            </a:avLst>
          </a:prstGeom>
          <a:solidFill>
            <a:schemeClr val="bg1"/>
          </a:solidFill>
          <a:ln w="3175">
            <a:noFill/>
          </a:ln>
          <a:effectLst>
            <a:outerShdw blurRad="241300" dist="38100" dir="8100000" sx="103000" sy="103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 sz="1200">
              <a:solidFill>
                <a:srgbClr val="605856"/>
              </a:solidFill>
            </a:endParaRPr>
          </a:p>
        </xdr:txBody>
      </xdr:sp>
      <xdr:sp macro="" textlink="ANALYST_KPI!B10">
        <xdr:nvSpPr>
          <xdr:cNvPr id="18" name="pole tekstowe 17">
            <a:extLst>
              <a:ext uri="{FF2B5EF4-FFF2-40B4-BE49-F238E27FC236}">
                <a16:creationId xmlns:a16="http://schemas.microsoft.com/office/drawing/2014/main" id="{285CAF64-574C-95AA-9C55-DABA94217136}"/>
              </a:ext>
            </a:extLst>
          </xdr:cNvPr>
          <xdr:cNvSpPr txBox="1"/>
        </xdr:nvSpPr>
        <xdr:spPr>
          <a:xfrm>
            <a:off x="3252611" y="2109612"/>
            <a:ext cx="1968500" cy="395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A00028E-153F-4CE5-9E27-6F04B2AF26DB}" type="TxLink">
              <a:rPr lang="en-US" sz="2000" b="0" i="0" u="none" strike="noStrike">
                <a:solidFill>
                  <a:srgbClr val="605856"/>
                </a:solidFill>
                <a:latin typeface="Calibri"/>
                <a:ea typeface="Calibri"/>
                <a:cs typeface="Calibri"/>
              </a:rPr>
              <a:pPr algn="ctr"/>
              <a:t> 5 264 750,00 zł </a:t>
            </a:fld>
            <a:endParaRPr lang="en-US" sz="2000">
              <a:solidFill>
                <a:srgbClr val="605856"/>
              </a:solidFill>
            </a:endParaRPr>
          </a:p>
        </xdr:txBody>
      </xdr:sp>
    </xdr:grpSp>
    <xdr:clientData/>
  </xdr:twoCellAnchor>
  <xdr:twoCellAnchor>
    <xdr:from>
      <xdr:col>0</xdr:col>
      <xdr:colOff>209550</xdr:colOff>
      <xdr:row>3</xdr:row>
      <xdr:rowOff>201964</xdr:rowOff>
    </xdr:from>
    <xdr:to>
      <xdr:col>0</xdr:col>
      <xdr:colOff>1028699</xdr:colOff>
      <xdr:row>17</xdr:row>
      <xdr:rowOff>11464</xdr:rowOff>
    </xdr:to>
    <xdr:sp macro="" textlink="">
      <xdr:nvSpPr>
        <xdr:cNvPr id="19" name="Schemat blokowy: opóźnienie 18">
          <a:extLst>
            <a:ext uri="{FF2B5EF4-FFF2-40B4-BE49-F238E27FC236}">
              <a16:creationId xmlns:a16="http://schemas.microsoft.com/office/drawing/2014/main" id="{A556558B-DC48-4FB5-A124-1B2018648C91}"/>
            </a:ext>
          </a:extLst>
        </xdr:cNvPr>
        <xdr:cNvSpPr/>
      </xdr:nvSpPr>
      <xdr:spPr>
        <a:xfrm>
          <a:off x="209550" y="1116364"/>
          <a:ext cx="819149" cy="4076700"/>
        </a:xfrm>
        <a:prstGeom prst="flowChartDelay">
          <a:avLst/>
        </a:prstGeom>
        <a:solidFill>
          <a:srgbClr val="60585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430389</xdr:colOff>
      <xdr:row>3</xdr:row>
      <xdr:rowOff>42333</xdr:rowOff>
    </xdr:from>
    <xdr:to>
      <xdr:col>8</xdr:col>
      <xdr:colOff>1420988</xdr:colOff>
      <xdr:row>5</xdr:row>
      <xdr:rowOff>188031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4097DD7A-D547-481A-96D9-117E73089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561944</xdr:colOff>
      <xdr:row>15</xdr:row>
      <xdr:rowOff>72000</xdr:rowOff>
    </xdr:from>
    <xdr:to>
      <xdr:col>8</xdr:col>
      <xdr:colOff>0</xdr:colOff>
      <xdr:row>19</xdr:row>
      <xdr:rowOff>268849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1" name="ORDER DATE 2">
              <a:extLst>
                <a:ext uri="{FF2B5EF4-FFF2-40B4-BE49-F238E27FC236}">
                  <a16:creationId xmlns:a16="http://schemas.microsoft.com/office/drawing/2014/main" id="{24CCE668-9621-4715-A702-3401697C16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8644" y="4644000"/>
              <a:ext cx="5407056" cy="1416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>
    <xdr:from>
      <xdr:col>1</xdr:col>
      <xdr:colOff>599723</xdr:colOff>
      <xdr:row>3</xdr:row>
      <xdr:rowOff>1</xdr:rowOff>
    </xdr:from>
    <xdr:to>
      <xdr:col>2</xdr:col>
      <xdr:colOff>331611</xdr:colOff>
      <xdr:row>3</xdr:row>
      <xdr:rowOff>218723</xdr:rowOff>
    </xdr:to>
    <xdr:sp macro="" textlink="ANALYST_KPI!A6">
      <xdr:nvSpPr>
        <xdr:cNvPr id="22" name="pole tekstowe 21">
          <a:extLst>
            <a:ext uri="{FF2B5EF4-FFF2-40B4-BE49-F238E27FC236}">
              <a16:creationId xmlns:a16="http://schemas.microsoft.com/office/drawing/2014/main" id="{2A4D34E8-F333-4052-8C94-1225C068EE4A}"/>
            </a:ext>
          </a:extLst>
        </xdr:cNvPr>
        <xdr:cNvSpPr txBox="1"/>
      </xdr:nvSpPr>
      <xdr:spPr>
        <a:xfrm>
          <a:off x="2041173" y="914401"/>
          <a:ext cx="1173338" cy="218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08A7F4E-8471-4AB9-AB36-C587A390C8FA}" type="TxLink">
            <a:rPr lang="en-US" sz="1100" b="1" i="0" u="none" strike="noStrike">
              <a:solidFill>
                <a:srgbClr val="896B6B"/>
              </a:solidFill>
              <a:latin typeface="Calibri"/>
              <a:ea typeface="Calibri"/>
              <a:cs typeface="Calibri"/>
            </a:rPr>
            <a:pPr algn="ctr"/>
            <a:t>Revenue</a:t>
          </a:fld>
          <a:endParaRPr lang="en-US" sz="1200">
            <a:solidFill>
              <a:srgbClr val="896B6B"/>
            </a:solidFill>
          </a:endParaRPr>
        </a:p>
      </xdr:txBody>
    </xdr:sp>
    <xdr:clientData/>
  </xdr:twoCellAnchor>
  <xdr:twoCellAnchor>
    <xdr:from>
      <xdr:col>6</xdr:col>
      <xdr:colOff>453319</xdr:colOff>
      <xdr:row>2</xdr:row>
      <xdr:rowOff>268112</xdr:rowOff>
    </xdr:from>
    <xdr:to>
      <xdr:col>7</xdr:col>
      <xdr:colOff>679096</xdr:colOff>
      <xdr:row>3</xdr:row>
      <xdr:rowOff>183445</xdr:rowOff>
    </xdr:to>
    <xdr:sp macro="" textlink="ANALYST_KPI!A8">
      <xdr:nvSpPr>
        <xdr:cNvPr id="23" name="pole tekstowe 22">
          <a:extLst>
            <a:ext uri="{FF2B5EF4-FFF2-40B4-BE49-F238E27FC236}">
              <a16:creationId xmlns:a16="http://schemas.microsoft.com/office/drawing/2014/main" id="{3A48FE83-401F-466E-8558-D5ABA6E1816A}"/>
            </a:ext>
          </a:extLst>
        </xdr:cNvPr>
        <xdr:cNvSpPr txBox="1"/>
      </xdr:nvSpPr>
      <xdr:spPr>
        <a:xfrm>
          <a:off x="8111419" y="877712"/>
          <a:ext cx="1171927" cy="220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3DDFA6-8432-4628-9937-54627B0151ED}" type="TxLink">
            <a:rPr lang="en-US" sz="1100" b="1" i="0" u="none" strike="noStrike">
              <a:solidFill>
                <a:srgbClr val="896B6B"/>
              </a:solidFill>
              <a:latin typeface="Calibri"/>
              <a:ea typeface="Calibri"/>
              <a:cs typeface="Calibri"/>
            </a:rPr>
            <a:pPr algn="ctr"/>
            <a:t>Order</a:t>
          </a:fld>
          <a:endParaRPr lang="en-US" sz="1200">
            <a:solidFill>
              <a:srgbClr val="896B6B"/>
            </a:solidFill>
          </a:endParaRPr>
        </a:p>
      </xdr:txBody>
    </xdr:sp>
    <xdr:clientData/>
  </xdr:twoCellAnchor>
  <xdr:twoCellAnchor>
    <xdr:from>
      <xdr:col>3</xdr:col>
      <xdr:colOff>923219</xdr:colOff>
      <xdr:row>2</xdr:row>
      <xdr:rowOff>286455</xdr:rowOff>
    </xdr:from>
    <xdr:to>
      <xdr:col>4</xdr:col>
      <xdr:colOff>1148997</xdr:colOff>
      <xdr:row>3</xdr:row>
      <xdr:rowOff>201788</xdr:rowOff>
    </xdr:to>
    <xdr:sp macro="" textlink="ANALYST_KPI!A7">
      <xdr:nvSpPr>
        <xdr:cNvPr id="24" name="pole tekstowe 23">
          <a:extLst>
            <a:ext uri="{FF2B5EF4-FFF2-40B4-BE49-F238E27FC236}">
              <a16:creationId xmlns:a16="http://schemas.microsoft.com/office/drawing/2014/main" id="{F109A9A2-5215-4349-B7BD-6B1ECDA69710}"/>
            </a:ext>
          </a:extLst>
        </xdr:cNvPr>
        <xdr:cNvSpPr txBox="1"/>
      </xdr:nvSpPr>
      <xdr:spPr>
        <a:xfrm>
          <a:off x="4999919" y="896055"/>
          <a:ext cx="1171928" cy="220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B77AEC-063B-43CB-A2B0-9849934B9F67}" type="TxLink">
            <a:rPr lang="en-US" sz="1100" b="1" i="0" u="none" strike="noStrike">
              <a:solidFill>
                <a:srgbClr val="896B6B"/>
              </a:solidFill>
              <a:latin typeface="Calibri"/>
              <a:ea typeface="Calibri"/>
              <a:cs typeface="Calibri"/>
            </a:rPr>
            <a:pPr algn="ctr"/>
            <a:t>Profit</a:t>
          </a:fld>
          <a:endParaRPr lang="en-US" sz="1200">
            <a:solidFill>
              <a:srgbClr val="896B6B"/>
            </a:solidFill>
          </a:endParaRPr>
        </a:p>
      </xdr:txBody>
    </xdr:sp>
    <xdr:clientData/>
  </xdr:twoCellAnchor>
  <xdr:twoCellAnchor>
    <xdr:from>
      <xdr:col>8</xdr:col>
      <xdr:colOff>927453</xdr:colOff>
      <xdr:row>2</xdr:row>
      <xdr:rowOff>297745</xdr:rowOff>
    </xdr:from>
    <xdr:to>
      <xdr:col>9</xdr:col>
      <xdr:colOff>659342</xdr:colOff>
      <xdr:row>3</xdr:row>
      <xdr:rowOff>213078</xdr:rowOff>
    </xdr:to>
    <xdr:sp macro="" textlink="ANALYST_KPI!A9">
      <xdr:nvSpPr>
        <xdr:cNvPr id="25" name="pole tekstowe 24">
          <a:extLst>
            <a:ext uri="{FF2B5EF4-FFF2-40B4-BE49-F238E27FC236}">
              <a16:creationId xmlns:a16="http://schemas.microsoft.com/office/drawing/2014/main" id="{F48CB34B-75C0-47BA-A7C8-BD6E5311655A}"/>
            </a:ext>
          </a:extLst>
        </xdr:cNvPr>
        <xdr:cNvSpPr txBox="1"/>
      </xdr:nvSpPr>
      <xdr:spPr>
        <a:xfrm>
          <a:off x="10973153" y="907345"/>
          <a:ext cx="1173339" cy="220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E15896C-27C4-4218-A06A-C1E5D91CC073}" type="TxLink">
            <a:rPr lang="en-US" sz="1100" b="1" i="0" u="none" strike="noStrike">
              <a:solidFill>
                <a:srgbClr val="896B6B"/>
              </a:solidFill>
              <a:latin typeface="Calibri"/>
              <a:ea typeface="Calibri"/>
              <a:cs typeface="Calibri"/>
            </a:rPr>
            <a:pPr algn="ctr"/>
            <a:t>Margin</a:t>
          </a:fld>
          <a:endParaRPr lang="en-US" sz="1200">
            <a:solidFill>
              <a:srgbClr val="896B6B"/>
            </a:solidFill>
          </a:endParaRPr>
        </a:p>
      </xdr:txBody>
    </xdr:sp>
    <xdr:clientData/>
  </xdr:twoCellAnchor>
  <xdr:twoCellAnchor>
    <xdr:from>
      <xdr:col>10</xdr:col>
      <xdr:colOff>783518</xdr:colOff>
      <xdr:row>2</xdr:row>
      <xdr:rowOff>301977</xdr:rowOff>
    </xdr:from>
    <xdr:to>
      <xdr:col>11</xdr:col>
      <xdr:colOff>585963</xdr:colOff>
      <xdr:row>3</xdr:row>
      <xdr:rowOff>217310</xdr:rowOff>
    </xdr:to>
    <xdr:sp macro="" textlink="ANALYST_KPI!A10">
      <xdr:nvSpPr>
        <xdr:cNvPr id="26" name="pole tekstowe 25">
          <a:extLst>
            <a:ext uri="{FF2B5EF4-FFF2-40B4-BE49-F238E27FC236}">
              <a16:creationId xmlns:a16="http://schemas.microsoft.com/office/drawing/2014/main" id="{C3300005-C839-4C93-86A5-6E0A986DB239}"/>
            </a:ext>
          </a:extLst>
        </xdr:cNvPr>
        <xdr:cNvSpPr txBox="1"/>
      </xdr:nvSpPr>
      <xdr:spPr>
        <a:xfrm>
          <a:off x="13712118" y="911577"/>
          <a:ext cx="1167695" cy="220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0259DD3-F09E-4322-A17C-152EF3B96C26}" type="TxLink">
            <a:rPr lang="en-US" sz="1100" b="1" i="0" u="none" strike="noStrike">
              <a:solidFill>
                <a:srgbClr val="896B6B"/>
              </a:solidFill>
              <a:latin typeface="Calibri"/>
              <a:ea typeface="Calibri"/>
              <a:cs typeface="Calibri"/>
            </a:rPr>
            <a:pPr algn="ctr"/>
            <a:t>Cost</a:t>
          </a:fld>
          <a:endParaRPr lang="en-US" sz="1200">
            <a:solidFill>
              <a:srgbClr val="896B6B"/>
            </a:solidFill>
          </a:endParaRPr>
        </a:p>
      </xdr:txBody>
    </xdr:sp>
    <xdr:clientData/>
  </xdr:twoCellAnchor>
  <xdr:twoCellAnchor editAs="absolute">
    <xdr:from>
      <xdr:col>3</xdr:col>
      <xdr:colOff>486832</xdr:colOff>
      <xdr:row>6</xdr:row>
      <xdr:rowOff>56444</xdr:rowOff>
    </xdr:from>
    <xdr:to>
      <xdr:col>8</xdr:col>
      <xdr:colOff>0</xdr:colOff>
      <xdr:row>15</xdr:row>
      <xdr:rowOff>0</xdr:rowOff>
    </xdr:to>
    <xdr:graphicFrame macro="">
      <xdr:nvGraphicFramePr>
        <xdr:cNvPr id="27" name="Wykres 26">
          <a:extLst>
            <a:ext uri="{FF2B5EF4-FFF2-40B4-BE49-F238E27FC236}">
              <a16:creationId xmlns:a16="http://schemas.microsoft.com/office/drawing/2014/main" id="{DD39D638-0705-4FEC-963B-F16192DE0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49389</xdr:colOff>
      <xdr:row>15</xdr:row>
      <xdr:rowOff>38100</xdr:rowOff>
    </xdr:from>
    <xdr:ext cx="2871612" cy="1457677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SALES TEAM 2">
              <a:extLst>
                <a:ext uri="{FF2B5EF4-FFF2-40B4-BE49-F238E27FC236}">
                  <a16:creationId xmlns:a16="http://schemas.microsoft.com/office/drawing/2014/main" id="{99CAA01D-913F-4D22-8BCF-67D66FA9D3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TEA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0839" y="4610100"/>
              <a:ext cx="2871612" cy="14576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oneCellAnchor>
  <xdr:twoCellAnchor>
    <xdr:from>
      <xdr:col>15</xdr:col>
      <xdr:colOff>16228</xdr:colOff>
      <xdr:row>9</xdr:row>
      <xdr:rowOff>271639</xdr:rowOff>
    </xdr:from>
    <xdr:to>
      <xdr:col>19</xdr:col>
      <xdr:colOff>190428</xdr:colOff>
      <xdr:row>14</xdr:row>
      <xdr:rowOff>7639</xdr:rowOff>
    </xdr:to>
    <xdr:graphicFrame macro="">
      <xdr:nvGraphicFramePr>
        <xdr:cNvPr id="29" name="Wykres 28">
          <a:extLst>
            <a:ext uri="{FF2B5EF4-FFF2-40B4-BE49-F238E27FC236}">
              <a16:creationId xmlns:a16="http://schemas.microsoft.com/office/drawing/2014/main" id="{70EB0687-D62E-40A0-96F6-9E050227A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1435100</xdr:colOff>
      <xdr:row>6</xdr:row>
      <xdr:rowOff>74082</xdr:rowOff>
    </xdr:from>
    <xdr:to>
      <xdr:col>3</xdr:col>
      <xdr:colOff>325259</xdr:colOff>
      <xdr:row>14</xdr:row>
      <xdr:rowOff>285750</xdr:rowOff>
    </xdr:to>
    <xdr:graphicFrame macro="">
      <xdr:nvGraphicFramePr>
        <xdr:cNvPr id="30" name="Wykres 29">
          <a:extLst>
            <a:ext uri="{FF2B5EF4-FFF2-40B4-BE49-F238E27FC236}">
              <a16:creationId xmlns:a16="http://schemas.microsoft.com/office/drawing/2014/main" id="{132F51CE-AF59-4D6D-96A2-41F4616D7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573333</xdr:colOff>
      <xdr:row>3</xdr:row>
      <xdr:rowOff>58277</xdr:rowOff>
    </xdr:from>
    <xdr:to>
      <xdr:col>10</xdr:col>
      <xdr:colOff>1072444</xdr:colOff>
      <xdr:row>4</xdr:row>
      <xdr:rowOff>253999</xdr:rowOff>
    </xdr:to>
    <xdr:pic>
      <xdr:nvPicPr>
        <xdr:cNvPr id="31" name="Grafika 30" descr="Pieniądze z wypełnieniem pełnym">
          <a:extLst>
            <a:ext uri="{FF2B5EF4-FFF2-40B4-BE49-F238E27FC236}">
              <a16:creationId xmlns:a16="http://schemas.microsoft.com/office/drawing/2014/main" id="{595E8F1B-915D-4510-8D91-8221B3B6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501933" y="972677"/>
          <a:ext cx="499111" cy="500522"/>
        </a:xfrm>
        <a:prstGeom prst="rect">
          <a:avLst/>
        </a:prstGeom>
      </xdr:spPr>
    </xdr:pic>
    <xdr:clientData/>
  </xdr:twoCellAnchor>
  <xdr:twoCellAnchor editAs="oneCell">
    <xdr:from>
      <xdr:col>3</xdr:col>
      <xdr:colOff>671827</xdr:colOff>
      <xdr:row>3</xdr:row>
      <xdr:rowOff>88333</xdr:rowOff>
    </xdr:from>
    <xdr:to>
      <xdr:col>4</xdr:col>
      <xdr:colOff>265994</xdr:colOff>
      <xdr:row>5</xdr:row>
      <xdr:rowOff>21167</xdr:rowOff>
    </xdr:to>
    <xdr:pic>
      <xdr:nvPicPr>
        <xdr:cNvPr id="32" name="Grafika 31" descr="Świnka-skarbonka z wypełnieniem pełnym">
          <a:extLst>
            <a:ext uri="{FF2B5EF4-FFF2-40B4-BE49-F238E27FC236}">
              <a16:creationId xmlns:a16="http://schemas.microsoft.com/office/drawing/2014/main" id="{41D343DF-6275-464A-9ACF-1FF4B0B49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748527" y="1002733"/>
          <a:ext cx="540317" cy="542434"/>
        </a:xfrm>
        <a:prstGeom prst="rect">
          <a:avLst/>
        </a:prstGeom>
      </xdr:spPr>
    </xdr:pic>
    <xdr:clientData/>
  </xdr:twoCellAnchor>
  <xdr:twoCellAnchor editAs="oneCell">
    <xdr:from>
      <xdr:col>6</xdr:col>
      <xdr:colOff>591113</xdr:colOff>
      <xdr:row>3</xdr:row>
      <xdr:rowOff>153665</xdr:rowOff>
    </xdr:from>
    <xdr:to>
      <xdr:col>7</xdr:col>
      <xdr:colOff>119945</xdr:colOff>
      <xdr:row>5</xdr:row>
      <xdr:rowOff>21165</xdr:rowOff>
    </xdr:to>
    <xdr:pic>
      <xdr:nvPicPr>
        <xdr:cNvPr id="33" name="Grafika 32" descr="Koszyk na zakupy z wypełnieniem pełnym">
          <a:extLst>
            <a:ext uri="{FF2B5EF4-FFF2-40B4-BE49-F238E27FC236}">
              <a16:creationId xmlns:a16="http://schemas.microsoft.com/office/drawing/2014/main" id="{47497643-18C9-4522-BA70-80FC31728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249213" y="1068065"/>
          <a:ext cx="474982" cy="477100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381000</xdr:colOff>
      <xdr:row>7</xdr:row>
      <xdr:rowOff>153458</xdr:rowOff>
    </xdr:from>
    <xdr:to>
      <xdr:col>0</xdr:col>
      <xdr:colOff>885000</xdr:colOff>
      <xdr:row>9</xdr:row>
      <xdr:rowOff>50680</xdr:rowOff>
    </xdr:to>
    <xdr:pic>
      <xdr:nvPicPr>
        <xdr:cNvPr id="34" name="Grafika 33" descr="Świnka-skarbonka z wypełnieniem pełnym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35F3E30-5590-4D73-9633-3B2568DF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81000" y="2287058"/>
          <a:ext cx="504000" cy="50682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</xdr:row>
      <xdr:rowOff>59972</xdr:rowOff>
    </xdr:from>
    <xdr:to>
      <xdr:col>0</xdr:col>
      <xdr:colOff>885000</xdr:colOff>
      <xdr:row>10</xdr:row>
      <xdr:rowOff>260583</xdr:rowOff>
    </xdr:to>
    <xdr:pic>
      <xdr:nvPicPr>
        <xdr:cNvPr id="35" name="Grafika 34" descr="Koszyk na zakupy z wypełnieniem pełnym">
          <a:extLst>
            <a:ext uri="{FF2B5EF4-FFF2-40B4-BE49-F238E27FC236}">
              <a16:creationId xmlns:a16="http://schemas.microsoft.com/office/drawing/2014/main" id="{580E5586-7357-4D54-9F31-A5FAB0D5F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81000" y="2803172"/>
          <a:ext cx="504000" cy="505411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5</xdr:row>
      <xdr:rowOff>246944</xdr:rowOff>
    </xdr:from>
    <xdr:to>
      <xdr:col>0</xdr:col>
      <xdr:colOff>885000</xdr:colOff>
      <xdr:row>7</xdr:row>
      <xdr:rowOff>144166</xdr:rowOff>
    </xdr:to>
    <xdr:pic>
      <xdr:nvPicPr>
        <xdr:cNvPr id="36" name="Grafika 35" descr="Wykres słupkowy z trendem wzrostowym z wypełnieniem pełnym">
          <a:extLst>
            <a:ext uri="{FF2B5EF4-FFF2-40B4-BE49-F238E27FC236}">
              <a16:creationId xmlns:a16="http://schemas.microsoft.com/office/drawing/2014/main" id="{71C2257A-26C2-48FE-8E8B-D37C6F033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381000" y="1770944"/>
          <a:ext cx="504000" cy="50682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12</xdr:row>
      <xdr:rowOff>176389</xdr:rowOff>
    </xdr:from>
    <xdr:to>
      <xdr:col>0</xdr:col>
      <xdr:colOff>885000</xdr:colOff>
      <xdr:row>14</xdr:row>
      <xdr:rowOff>73612</xdr:rowOff>
    </xdr:to>
    <xdr:pic>
      <xdr:nvPicPr>
        <xdr:cNvPr id="37" name="Grafika 36" descr="Pieniądze z wypełnieniem pełnym">
          <a:extLst>
            <a:ext uri="{FF2B5EF4-FFF2-40B4-BE49-F238E27FC236}">
              <a16:creationId xmlns:a16="http://schemas.microsoft.com/office/drawing/2014/main" id="{935468D0-04E4-4B9C-80FB-981B19A54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381000" y="3833989"/>
          <a:ext cx="504000" cy="50682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10</xdr:row>
      <xdr:rowOff>269875</xdr:rowOff>
    </xdr:from>
    <xdr:to>
      <xdr:col>0</xdr:col>
      <xdr:colOff>885000</xdr:colOff>
      <xdr:row>12</xdr:row>
      <xdr:rowOff>167097</xdr:rowOff>
    </xdr:to>
    <xdr:pic>
      <xdr:nvPicPr>
        <xdr:cNvPr id="38" name="Grafika 37" descr="Wykres kołowy z wypełnieniem pełnym">
          <a:extLst>
            <a:ext uri="{FF2B5EF4-FFF2-40B4-BE49-F238E27FC236}">
              <a16:creationId xmlns:a16="http://schemas.microsoft.com/office/drawing/2014/main" id="{D68AE4C1-7E5D-494C-9981-F579A9F43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381000" y="3317875"/>
          <a:ext cx="504000" cy="506822"/>
        </a:xfrm>
        <a:prstGeom prst="rect">
          <a:avLst/>
        </a:prstGeom>
      </xdr:spPr>
    </xdr:pic>
    <xdr:clientData/>
  </xdr:twoCellAnchor>
  <xdr:twoCellAnchor>
    <xdr:from>
      <xdr:col>8</xdr:col>
      <xdr:colOff>402167</xdr:colOff>
      <xdr:row>6</xdr:row>
      <xdr:rowOff>213784</xdr:rowOff>
    </xdr:from>
    <xdr:to>
      <xdr:col>11</xdr:col>
      <xdr:colOff>1157112</xdr:colOff>
      <xdr:row>7</xdr:row>
      <xdr:rowOff>277284</xdr:rowOff>
    </xdr:to>
    <xdr:grpSp>
      <xdr:nvGrpSpPr>
        <xdr:cNvPr id="39" name="Grupa 38">
          <a:extLst>
            <a:ext uri="{FF2B5EF4-FFF2-40B4-BE49-F238E27FC236}">
              <a16:creationId xmlns:a16="http://schemas.microsoft.com/office/drawing/2014/main" id="{E83BF43B-6A5A-4621-9AE6-90D5F23A80F4}"/>
            </a:ext>
          </a:extLst>
        </xdr:cNvPr>
        <xdr:cNvGrpSpPr/>
      </xdr:nvGrpSpPr>
      <xdr:grpSpPr>
        <a:xfrm>
          <a:off x="10247207" y="2042584"/>
          <a:ext cx="4915465" cy="368300"/>
          <a:chOff x="10511367" y="3153834"/>
          <a:chExt cx="5003095" cy="368300"/>
        </a:xfrm>
      </xdr:grpSpPr>
      <xdr:sp macro="" textlink="">
        <xdr:nvSpPr>
          <xdr:cNvPr id="40" name="Prostokąt: zaokrąglone rogi 39">
            <a:extLst>
              <a:ext uri="{FF2B5EF4-FFF2-40B4-BE49-F238E27FC236}">
                <a16:creationId xmlns:a16="http://schemas.microsoft.com/office/drawing/2014/main" id="{21B29E95-ED7D-1FB5-FB72-FC1B19D68CB2}"/>
              </a:ext>
            </a:extLst>
          </xdr:cNvPr>
          <xdr:cNvSpPr/>
        </xdr:nvSpPr>
        <xdr:spPr>
          <a:xfrm>
            <a:off x="10511367" y="3153834"/>
            <a:ext cx="5003095" cy="368300"/>
          </a:xfrm>
          <a:prstGeom prst="roundRect">
            <a:avLst>
              <a:gd name="adj" fmla="val 43590"/>
            </a:avLst>
          </a:prstGeom>
          <a:solidFill>
            <a:srgbClr val="896B6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>
            <a:noAutofit/>
          </a:bodyPr>
          <a:lstStyle/>
          <a:p>
            <a:pPr algn="l"/>
            <a:endParaRPr lang="en-US" sz="1100"/>
          </a:p>
        </xdr:txBody>
      </xdr:sp>
      <xdr:sp macro="" textlink="$P$3">
        <xdr:nvSpPr>
          <xdr:cNvPr id="41" name="pole tekstowe 40">
            <a:extLst>
              <a:ext uri="{FF2B5EF4-FFF2-40B4-BE49-F238E27FC236}">
                <a16:creationId xmlns:a16="http://schemas.microsoft.com/office/drawing/2014/main" id="{624C883D-CDF9-646E-43CD-BB7EFF2E33F8}"/>
              </a:ext>
            </a:extLst>
          </xdr:cNvPr>
          <xdr:cNvSpPr txBox="1"/>
        </xdr:nvSpPr>
        <xdr:spPr>
          <a:xfrm>
            <a:off x="10800645" y="3174217"/>
            <a:ext cx="830117" cy="2894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277AD15-6ED9-4D66-8439-6955A9691547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#ADR!</a:t>
            </a:fld>
            <a:endParaRPr lang="en-US" sz="1100">
              <a:solidFill>
                <a:schemeClr val="bg1"/>
              </a:solidFill>
            </a:endParaRPr>
          </a:p>
        </xdr:txBody>
      </xdr:sp>
      <xdr:sp macro="" textlink="$Q$3">
        <xdr:nvSpPr>
          <xdr:cNvPr id="42" name="pole tekstowe 41">
            <a:extLst>
              <a:ext uri="{FF2B5EF4-FFF2-40B4-BE49-F238E27FC236}">
                <a16:creationId xmlns:a16="http://schemas.microsoft.com/office/drawing/2014/main" id="{9EFE0B8F-7E40-7C53-BA57-3FF874C3A373}"/>
              </a:ext>
            </a:extLst>
          </xdr:cNvPr>
          <xdr:cNvSpPr txBox="1"/>
        </xdr:nvSpPr>
        <xdr:spPr>
          <a:xfrm>
            <a:off x="12037955" y="3182370"/>
            <a:ext cx="828000" cy="2894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CBC3AF9-28D7-40F0-B303-F0C0A6F3A974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#ADR!</a:t>
            </a:fld>
            <a:endParaRPr lang="en-US" sz="1100">
              <a:solidFill>
                <a:schemeClr val="bg1"/>
              </a:solidFill>
            </a:endParaRPr>
          </a:p>
        </xdr:txBody>
      </xdr:sp>
      <xdr:sp macro="" textlink="$R$3">
        <xdr:nvSpPr>
          <xdr:cNvPr id="43" name="pole tekstowe 42">
            <a:extLst>
              <a:ext uri="{FF2B5EF4-FFF2-40B4-BE49-F238E27FC236}">
                <a16:creationId xmlns:a16="http://schemas.microsoft.com/office/drawing/2014/main" id="{668CC9F0-E183-583B-C9E4-6ADAEFCD46D7}"/>
              </a:ext>
            </a:extLst>
          </xdr:cNvPr>
          <xdr:cNvSpPr txBox="1"/>
        </xdr:nvSpPr>
        <xdr:spPr>
          <a:xfrm>
            <a:off x="13275264" y="3166064"/>
            <a:ext cx="828000" cy="2894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09AE547-D170-433B-8175-3778E4AE428D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#ADR!</a:t>
            </a:fld>
            <a:endParaRPr lang="en-US" sz="1100">
              <a:solidFill>
                <a:schemeClr val="bg1"/>
              </a:solidFill>
            </a:endParaRPr>
          </a:p>
        </xdr:txBody>
      </xdr:sp>
      <xdr:sp macro="" textlink="$S$3">
        <xdr:nvSpPr>
          <xdr:cNvPr id="44" name="pole tekstowe 43">
            <a:extLst>
              <a:ext uri="{FF2B5EF4-FFF2-40B4-BE49-F238E27FC236}">
                <a16:creationId xmlns:a16="http://schemas.microsoft.com/office/drawing/2014/main" id="{A7D34AD6-69BF-C176-635D-A4509C314E78}"/>
              </a:ext>
            </a:extLst>
          </xdr:cNvPr>
          <xdr:cNvSpPr txBox="1"/>
        </xdr:nvSpPr>
        <xdr:spPr>
          <a:xfrm>
            <a:off x="14506929" y="3190523"/>
            <a:ext cx="828000" cy="2894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A4C98FE-D0E3-428D-B3F1-45BBE6FD4BEA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#ADR!</a:t>
            </a:fld>
            <a:endParaRPr 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8</xdr:col>
      <xdr:colOff>386644</xdr:colOff>
      <xdr:row>7</xdr:row>
      <xdr:rowOff>215194</xdr:rowOff>
    </xdr:from>
    <xdr:to>
      <xdr:col>11</xdr:col>
      <xdr:colOff>1162755</xdr:colOff>
      <xdr:row>12</xdr:row>
      <xdr:rowOff>273050</xdr:rowOff>
    </xdr:to>
    <xdr:grpSp>
      <xdr:nvGrpSpPr>
        <xdr:cNvPr id="45" name="Grupa 44">
          <a:extLst>
            <a:ext uri="{FF2B5EF4-FFF2-40B4-BE49-F238E27FC236}">
              <a16:creationId xmlns:a16="http://schemas.microsoft.com/office/drawing/2014/main" id="{B6D94171-AC66-445B-B48C-9DF40A936AF4}"/>
            </a:ext>
          </a:extLst>
        </xdr:cNvPr>
        <xdr:cNvGrpSpPr/>
      </xdr:nvGrpSpPr>
      <xdr:grpSpPr>
        <a:xfrm>
          <a:off x="10231684" y="2348794"/>
          <a:ext cx="4936631" cy="1581856"/>
          <a:chOff x="10483144" y="3599744"/>
          <a:chExt cx="5024261" cy="1581856"/>
        </a:xfrm>
      </xdr:grpSpPr>
      <xdr:sp macro="" textlink="">
        <xdr:nvSpPr>
          <xdr:cNvPr id="46" name="Prostokąt: zaokrąglone rogi 45">
            <a:extLst>
              <a:ext uri="{FF2B5EF4-FFF2-40B4-BE49-F238E27FC236}">
                <a16:creationId xmlns:a16="http://schemas.microsoft.com/office/drawing/2014/main" id="{EC05617D-4F5A-1B6F-57A8-CDFDB4C25762}"/>
              </a:ext>
            </a:extLst>
          </xdr:cNvPr>
          <xdr:cNvSpPr/>
        </xdr:nvSpPr>
        <xdr:spPr>
          <a:xfrm>
            <a:off x="10483144" y="3599744"/>
            <a:ext cx="5024261" cy="1581856"/>
          </a:xfrm>
          <a:prstGeom prst="roundRect">
            <a:avLst/>
          </a:prstGeom>
          <a:solidFill>
            <a:schemeClr val="accent3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bg1"/>
              </a:solidFill>
            </a:endParaRPr>
          </a:p>
        </xdr:txBody>
      </xdr:sp>
      <xdr:grpSp>
        <xdr:nvGrpSpPr>
          <xdr:cNvPr id="47" name="Grupa 46">
            <a:extLst>
              <a:ext uri="{FF2B5EF4-FFF2-40B4-BE49-F238E27FC236}">
                <a16:creationId xmlns:a16="http://schemas.microsoft.com/office/drawing/2014/main" id="{0F7C4C6C-6046-FD93-B47B-9CB373F85BC0}"/>
              </a:ext>
            </a:extLst>
          </xdr:cNvPr>
          <xdr:cNvGrpSpPr/>
        </xdr:nvGrpSpPr>
        <xdr:grpSpPr>
          <a:xfrm>
            <a:off x="10680700" y="3657600"/>
            <a:ext cx="4682772" cy="1430868"/>
            <a:chOff x="10668000" y="3640667"/>
            <a:chExt cx="4682066" cy="1425223"/>
          </a:xfrm>
        </xdr:grpSpPr>
        <xdr:sp macro="" textlink="$Q$7">
          <xdr:nvSpPr>
            <xdr:cNvPr id="48" name="pole tekstowe 47">
              <a:extLst>
                <a:ext uri="{FF2B5EF4-FFF2-40B4-BE49-F238E27FC236}">
                  <a16:creationId xmlns:a16="http://schemas.microsoft.com/office/drawing/2014/main" id="{5C1E2FCF-DB9F-7192-74CD-8B2B2F45114D}"/>
                </a:ext>
              </a:extLst>
            </xdr:cNvPr>
            <xdr:cNvSpPr txBox="1"/>
          </xdr:nvSpPr>
          <xdr:spPr>
            <a:xfrm>
              <a:off x="11902723" y="4586111"/>
              <a:ext cx="1008944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6819B590-68A1-46D7-BF6E-E7E61FA725AC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P$5">
          <xdr:nvSpPr>
            <xdr:cNvPr id="49" name="pole tekstowe 48">
              <a:extLst>
                <a:ext uri="{FF2B5EF4-FFF2-40B4-BE49-F238E27FC236}">
                  <a16:creationId xmlns:a16="http://schemas.microsoft.com/office/drawing/2014/main" id="{87E4B37D-B646-1101-62F8-D28E24146545}"/>
                </a:ext>
              </a:extLst>
            </xdr:cNvPr>
            <xdr:cNvSpPr txBox="1"/>
          </xdr:nvSpPr>
          <xdr:spPr>
            <a:xfrm>
              <a:off x="10668000" y="3979333"/>
              <a:ext cx="804333" cy="2046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179CAFAC-C740-4E54-948F-B15D95FB5D50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P$6">
          <xdr:nvSpPr>
            <xdr:cNvPr id="50" name="pole tekstowe 49">
              <a:extLst>
                <a:ext uri="{FF2B5EF4-FFF2-40B4-BE49-F238E27FC236}">
                  <a16:creationId xmlns:a16="http://schemas.microsoft.com/office/drawing/2014/main" id="{9E5F9484-8748-614F-4B49-030144B1FE31}"/>
                </a:ext>
              </a:extLst>
            </xdr:cNvPr>
            <xdr:cNvSpPr txBox="1"/>
          </xdr:nvSpPr>
          <xdr:spPr>
            <a:xfrm>
              <a:off x="10668000" y="4247444"/>
              <a:ext cx="804333" cy="2046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C681BB50-8D66-4AA2-8A30-3C9D6C131986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P$7">
          <xdr:nvSpPr>
            <xdr:cNvPr id="51" name="pole tekstowe 50">
              <a:extLst>
                <a:ext uri="{FF2B5EF4-FFF2-40B4-BE49-F238E27FC236}">
                  <a16:creationId xmlns:a16="http://schemas.microsoft.com/office/drawing/2014/main" id="{90F2238F-2616-D508-138D-78AC469C1C21}"/>
                </a:ext>
              </a:extLst>
            </xdr:cNvPr>
            <xdr:cNvSpPr txBox="1"/>
          </xdr:nvSpPr>
          <xdr:spPr>
            <a:xfrm>
              <a:off x="10668000" y="4579055"/>
              <a:ext cx="804333" cy="2046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D9E8631-1D0E-4EE7-866E-B102D85C7038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P$8">
          <xdr:nvSpPr>
            <xdr:cNvPr id="52" name="pole tekstowe 51">
              <a:extLst>
                <a:ext uri="{FF2B5EF4-FFF2-40B4-BE49-F238E27FC236}">
                  <a16:creationId xmlns:a16="http://schemas.microsoft.com/office/drawing/2014/main" id="{860B5EFC-3FCE-7E5F-F5DB-ABE107136B68}"/>
                </a:ext>
              </a:extLst>
            </xdr:cNvPr>
            <xdr:cNvSpPr txBox="1"/>
          </xdr:nvSpPr>
          <xdr:spPr>
            <a:xfrm>
              <a:off x="10668000" y="4854222"/>
              <a:ext cx="804333" cy="2046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C56CE86F-66C3-4B6D-80EC-6BFDEC44CADC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Q$8">
          <xdr:nvSpPr>
            <xdr:cNvPr id="53" name="pole tekstowe 52">
              <a:extLst>
                <a:ext uri="{FF2B5EF4-FFF2-40B4-BE49-F238E27FC236}">
                  <a16:creationId xmlns:a16="http://schemas.microsoft.com/office/drawing/2014/main" id="{E03858B7-CF13-58AD-A578-BE915C0FAFCB}"/>
                </a:ext>
              </a:extLst>
            </xdr:cNvPr>
            <xdr:cNvSpPr txBox="1"/>
          </xdr:nvSpPr>
          <xdr:spPr>
            <a:xfrm>
              <a:off x="11916834" y="4854222"/>
              <a:ext cx="994833" cy="2116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BC5C591F-300E-4277-B8EF-C2A7C094A2DD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Q$5">
          <xdr:nvSpPr>
            <xdr:cNvPr id="54" name="pole tekstowe 53">
              <a:extLst>
                <a:ext uri="{FF2B5EF4-FFF2-40B4-BE49-F238E27FC236}">
                  <a16:creationId xmlns:a16="http://schemas.microsoft.com/office/drawing/2014/main" id="{6FA522EC-6D3C-1016-32B3-4D0400746756}"/>
                </a:ext>
              </a:extLst>
            </xdr:cNvPr>
            <xdr:cNvSpPr txBox="1"/>
          </xdr:nvSpPr>
          <xdr:spPr>
            <a:xfrm>
              <a:off x="11914012" y="3944056"/>
              <a:ext cx="997655" cy="2568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4D4D217F-6468-451D-87F5-1DB1AFF061F5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P$4">
          <xdr:nvSpPr>
            <xdr:cNvPr id="55" name="pole tekstowe 54">
              <a:extLst>
                <a:ext uri="{FF2B5EF4-FFF2-40B4-BE49-F238E27FC236}">
                  <a16:creationId xmlns:a16="http://schemas.microsoft.com/office/drawing/2014/main" id="{9EF865D4-B0F3-05C0-BDA0-12F36B751DEA}"/>
                </a:ext>
              </a:extLst>
            </xdr:cNvPr>
            <xdr:cNvSpPr txBox="1"/>
          </xdr:nvSpPr>
          <xdr:spPr>
            <a:xfrm>
              <a:off x="10668000" y="3683001"/>
              <a:ext cx="804333" cy="20461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089D1DEE-E3D7-4308-89EC-3821B2FF6867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Q$6">
          <xdr:nvSpPr>
            <xdr:cNvPr id="56" name="pole tekstowe 55">
              <a:extLst>
                <a:ext uri="{FF2B5EF4-FFF2-40B4-BE49-F238E27FC236}">
                  <a16:creationId xmlns:a16="http://schemas.microsoft.com/office/drawing/2014/main" id="{C5F025AB-E1C7-D133-F1C9-4AC43876A086}"/>
                </a:ext>
              </a:extLst>
            </xdr:cNvPr>
            <xdr:cNvSpPr txBox="1"/>
          </xdr:nvSpPr>
          <xdr:spPr>
            <a:xfrm>
              <a:off x="11903667" y="4247444"/>
              <a:ext cx="1008000" cy="28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89CF594-FF80-425C-AA29-3487B966AA8D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Q$4">
          <xdr:nvSpPr>
            <xdr:cNvPr id="57" name="pole tekstowe 56">
              <a:extLst>
                <a:ext uri="{FF2B5EF4-FFF2-40B4-BE49-F238E27FC236}">
                  <a16:creationId xmlns:a16="http://schemas.microsoft.com/office/drawing/2014/main" id="{81307CFD-4F59-E5A8-4F63-367624D74ABC}"/>
                </a:ext>
              </a:extLst>
            </xdr:cNvPr>
            <xdr:cNvSpPr txBox="1"/>
          </xdr:nvSpPr>
          <xdr:spPr>
            <a:xfrm>
              <a:off x="11842045" y="3640667"/>
              <a:ext cx="1069622" cy="2582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DEF54F1B-1DD8-40DE-8406-4280FFB23DB2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R$7">
          <xdr:nvSpPr>
            <xdr:cNvPr id="58" name="pole tekstowe 57">
              <a:extLst>
                <a:ext uri="{FF2B5EF4-FFF2-40B4-BE49-F238E27FC236}">
                  <a16:creationId xmlns:a16="http://schemas.microsoft.com/office/drawing/2014/main" id="{4869C444-D6EE-3DE2-160E-ADA1FCB2C14F}"/>
                </a:ext>
              </a:extLst>
            </xdr:cNvPr>
            <xdr:cNvSpPr txBox="1"/>
          </xdr:nvSpPr>
          <xdr:spPr>
            <a:xfrm>
              <a:off x="12911667" y="4557888"/>
              <a:ext cx="1008944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0E4539A4-51FE-4A0D-91CF-117F751B6915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R$8">
          <xdr:nvSpPr>
            <xdr:cNvPr id="59" name="pole tekstowe 58">
              <a:extLst>
                <a:ext uri="{FF2B5EF4-FFF2-40B4-BE49-F238E27FC236}">
                  <a16:creationId xmlns:a16="http://schemas.microsoft.com/office/drawing/2014/main" id="{6393DDF4-F874-C070-6C90-3CC8136FFFD9}"/>
                </a:ext>
              </a:extLst>
            </xdr:cNvPr>
            <xdr:cNvSpPr txBox="1"/>
          </xdr:nvSpPr>
          <xdr:spPr>
            <a:xfrm>
              <a:off x="12911667" y="4854222"/>
              <a:ext cx="994833" cy="2116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5CBEBCFD-ECCA-4BDC-84E8-C8CA6E515F1F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R$5">
          <xdr:nvSpPr>
            <xdr:cNvPr id="60" name="pole tekstowe 59">
              <a:extLst>
                <a:ext uri="{FF2B5EF4-FFF2-40B4-BE49-F238E27FC236}">
                  <a16:creationId xmlns:a16="http://schemas.microsoft.com/office/drawing/2014/main" id="{5B020897-085B-CCA0-CDF5-A41C33B2FB52}"/>
                </a:ext>
              </a:extLst>
            </xdr:cNvPr>
            <xdr:cNvSpPr txBox="1"/>
          </xdr:nvSpPr>
          <xdr:spPr>
            <a:xfrm>
              <a:off x="12911667" y="3944056"/>
              <a:ext cx="997655" cy="2568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AF00AF96-BED6-40D0-ACBC-DEBBDDA95671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R$6">
          <xdr:nvSpPr>
            <xdr:cNvPr id="61" name="pole tekstowe 60">
              <a:extLst>
                <a:ext uri="{FF2B5EF4-FFF2-40B4-BE49-F238E27FC236}">
                  <a16:creationId xmlns:a16="http://schemas.microsoft.com/office/drawing/2014/main" id="{77C9CE74-0D9B-1F1A-0DEB-A895F534C2B2}"/>
                </a:ext>
              </a:extLst>
            </xdr:cNvPr>
            <xdr:cNvSpPr txBox="1"/>
          </xdr:nvSpPr>
          <xdr:spPr>
            <a:xfrm>
              <a:off x="12911667" y="4247444"/>
              <a:ext cx="996244" cy="2765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C38D59CE-0B9F-48AE-A668-FDE518DB32D8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R$4">
          <xdr:nvSpPr>
            <xdr:cNvPr id="62" name="pole tekstowe 61">
              <a:extLst>
                <a:ext uri="{FF2B5EF4-FFF2-40B4-BE49-F238E27FC236}">
                  <a16:creationId xmlns:a16="http://schemas.microsoft.com/office/drawing/2014/main" id="{C28AE917-40E6-F825-E4A0-0A96962BA1A2}"/>
                </a:ext>
              </a:extLst>
            </xdr:cNvPr>
            <xdr:cNvSpPr txBox="1"/>
          </xdr:nvSpPr>
          <xdr:spPr>
            <a:xfrm>
              <a:off x="12911667" y="3640667"/>
              <a:ext cx="1069622" cy="2582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8201FADF-0632-40C2-820A-941A3A89DDDF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S$7">
          <xdr:nvSpPr>
            <xdr:cNvPr id="63" name="pole tekstowe 62">
              <a:extLst>
                <a:ext uri="{FF2B5EF4-FFF2-40B4-BE49-F238E27FC236}">
                  <a16:creationId xmlns:a16="http://schemas.microsoft.com/office/drawing/2014/main" id="{524CCD8E-EE88-6D7B-3442-5D89BCC4E906}"/>
                </a:ext>
              </a:extLst>
            </xdr:cNvPr>
            <xdr:cNvSpPr txBox="1"/>
          </xdr:nvSpPr>
          <xdr:spPr>
            <a:xfrm>
              <a:off x="14280444" y="4550833"/>
              <a:ext cx="1008944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B65A5C7B-616E-45F5-98D8-3206F5911BDF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S$8">
          <xdr:nvSpPr>
            <xdr:cNvPr id="64" name="pole tekstowe 63">
              <a:extLst>
                <a:ext uri="{FF2B5EF4-FFF2-40B4-BE49-F238E27FC236}">
                  <a16:creationId xmlns:a16="http://schemas.microsoft.com/office/drawing/2014/main" id="{ED2047DF-0534-B807-353E-A2251302D3AC}"/>
                </a:ext>
              </a:extLst>
            </xdr:cNvPr>
            <xdr:cNvSpPr txBox="1"/>
          </xdr:nvSpPr>
          <xdr:spPr>
            <a:xfrm>
              <a:off x="14280444" y="4854222"/>
              <a:ext cx="994833" cy="2116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84034228-A75F-439C-934D-172F27F9B9C4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S$5">
          <xdr:nvSpPr>
            <xdr:cNvPr id="65" name="pole tekstowe 64">
              <a:extLst>
                <a:ext uri="{FF2B5EF4-FFF2-40B4-BE49-F238E27FC236}">
                  <a16:creationId xmlns:a16="http://schemas.microsoft.com/office/drawing/2014/main" id="{B22032C8-0395-AC1A-704A-A9367F72B7F2}"/>
                </a:ext>
              </a:extLst>
            </xdr:cNvPr>
            <xdr:cNvSpPr txBox="1"/>
          </xdr:nvSpPr>
          <xdr:spPr>
            <a:xfrm>
              <a:off x="14280444" y="3944056"/>
              <a:ext cx="997655" cy="2568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7B2FCD74-A233-4EEC-A0CE-1F399744E009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S$6">
          <xdr:nvSpPr>
            <xdr:cNvPr id="66" name="pole tekstowe 65">
              <a:extLst>
                <a:ext uri="{FF2B5EF4-FFF2-40B4-BE49-F238E27FC236}">
                  <a16:creationId xmlns:a16="http://schemas.microsoft.com/office/drawing/2014/main" id="{51D761C0-E85C-F7ED-9604-751C48C1B011}"/>
                </a:ext>
              </a:extLst>
            </xdr:cNvPr>
            <xdr:cNvSpPr txBox="1"/>
          </xdr:nvSpPr>
          <xdr:spPr>
            <a:xfrm>
              <a:off x="14280444" y="4247444"/>
              <a:ext cx="996244" cy="2765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6CE334BD-527C-47DF-B6D2-8AE50D8ADC16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$S$4">
          <xdr:nvSpPr>
            <xdr:cNvPr id="67" name="pole tekstowe 66">
              <a:extLst>
                <a:ext uri="{FF2B5EF4-FFF2-40B4-BE49-F238E27FC236}">
                  <a16:creationId xmlns:a16="http://schemas.microsoft.com/office/drawing/2014/main" id="{E6339750-BACC-D631-E0CB-C97B3F48C151}"/>
                </a:ext>
              </a:extLst>
            </xdr:cNvPr>
            <xdr:cNvSpPr txBox="1"/>
          </xdr:nvSpPr>
          <xdr:spPr>
            <a:xfrm>
              <a:off x="14280444" y="3640667"/>
              <a:ext cx="1069622" cy="2582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F30F6B26-4926-4168-AB67-C912A267EDCD}" type="TxLink">
                <a:rPr lang="en-US" sz="12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 algn="ctr"/>
                <a:t>#ADR!</a:t>
              </a:fld>
              <a:endParaRPr lang="en-US" sz="12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8</xdr:col>
      <xdr:colOff>363185</xdr:colOff>
      <xdr:row>12</xdr:row>
      <xdr:rowOff>253824</xdr:rowOff>
    </xdr:from>
    <xdr:to>
      <xdr:col>10</xdr:col>
      <xdr:colOff>83785</xdr:colOff>
      <xdr:row>20</xdr:row>
      <xdr:rowOff>123649</xdr:rowOff>
    </xdr:to>
    <xdr:graphicFrame macro="">
      <xdr:nvGraphicFramePr>
        <xdr:cNvPr id="68" name="Wykres 67">
          <a:extLst>
            <a:ext uri="{FF2B5EF4-FFF2-40B4-BE49-F238E27FC236}">
              <a16:creationId xmlns:a16="http://schemas.microsoft.com/office/drawing/2014/main" id="{BDF94321-CFC3-44DF-84C1-93663DAC9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1275996</xdr:colOff>
      <xdr:row>12</xdr:row>
      <xdr:rowOff>253823</xdr:rowOff>
    </xdr:from>
    <xdr:to>
      <xdr:col>11</xdr:col>
      <xdr:colOff>1484312</xdr:colOff>
      <xdr:row>20</xdr:row>
      <xdr:rowOff>55562</xdr:rowOff>
    </xdr:to>
    <xdr:graphicFrame macro="">
      <xdr:nvGraphicFramePr>
        <xdr:cNvPr id="69" name="Wykres 68">
          <a:extLst>
            <a:ext uri="{FF2B5EF4-FFF2-40B4-BE49-F238E27FC236}">
              <a16:creationId xmlns:a16="http://schemas.microsoft.com/office/drawing/2014/main" id="{C8C3DFFF-CF7C-4BC1-BC93-F568FADC3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462281</xdr:colOff>
      <xdr:row>5</xdr:row>
      <xdr:rowOff>135255</xdr:rowOff>
    </xdr:from>
    <xdr:to>
      <xdr:col>5</xdr:col>
      <xdr:colOff>599440</xdr:colOff>
      <xdr:row>9</xdr:row>
      <xdr:rowOff>151130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2F64397-9FAA-4E45-8DA6-386B11ABB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13</xdr:row>
      <xdr:rowOff>111760</xdr:rowOff>
    </xdr:from>
    <xdr:to>
      <xdr:col>1</xdr:col>
      <xdr:colOff>537210</xdr:colOff>
      <xdr:row>19</xdr:row>
      <xdr:rowOff>92710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CF934F8A-2A01-ED9F-77A0-A2F93D2136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89200"/>
              <a:ext cx="1680210" cy="1078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>
    <xdr:from>
      <xdr:col>7</xdr:col>
      <xdr:colOff>78740</xdr:colOff>
      <xdr:row>24</xdr:row>
      <xdr:rowOff>170814</xdr:rowOff>
    </xdr:from>
    <xdr:to>
      <xdr:col>12</xdr:col>
      <xdr:colOff>31750</xdr:colOff>
      <xdr:row>39</xdr:row>
      <xdr:rowOff>173989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2CA8126-B199-A3EE-8147-8843C02B6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514350</xdr:colOff>
      <xdr:row>12</xdr:row>
      <xdr:rowOff>76200</xdr:rowOff>
    </xdr:from>
    <xdr:ext cx="1549400" cy="18161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ALES TEAM">
              <a:extLst>
                <a:ext uri="{FF2B5EF4-FFF2-40B4-BE49-F238E27FC236}">
                  <a16:creationId xmlns:a16="http://schemas.microsoft.com/office/drawing/2014/main" id="{0D85F09C-5A27-4560-A71E-8E6B28A6F1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6170" y="2270760"/>
              <a:ext cx="1549400" cy="181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oneCellAnchor>
  <xdr:twoCellAnchor>
    <xdr:from>
      <xdr:col>0</xdr:col>
      <xdr:colOff>155575</xdr:colOff>
      <xdr:row>9</xdr:row>
      <xdr:rowOff>181610</xdr:rowOff>
    </xdr:from>
    <xdr:to>
      <xdr:col>7</xdr:col>
      <xdr:colOff>182245</xdr:colOff>
      <xdr:row>24</xdr:row>
      <xdr:rowOff>163830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A6C3634-887C-5FAF-EDC4-2A74E1C48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631825</xdr:colOff>
      <xdr:row>9</xdr:row>
      <xdr:rowOff>87630</xdr:rowOff>
    </xdr:from>
    <xdr:to>
      <xdr:col>14</xdr:col>
      <xdr:colOff>47625</xdr:colOff>
      <xdr:row>24</xdr:row>
      <xdr:rowOff>68580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326C1EA-5C22-7B71-964A-955790037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17</xdr:row>
      <xdr:rowOff>0</xdr:rowOff>
    </xdr:from>
    <xdr:to>
      <xdr:col>19</xdr:col>
      <xdr:colOff>1162050</xdr:colOff>
      <xdr:row>24</xdr:row>
      <xdr:rowOff>174625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C04B0018-388E-4E01-AD9B-BF6204E4D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18</xdr:row>
      <xdr:rowOff>0</xdr:rowOff>
    </xdr:from>
    <xdr:to>
      <xdr:col>17</xdr:col>
      <xdr:colOff>132116</xdr:colOff>
      <xdr:row>25</xdr:row>
      <xdr:rowOff>106539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67054B35-C21F-4930-9AAD-5FDBDCE49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1123950</xdr:colOff>
      <xdr:row>1</xdr:row>
      <xdr:rowOff>179211</xdr:rowOff>
    </xdr:from>
    <xdr:to>
      <xdr:col>12</xdr:col>
      <xdr:colOff>0</xdr:colOff>
      <xdr:row>20</xdr:row>
      <xdr:rowOff>88900</xdr:rowOff>
    </xdr:to>
    <xdr:grpSp>
      <xdr:nvGrpSpPr>
        <xdr:cNvPr id="65" name="Grupa 64">
          <a:extLst>
            <a:ext uri="{FF2B5EF4-FFF2-40B4-BE49-F238E27FC236}">
              <a16:creationId xmlns:a16="http://schemas.microsoft.com/office/drawing/2014/main" id="{EBAAAA74-EC7A-BD10-CB93-99AF00620A74}"/>
            </a:ext>
          </a:extLst>
        </xdr:cNvPr>
        <xdr:cNvGrpSpPr/>
      </xdr:nvGrpSpPr>
      <xdr:grpSpPr>
        <a:xfrm>
          <a:off x="0" y="484011"/>
          <a:ext cx="14390914" cy="5700889"/>
          <a:chOff x="1123950" y="484011"/>
          <a:chExt cx="14668500" cy="5700889"/>
        </a:xfrm>
      </xdr:grpSpPr>
      <xdr:sp macro="" textlink="">
        <xdr:nvSpPr>
          <xdr:cNvPr id="3" name="Prostokąt: zaokrąglone rogi 2">
            <a:extLst>
              <a:ext uri="{FF2B5EF4-FFF2-40B4-BE49-F238E27FC236}">
                <a16:creationId xmlns:a16="http://schemas.microsoft.com/office/drawing/2014/main" id="{9DEDE9EF-DA83-4225-A44A-CC01E02992D7}"/>
              </a:ext>
            </a:extLst>
          </xdr:cNvPr>
          <xdr:cNvSpPr>
            <a:spLocks noChangeAspect="1"/>
          </xdr:cNvSpPr>
        </xdr:nvSpPr>
        <xdr:spPr>
          <a:xfrm>
            <a:off x="1123950" y="484011"/>
            <a:ext cx="14668500" cy="5700889"/>
          </a:xfrm>
          <a:prstGeom prst="roundRect">
            <a:avLst>
              <a:gd name="adj" fmla="val 11281"/>
            </a:avLst>
          </a:prstGeom>
          <a:solidFill>
            <a:schemeClr val="bg1"/>
          </a:solidFill>
          <a:ln>
            <a:noFill/>
          </a:ln>
          <a:effectLst>
            <a:outerShdw blurRad="63500" sx="101000" sy="101000" algn="ctr" rotWithShape="0">
              <a:prstClr val="black">
                <a:alpha val="3000"/>
              </a:prstClr>
            </a:outerShdw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20" name="ORDER DATE 1">
                <a:extLst>
                  <a:ext uri="{FF2B5EF4-FFF2-40B4-BE49-F238E27FC236}">
                    <a16:creationId xmlns:a16="http://schemas.microsoft.com/office/drawing/2014/main" id="{5CDD2038-8E0D-403B-8AEC-A7992CA4D921}"/>
                  </a:ext>
                </a:extLst>
              </xdr:cNvPr>
              <xdr:cNvGraphicFramePr/>
            </xdr:nvGraphicFramePr>
            <xdr:xfrm>
              <a:off x="4556094" y="4644000"/>
              <a:ext cx="5286406" cy="1416049"/>
            </xdr:xfrm>
            <a:graphic>
              <a:graphicData uri="http://schemas.microsoft.com/office/drawing/2012/timeslicer">
                <tsle:timeslicer xmlns:tsle="http://schemas.microsoft.com/office/drawing/2012/timeslicer" name="ORDER DATE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367194" y="4644000"/>
                <a:ext cx="5186366" cy="14160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Oś czasu: działa w programie Excel 2013 lub nowszym. Nie przenoś ani nie zmieniaj rozmiaru.</a:t>
                </a:r>
              </a:p>
            </xdr:txBody>
          </xdr:sp>
        </mc:Fallback>
      </mc:AlternateContent>
      <xdr:graphicFrame macro="">
        <xdr:nvGraphicFramePr>
          <xdr:cNvPr id="28" name="Wykres 27">
            <a:extLst>
              <a:ext uri="{FF2B5EF4-FFF2-40B4-BE49-F238E27FC236}">
                <a16:creationId xmlns:a16="http://schemas.microsoft.com/office/drawing/2014/main" id="{4667D019-1F76-46BB-A80D-B4A924A412D1}"/>
              </a:ext>
            </a:extLst>
          </xdr:cNvPr>
          <xdr:cNvGraphicFramePr>
            <a:graphicFrameLocks/>
          </xdr:cNvGraphicFramePr>
        </xdr:nvGraphicFramePr>
        <xdr:xfrm>
          <a:off x="4480982" y="1885244"/>
          <a:ext cx="5361518" cy="26867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29" name="SALES TEAM 1">
                <a:extLst>
                  <a:ext uri="{FF2B5EF4-FFF2-40B4-BE49-F238E27FC236}">
                    <a16:creationId xmlns:a16="http://schemas.microsoft.com/office/drawing/2014/main" id="{6B42CEF7-14F8-470C-841D-E7627B1E50A6}"/>
                  </a:ext>
                </a:extLst>
              </xdr:cNvPr>
              <xdr:cNvGraphicFramePr>
                <a:graphicFrameLocks noMove="1" noResize="1"/>
              </xdr:cNvGraphicFramePr>
            </xdr:nvGraphicFramePr>
            <xdr:xfrm>
              <a:off x="1459089" y="4610100"/>
              <a:ext cx="2871612" cy="1457677"/>
            </xdr:xfrm>
            <a:graphic>
              <a:graphicData uri="http://schemas.microsoft.com/office/drawing/2010/slicer">
                <sle:slicer xmlns:sle="http://schemas.microsoft.com/office/drawing/2010/slicer" name="SALES TEAM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28797" y="4610100"/>
                <a:ext cx="2817270" cy="145767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</a:r>
              </a:p>
            </xdr:txBody>
          </xdr:sp>
        </mc:Fallback>
      </mc:AlternateContent>
      <xdr:graphicFrame macro="">
        <xdr:nvGraphicFramePr>
          <xdr:cNvPr id="50" name="Wykres 49">
            <a:extLst>
              <a:ext uri="{FF2B5EF4-FFF2-40B4-BE49-F238E27FC236}">
                <a16:creationId xmlns:a16="http://schemas.microsoft.com/office/drawing/2014/main" id="{8C4C42F2-91DA-4988-9DE4-EC5A03C9CA4E}"/>
              </a:ext>
            </a:extLst>
          </xdr:cNvPr>
          <xdr:cNvGraphicFramePr>
            <a:graphicFrameLocks/>
          </xdr:cNvGraphicFramePr>
        </xdr:nvGraphicFramePr>
        <xdr:xfrm>
          <a:off x="1412240" y="1902882"/>
          <a:ext cx="2907169" cy="265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64" name="Grupa 63">
            <a:extLst>
              <a:ext uri="{FF2B5EF4-FFF2-40B4-BE49-F238E27FC236}">
                <a16:creationId xmlns:a16="http://schemas.microsoft.com/office/drawing/2014/main" id="{7CD2B9F8-42B7-5F92-7605-FBE0E5C1F093}"/>
              </a:ext>
            </a:extLst>
          </xdr:cNvPr>
          <xdr:cNvGrpSpPr/>
        </xdr:nvGrpSpPr>
        <xdr:grpSpPr>
          <a:xfrm>
            <a:off x="1412344" y="736600"/>
            <a:ext cx="14111045" cy="1073650"/>
            <a:chOff x="1412344" y="736600"/>
            <a:chExt cx="14111045" cy="1073650"/>
          </a:xfrm>
        </xdr:grpSpPr>
        <xdr:grpSp>
          <xdr:nvGrpSpPr>
            <xdr:cNvPr id="27" name="Grupa 26">
              <a:extLst>
                <a:ext uri="{FF2B5EF4-FFF2-40B4-BE49-F238E27FC236}">
                  <a16:creationId xmlns:a16="http://schemas.microsoft.com/office/drawing/2014/main" id="{A5716C3D-F76A-A68A-AAB0-986481A3B2F1}"/>
                </a:ext>
              </a:extLst>
            </xdr:cNvPr>
            <xdr:cNvGrpSpPr/>
          </xdr:nvGrpSpPr>
          <xdr:grpSpPr>
            <a:xfrm>
              <a:off x="1412344" y="736600"/>
              <a:ext cx="2582971" cy="1073650"/>
              <a:chOff x="2659945" y="1763888"/>
              <a:chExt cx="2617611" cy="1086555"/>
            </a:xfrm>
          </xdr:grpSpPr>
          <xdr:sp macro="" textlink="">
            <xdr:nvSpPr>
              <xdr:cNvPr id="6" name="Prostokąt: zaokrąglone rogi 5">
                <a:extLst>
                  <a:ext uri="{FF2B5EF4-FFF2-40B4-BE49-F238E27FC236}">
                    <a16:creationId xmlns:a16="http://schemas.microsoft.com/office/drawing/2014/main" id="{236408AD-0C0A-47BA-CE72-A317EE02493A}"/>
                  </a:ext>
                </a:extLst>
              </xdr:cNvPr>
              <xdr:cNvSpPr/>
            </xdr:nvSpPr>
            <xdr:spPr>
              <a:xfrm>
                <a:off x="2659945" y="1763888"/>
                <a:ext cx="2617611" cy="1086555"/>
              </a:xfrm>
              <a:prstGeom prst="roundRect">
                <a:avLst>
                  <a:gd name="adj" fmla="val 13420"/>
                </a:avLst>
              </a:prstGeom>
              <a:solidFill>
                <a:schemeClr val="bg1"/>
              </a:solidFill>
              <a:ln w="3175">
                <a:noFill/>
              </a:ln>
              <a:effectLst>
                <a:outerShdw blurRad="241300" dist="38100" dir="8100000" sx="103000" sy="103000" algn="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lang="en-US" sz="1200">
                  <a:solidFill>
                    <a:srgbClr val="605856"/>
                  </a:solidFill>
                </a:endParaRPr>
              </a:p>
            </xdr:txBody>
          </xdr:sp>
          <xdr:sp macro="" textlink="ANALYST_KPI!B6">
            <xdr:nvSpPr>
              <xdr:cNvPr id="15" name="pole tekstowe 14">
                <a:extLst>
                  <a:ext uri="{FF2B5EF4-FFF2-40B4-BE49-F238E27FC236}">
                    <a16:creationId xmlns:a16="http://schemas.microsoft.com/office/drawing/2014/main" id="{A89CFA7A-EAB0-D698-9EB5-EE32268ABAB9}"/>
                  </a:ext>
                </a:extLst>
              </xdr:cNvPr>
              <xdr:cNvSpPr txBox="1"/>
            </xdr:nvSpPr>
            <xdr:spPr>
              <a:xfrm>
                <a:off x="3252611" y="2109612"/>
                <a:ext cx="1968500" cy="3951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4228FD3D-57DD-4DBF-8AC1-9394E4374CE4}" type="TxLink">
                  <a:rPr lang="en-US" sz="2000" b="0" i="0" u="none" strike="noStrike">
                    <a:solidFill>
                      <a:srgbClr val="605856"/>
                    </a:solidFill>
                    <a:latin typeface="Calibri"/>
                    <a:ea typeface="Calibri"/>
                    <a:cs typeface="Calibri"/>
                  </a:rPr>
                  <a:pPr algn="ctr"/>
                  <a:t> 5 482 531,44 zł </a:t>
                </a:fld>
                <a:endParaRPr lang="en-US" sz="2000">
                  <a:solidFill>
                    <a:srgbClr val="605856"/>
                  </a:solidFill>
                </a:endParaRPr>
              </a:p>
            </xdr:txBody>
          </xdr:sp>
          <xdr:pic>
            <xdr:nvPicPr>
              <xdr:cNvPr id="23" name="Grafika 22" descr="Wykres słupkowy z trendem wzrostowym z wypełnieniem pełnym">
                <a:extLst>
                  <a:ext uri="{FF2B5EF4-FFF2-40B4-BE49-F238E27FC236}">
                    <a16:creationId xmlns:a16="http://schemas.microsoft.com/office/drawing/2014/main" id="{D506C88D-2CE3-6626-955B-E6623E07494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2980311" y="2060223"/>
                <a:ext cx="500943" cy="500943"/>
              </a:xfrm>
              <a:prstGeom prst="rect">
                <a:avLst/>
              </a:prstGeom>
            </xdr:spPr>
          </xdr:pic>
        </xdr:grpSp>
        <xdr:grpSp>
          <xdr:nvGrpSpPr>
            <xdr:cNvPr id="31" name="Grupa 30">
              <a:extLst>
                <a:ext uri="{FF2B5EF4-FFF2-40B4-BE49-F238E27FC236}">
                  <a16:creationId xmlns:a16="http://schemas.microsoft.com/office/drawing/2014/main" id="{2474811C-FE32-4BF6-9B0F-F59CB0B1CCBA}"/>
                </a:ext>
              </a:extLst>
            </xdr:cNvPr>
            <xdr:cNvGrpSpPr/>
          </xdr:nvGrpSpPr>
          <xdr:grpSpPr>
            <a:xfrm>
              <a:off x="4297829" y="736600"/>
              <a:ext cx="2569634" cy="1073650"/>
              <a:chOff x="2659945" y="1763888"/>
              <a:chExt cx="2617611" cy="1086555"/>
            </a:xfrm>
          </xdr:grpSpPr>
          <xdr:sp macro="" textlink="">
            <xdr:nvSpPr>
              <xdr:cNvPr id="32" name="Prostokąt: zaokrąglone rogi 31">
                <a:extLst>
                  <a:ext uri="{FF2B5EF4-FFF2-40B4-BE49-F238E27FC236}">
                    <a16:creationId xmlns:a16="http://schemas.microsoft.com/office/drawing/2014/main" id="{E002B38E-A7CF-2091-7917-8C687F2C316F}"/>
                  </a:ext>
                </a:extLst>
              </xdr:cNvPr>
              <xdr:cNvSpPr/>
            </xdr:nvSpPr>
            <xdr:spPr>
              <a:xfrm>
                <a:off x="2659945" y="1763888"/>
                <a:ext cx="2617611" cy="1086555"/>
              </a:xfrm>
              <a:prstGeom prst="roundRect">
                <a:avLst>
                  <a:gd name="adj" fmla="val 13420"/>
                </a:avLst>
              </a:prstGeom>
              <a:solidFill>
                <a:schemeClr val="bg1"/>
              </a:solidFill>
              <a:ln w="3175">
                <a:noFill/>
              </a:ln>
              <a:effectLst>
                <a:outerShdw blurRad="241300" dist="38100" dir="8100000" sx="103000" sy="103000" algn="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lang="en-US" sz="1200">
                  <a:solidFill>
                    <a:srgbClr val="605856"/>
                  </a:solidFill>
                </a:endParaRPr>
              </a:p>
            </xdr:txBody>
          </xdr:sp>
          <xdr:sp macro="" textlink="ANALYST_KPI!B7">
            <xdr:nvSpPr>
              <xdr:cNvPr id="33" name="pole tekstowe 32">
                <a:extLst>
                  <a:ext uri="{FF2B5EF4-FFF2-40B4-BE49-F238E27FC236}">
                    <a16:creationId xmlns:a16="http://schemas.microsoft.com/office/drawing/2014/main" id="{9A62999A-F90D-0A2E-9705-9749084C0703}"/>
                  </a:ext>
                </a:extLst>
              </xdr:cNvPr>
              <xdr:cNvSpPr txBox="1"/>
            </xdr:nvSpPr>
            <xdr:spPr>
              <a:xfrm>
                <a:off x="3252611" y="2109612"/>
                <a:ext cx="1968500" cy="3951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2746E603-15A5-49EC-9A6A-3677D638151C}" type="TxLink">
                  <a:rPr lang="en-US" sz="2000" b="0" i="0" u="none" strike="noStrike">
                    <a:solidFill>
                      <a:srgbClr val="605856"/>
                    </a:solidFill>
                    <a:latin typeface="Calibri"/>
                    <a:ea typeface="Calibri"/>
                    <a:cs typeface="Calibri"/>
                  </a:rPr>
                  <a:pPr algn="ctr"/>
                  <a:t> 217 781,44 zł </a:t>
                </a:fld>
                <a:endParaRPr lang="en-US" sz="2000">
                  <a:solidFill>
                    <a:srgbClr val="605856"/>
                  </a:solidFill>
                </a:endParaRPr>
              </a:p>
            </xdr:txBody>
          </xdr:sp>
        </xdr:grpSp>
        <xdr:grpSp>
          <xdr:nvGrpSpPr>
            <xdr:cNvPr id="35" name="Grupa 34">
              <a:extLst>
                <a:ext uri="{FF2B5EF4-FFF2-40B4-BE49-F238E27FC236}">
                  <a16:creationId xmlns:a16="http://schemas.microsoft.com/office/drawing/2014/main" id="{C8DA6836-13D3-49A8-8C37-8DA2B01B6F7F}"/>
                </a:ext>
              </a:extLst>
            </xdr:cNvPr>
            <xdr:cNvGrpSpPr/>
          </xdr:nvGrpSpPr>
          <xdr:grpSpPr>
            <a:xfrm>
              <a:off x="7169977" y="736600"/>
              <a:ext cx="2568684" cy="1073650"/>
              <a:chOff x="2659945" y="1763888"/>
              <a:chExt cx="2617611" cy="1086555"/>
            </a:xfrm>
          </xdr:grpSpPr>
          <xdr:sp macro="" textlink="">
            <xdr:nvSpPr>
              <xdr:cNvPr id="36" name="Prostokąt: zaokrąglone rogi 35">
                <a:extLst>
                  <a:ext uri="{FF2B5EF4-FFF2-40B4-BE49-F238E27FC236}">
                    <a16:creationId xmlns:a16="http://schemas.microsoft.com/office/drawing/2014/main" id="{C7114EC4-83AF-2C66-6513-C9ECB792714D}"/>
                  </a:ext>
                </a:extLst>
              </xdr:cNvPr>
              <xdr:cNvSpPr/>
            </xdr:nvSpPr>
            <xdr:spPr>
              <a:xfrm>
                <a:off x="2659945" y="1763888"/>
                <a:ext cx="2617611" cy="1086555"/>
              </a:xfrm>
              <a:prstGeom prst="roundRect">
                <a:avLst>
                  <a:gd name="adj" fmla="val 13420"/>
                </a:avLst>
              </a:prstGeom>
              <a:solidFill>
                <a:schemeClr val="bg1"/>
              </a:solidFill>
              <a:ln w="3175">
                <a:noFill/>
              </a:ln>
              <a:effectLst>
                <a:outerShdw blurRad="241300" dist="38100" dir="8100000" sx="103000" sy="103000" algn="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lang="en-US" sz="1200">
                  <a:solidFill>
                    <a:srgbClr val="605856"/>
                  </a:solidFill>
                </a:endParaRPr>
              </a:p>
            </xdr:txBody>
          </xdr:sp>
          <xdr:sp macro="" textlink="ANALYST_KPI!B8">
            <xdr:nvSpPr>
              <xdr:cNvPr id="37" name="pole tekstowe 36">
                <a:extLst>
                  <a:ext uri="{FF2B5EF4-FFF2-40B4-BE49-F238E27FC236}">
                    <a16:creationId xmlns:a16="http://schemas.microsoft.com/office/drawing/2014/main" id="{5D30AA4B-0988-C3FC-48C3-06451DE5A023}"/>
                  </a:ext>
                </a:extLst>
              </xdr:cNvPr>
              <xdr:cNvSpPr txBox="1"/>
            </xdr:nvSpPr>
            <xdr:spPr>
              <a:xfrm>
                <a:off x="3252611" y="2109612"/>
                <a:ext cx="1968500" cy="3951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05F86A7-D279-455B-8DF7-10734F73FEC2}" type="TxLink">
                  <a:rPr lang="en-US" sz="2000" b="0" i="0" u="none" strike="noStrike">
                    <a:solidFill>
                      <a:srgbClr val="605856"/>
                    </a:solidFill>
                    <a:latin typeface="Calibri"/>
                    <a:ea typeface="Calibri"/>
                    <a:cs typeface="Calibri"/>
                  </a:rPr>
                  <a:pPr algn="ctr"/>
                  <a:t>700</a:t>
                </a:fld>
                <a:endParaRPr lang="en-US" sz="2000">
                  <a:solidFill>
                    <a:srgbClr val="605856"/>
                  </a:solidFill>
                </a:endParaRPr>
              </a:p>
            </xdr:txBody>
          </xdr:sp>
        </xdr:grpSp>
        <xdr:grpSp>
          <xdr:nvGrpSpPr>
            <xdr:cNvPr id="39" name="Grupa 38">
              <a:extLst>
                <a:ext uri="{FF2B5EF4-FFF2-40B4-BE49-F238E27FC236}">
                  <a16:creationId xmlns:a16="http://schemas.microsoft.com/office/drawing/2014/main" id="{396E09A3-0C58-48A6-B187-0B44D3545E03}"/>
                </a:ext>
              </a:extLst>
            </xdr:cNvPr>
            <xdr:cNvGrpSpPr/>
          </xdr:nvGrpSpPr>
          <xdr:grpSpPr>
            <a:xfrm>
              <a:off x="10075041" y="736600"/>
              <a:ext cx="2587734" cy="1073650"/>
              <a:chOff x="2659945" y="1763888"/>
              <a:chExt cx="2617611" cy="1086555"/>
            </a:xfrm>
          </xdr:grpSpPr>
          <xdr:sp macro="" textlink="">
            <xdr:nvSpPr>
              <xdr:cNvPr id="40" name="Prostokąt: zaokrąglone rogi 39">
                <a:extLst>
                  <a:ext uri="{FF2B5EF4-FFF2-40B4-BE49-F238E27FC236}">
                    <a16:creationId xmlns:a16="http://schemas.microsoft.com/office/drawing/2014/main" id="{5859C983-46CA-8EB0-8C6E-67AD347A2E51}"/>
                  </a:ext>
                </a:extLst>
              </xdr:cNvPr>
              <xdr:cNvSpPr/>
            </xdr:nvSpPr>
            <xdr:spPr>
              <a:xfrm>
                <a:off x="2659945" y="1763888"/>
                <a:ext cx="2617611" cy="1086555"/>
              </a:xfrm>
              <a:prstGeom prst="roundRect">
                <a:avLst>
                  <a:gd name="adj" fmla="val 13420"/>
                </a:avLst>
              </a:prstGeom>
              <a:solidFill>
                <a:schemeClr val="bg1"/>
              </a:solidFill>
              <a:ln w="3175">
                <a:noFill/>
              </a:ln>
              <a:effectLst>
                <a:outerShdw blurRad="241300" dist="38100" dir="8100000" sx="103000" sy="103000" algn="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lang="en-US" sz="1200">
                  <a:solidFill>
                    <a:srgbClr val="605856"/>
                  </a:solidFill>
                </a:endParaRPr>
              </a:p>
            </xdr:txBody>
          </xdr:sp>
          <xdr:sp macro="" textlink="ANALYST_KPI!B9">
            <xdr:nvSpPr>
              <xdr:cNvPr id="41" name="pole tekstowe 40">
                <a:extLst>
                  <a:ext uri="{FF2B5EF4-FFF2-40B4-BE49-F238E27FC236}">
                    <a16:creationId xmlns:a16="http://schemas.microsoft.com/office/drawing/2014/main" id="{796BC518-2B6B-54DF-8D8B-6DEFB2C64C0B}"/>
                  </a:ext>
                </a:extLst>
              </xdr:cNvPr>
              <xdr:cNvSpPr txBox="1"/>
            </xdr:nvSpPr>
            <xdr:spPr>
              <a:xfrm>
                <a:off x="3252611" y="2109612"/>
                <a:ext cx="1968500" cy="3951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DEDCDEE6-5FD0-4D4D-B2E8-0DE2D7D7E7B0}" type="TxLink">
                  <a:rPr lang="en-US" sz="2000" b="0" i="0" u="none" strike="noStrike">
                    <a:solidFill>
                      <a:srgbClr val="605856"/>
                    </a:solidFill>
                    <a:latin typeface="Calibri"/>
                    <a:ea typeface="Calibri"/>
                    <a:cs typeface="Calibri"/>
                  </a:rPr>
                  <a:pPr algn="ctr"/>
                  <a:t>4,19%</a:t>
                </a:fld>
                <a:endParaRPr lang="en-US" sz="2000">
                  <a:solidFill>
                    <a:srgbClr val="605856"/>
                  </a:solidFill>
                </a:endParaRPr>
              </a:p>
            </xdr:txBody>
          </xdr:sp>
        </xdr:grpSp>
        <xdr:grpSp>
          <xdr:nvGrpSpPr>
            <xdr:cNvPr id="43" name="Grupa 42">
              <a:extLst>
                <a:ext uri="{FF2B5EF4-FFF2-40B4-BE49-F238E27FC236}">
                  <a16:creationId xmlns:a16="http://schemas.microsoft.com/office/drawing/2014/main" id="{4B3C2890-E7C4-4BC4-82F1-AFA8D06B2809}"/>
                </a:ext>
              </a:extLst>
            </xdr:cNvPr>
            <xdr:cNvGrpSpPr/>
          </xdr:nvGrpSpPr>
          <xdr:grpSpPr>
            <a:xfrm>
              <a:off x="12965289" y="736600"/>
              <a:ext cx="2558100" cy="1073650"/>
              <a:chOff x="2659945" y="1763888"/>
              <a:chExt cx="2617611" cy="1086555"/>
            </a:xfrm>
          </xdr:grpSpPr>
          <xdr:sp macro="" textlink="">
            <xdr:nvSpPr>
              <xdr:cNvPr id="44" name="Prostokąt: zaokrąglone rogi 43">
                <a:extLst>
                  <a:ext uri="{FF2B5EF4-FFF2-40B4-BE49-F238E27FC236}">
                    <a16:creationId xmlns:a16="http://schemas.microsoft.com/office/drawing/2014/main" id="{E926E8BF-FCEF-BDE6-8491-F91F4FC382B1}"/>
                  </a:ext>
                </a:extLst>
              </xdr:cNvPr>
              <xdr:cNvSpPr/>
            </xdr:nvSpPr>
            <xdr:spPr>
              <a:xfrm>
                <a:off x="2659945" y="1763888"/>
                <a:ext cx="2617611" cy="1086555"/>
              </a:xfrm>
              <a:prstGeom prst="roundRect">
                <a:avLst>
                  <a:gd name="adj" fmla="val 13420"/>
                </a:avLst>
              </a:prstGeom>
              <a:solidFill>
                <a:schemeClr val="bg1"/>
              </a:solidFill>
              <a:ln w="3175">
                <a:noFill/>
              </a:ln>
              <a:effectLst>
                <a:outerShdw blurRad="241300" dist="38100" dir="8100000" sx="103000" sy="103000" algn="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lang="en-US" sz="1200">
                  <a:solidFill>
                    <a:srgbClr val="605856"/>
                  </a:solidFill>
                </a:endParaRPr>
              </a:p>
            </xdr:txBody>
          </xdr:sp>
          <xdr:sp macro="" textlink="ANALYST_KPI!B10">
            <xdr:nvSpPr>
              <xdr:cNvPr id="45" name="pole tekstowe 44">
                <a:extLst>
                  <a:ext uri="{FF2B5EF4-FFF2-40B4-BE49-F238E27FC236}">
                    <a16:creationId xmlns:a16="http://schemas.microsoft.com/office/drawing/2014/main" id="{3544F37C-9C3C-DFF4-7878-9D40F4FF03F1}"/>
                  </a:ext>
                </a:extLst>
              </xdr:cNvPr>
              <xdr:cNvSpPr txBox="1"/>
            </xdr:nvSpPr>
            <xdr:spPr>
              <a:xfrm>
                <a:off x="3252611" y="2109612"/>
                <a:ext cx="1968500" cy="39510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3A00028E-153F-4CE5-9E27-6F04B2AF26DB}" type="TxLink">
                  <a:rPr lang="en-US" sz="2000" b="0" i="0" u="none" strike="noStrike">
                    <a:solidFill>
                      <a:srgbClr val="605856"/>
                    </a:solidFill>
                    <a:latin typeface="Calibri"/>
                    <a:ea typeface="Calibri"/>
                    <a:cs typeface="Calibri"/>
                  </a:rPr>
                  <a:pPr algn="ctr"/>
                  <a:t> 5 264 750,00 zł </a:t>
                </a:fld>
                <a:endParaRPr lang="en-US" sz="2000">
                  <a:solidFill>
                    <a:srgbClr val="605856"/>
                  </a:solidFill>
                </a:endParaRPr>
              </a:p>
            </xdr:txBody>
          </xdr:sp>
        </xdr:grpSp>
        <xdr:graphicFrame macro="">
          <xdr:nvGraphicFramePr>
            <xdr:cNvPr id="19" name="Wykres 18">
              <a:extLst>
                <a:ext uri="{FF2B5EF4-FFF2-40B4-BE49-F238E27FC236}">
                  <a16:creationId xmlns:a16="http://schemas.microsoft.com/office/drawing/2014/main" id="{9845CC8F-AB22-4C89-B959-CEC94EB28C61}"/>
                </a:ext>
              </a:extLst>
            </xdr:cNvPr>
            <xdr:cNvGraphicFramePr>
              <a:graphicFrameLocks/>
            </xdr:cNvGraphicFramePr>
          </xdr:nvGraphicFramePr>
          <xdr:xfrm>
            <a:off x="10393539" y="950383"/>
            <a:ext cx="958849" cy="75529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ANALYST_KPI!A6">
          <xdr:nvSpPr>
            <xdr:cNvPr id="21" name="pole tekstowe 20">
              <a:extLst>
                <a:ext uri="{FF2B5EF4-FFF2-40B4-BE49-F238E27FC236}">
                  <a16:creationId xmlns:a16="http://schemas.microsoft.com/office/drawing/2014/main" id="{02E630FF-35F8-43A9-8513-5CEC156CCBC3}"/>
                </a:ext>
              </a:extLst>
            </xdr:cNvPr>
            <xdr:cNvSpPr txBox="1"/>
          </xdr:nvSpPr>
          <xdr:spPr>
            <a:xfrm>
              <a:off x="2009423" y="914401"/>
              <a:ext cx="1141588" cy="21872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08A7F4E-8471-4AB9-AB36-C587A390C8FA}" type="TxLink">
                <a:rPr lang="en-US" sz="1100" b="1" i="0" u="none" strike="noStrike">
                  <a:solidFill>
                    <a:srgbClr val="896B6B"/>
                  </a:solidFill>
                  <a:latin typeface="Calibri"/>
                  <a:ea typeface="Calibri"/>
                  <a:cs typeface="Calibri"/>
                </a:rPr>
                <a:pPr algn="ctr"/>
                <a:t>Revenue</a:t>
              </a:fld>
              <a:endParaRPr lang="en-US" sz="1200">
                <a:solidFill>
                  <a:srgbClr val="896B6B"/>
                </a:solidFill>
              </a:endParaRPr>
            </a:p>
          </xdr:txBody>
        </xdr:sp>
        <xdr:sp macro="" textlink="ANALYST_KPI!A8">
          <xdr:nvSpPr>
            <xdr:cNvPr id="22" name="pole tekstowe 21">
              <a:extLst>
                <a:ext uri="{FF2B5EF4-FFF2-40B4-BE49-F238E27FC236}">
                  <a16:creationId xmlns:a16="http://schemas.microsoft.com/office/drawing/2014/main" id="{09C782D7-9694-4468-9726-B67E9DC62DD4}"/>
                </a:ext>
              </a:extLst>
            </xdr:cNvPr>
            <xdr:cNvSpPr txBox="1"/>
          </xdr:nvSpPr>
          <xdr:spPr>
            <a:xfrm>
              <a:off x="7959019" y="877712"/>
              <a:ext cx="1152877" cy="2201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B73DDFA6-8432-4628-9937-54627B0151ED}" type="TxLink">
                <a:rPr lang="en-US" sz="1100" b="1" i="0" u="none" strike="noStrike">
                  <a:solidFill>
                    <a:srgbClr val="896B6B"/>
                  </a:solidFill>
                  <a:latin typeface="Calibri"/>
                  <a:ea typeface="Calibri"/>
                  <a:cs typeface="Calibri"/>
                </a:rPr>
                <a:pPr algn="ctr"/>
                <a:t>Order</a:t>
              </a:fld>
              <a:endParaRPr lang="en-US" sz="1200">
                <a:solidFill>
                  <a:srgbClr val="896B6B"/>
                </a:solidFill>
              </a:endParaRPr>
            </a:p>
          </xdr:txBody>
        </xdr:sp>
        <xdr:sp macro="" textlink="ANALYST_KPI!A7">
          <xdr:nvSpPr>
            <xdr:cNvPr id="24" name="pole tekstowe 23">
              <a:extLst>
                <a:ext uri="{FF2B5EF4-FFF2-40B4-BE49-F238E27FC236}">
                  <a16:creationId xmlns:a16="http://schemas.microsoft.com/office/drawing/2014/main" id="{9E850924-CA8F-402D-815E-C7384A6D6B09}"/>
                </a:ext>
              </a:extLst>
            </xdr:cNvPr>
            <xdr:cNvSpPr txBox="1"/>
          </xdr:nvSpPr>
          <xdr:spPr>
            <a:xfrm>
              <a:off x="4917369" y="896055"/>
              <a:ext cx="1152878" cy="2201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7B77AEC-063B-43CB-A2B0-9849934B9F67}" type="TxLink">
                <a:rPr lang="en-US" sz="1100" b="1" i="0" u="none" strike="noStrike">
                  <a:solidFill>
                    <a:srgbClr val="896B6B"/>
                  </a:solidFill>
                  <a:latin typeface="Calibri"/>
                  <a:ea typeface="Calibri"/>
                  <a:cs typeface="Calibri"/>
                </a:rPr>
                <a:pPr algn="ctr"/>
                <a:t>Profit</a:t>
              </a:fld>
              <a:endParaRPr lang="en-US" sz="1200">
                <a:solidFill>
                  <a:srgbClr val="896B6B"/>
                </a:solidFill>
              </a:endParaRPr>
            </a:p>
          </xdr:txBody>
        </xdr:sp>
        <xdr:sp macro="" textlink="ANALYST_KPI!A9">
          <xdr:nvSpPr>
            <xdr:cNvPr id="25" name="pole tekstowe 24">
              <a:extLst>
                <a:ext uri="{FF2B5EF4-FFF2-40B4-BE49-F238E27FC236}">
                  <a16:creationId xmlns:a16="http://schemas.microsoft.com/office/drawing/2014/main" id="{4CC70855-7957-4BB9-A2D3-6EE9F073DAAD}"/>
                </a:ext>
              </a:extLst>
            </xdr:cNvPr>
            <xdr:cNvSpPr txBox="1"/>
          </xdr:nvSpPr>
          <xdr:spPr>
            <a:xfrm>
              <a:off x="10769953" y="907345"/>
              <a:ext cx="1141589" cy="2201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E15896C-27C4-4218-A06A-C1E5D91CC073}" type="TxLink">
                <a:rPr lang="en-US" sz="1100" b="1" i="0" u="none" strike="noStrike">
                  <a:solidFill>
                    <a:srgbClr val="896B6B"/>
                  </a:solidFill>
                  <a:latin typeface="Calibri"/>
                  <a:ea typeface="Calibri"/>
                  <a:cs typeface="Calibri"/>
                </a:rPr>
                <a:pPr algn="ctr"/>
                <a:t>Margin</a:t>
              </a:fld>
              <a:endParaRPr lang="en-US" sz="1200">
                <a:solidFill>
                  <a:srgbClr val="896B6B"/>
                </a:solidFill>
              </a:endParaRPr>
            </a:p>
          </xdr:txBody>
        </xdr:sp>
        <xdr:sp macro="" textlink="ANALYST_KPI!A10">
          <xdr:nvSpPr>
            <xdr:cNvPr id="26" name="pole tekstowe 25">
              <a:extLst>
                <a:ext uri="{FF2B5EF4-FFF2-40B4-BE49-F238E27FC236}">
                  <a16:creationId xmlns:a16="http://schemas.microsoft.com/office/drawing/2014/main" id="{7BDDA0BF-6824-4A70-987D-4FE9F2D6F646}"/>
                </a:ext>
              </a:extLst>
            </xdr:cNvPr>
            <xdr:cNvSpPr txBox="1"/>
          </xdr:nvSpPr>
          <xdr:spPr>
            <a:xfrm>
              <a:off x="13445418" y="911577"/>
              <a:ext cx="1142295" cy="2201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B0259DD3-F09E-4322-A17C-152EF3B96C26}" type="TxLink">
                <a:rPr lang="en-US" sz="1100" b="1" i="0" u="none" strike="noStrike">
                  <a:solidFill>
                    <a:srgbClr val="896B6B"/>
                  </a:solidFill>
                  <a:latin typeface="Calibri"/>
                  <a:ea typeface="Calibri"/>
                  <a:cs typeface="Calibri"/>
                </a:rPr>
                <a:pPr algn="ctr"/>
                <a:t>Cost</a:t>
              </a:fld>
              <a:endParaRPr lang="en-US" sz="1200">
                <a:solidFill>
                  <a:srgbClr val="896B6B"/>
                </a:solidFill>
              </a:endParaRPr>
            </a:p>
          </xdr:txBody>
        </xdr:sp>
        <xdr:pic>
          <xdr:nvPicPr>
            <xdr:cNvPr id="55" name="Grafika 54" descr="Pieniądze z wypełnieniem pełnym">
              <a:extLst>
                <a:ext uri="{FF2B5EF4-FFF2-40B4-BE49-F238E27FC236}">
                  <a16:creationId xmlns:a16="http://schemas.microsoft.com/office/drawing/2014/main" id="{6354DE9D-DD83-83B5-38B1-F3D9FF2F8F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13209833" y="979027"/>
              <a:ext cx="499111" cy="500522"/>
            </a:xfrm>
            <a:prstGeom prst="rect">
              <a:avLst/>
            </a:prstGeom>
          </xdr:spPr>
        </xdr:pic>
        <xdr:pic>
          <xdr:nvPicPr>
            <xdr:cNvPr id="57" name="Grafika 56" descr="Świnka-skarbonka z wypełnieniem pełnym">
              <a:extLst>
                <a:ext uri="{FF2B5EF4-FFF2-40B4-BE49-F238E27FC236}">
                  <a16:creationId xmlns:a16="http://schemas.microsoft.com/office/drawing/2014/main" id="{873D47CC-E0FB-BB1F-9E21-5FF84C28C1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96DAC541-7B7A-43D3-8B79-37D633B846F1}">
                  <asvg:svgBlip xmlns:asvg="http://schemas.microsoft.com/office/drawing/2016/SVG/main" r:embed="rId11"/>
                </a:ext>
              </a:extLst>
            </a:blip>
            <a:stretch>
              <a:fillRect/>
            </a:stretch>
          </xdr:blipFill>
          <xdr:spPr>
            <a:xfrm>
              <a:off x="4665977" y="1002733"/>
              <a:ext cx="521267" cy="542434"/>
            </a:xfrm>
            <a:prstGeom prst="rect">
              <a:avLst/>
            </a:prstGeom>
          </xdr:spPr>
        </xdr:pic>
        <xdr:pic>
          <xdr:nvPicPr>
            <xdr:cNvPr id="59" name="Grafika 58" descr="Koszyk na zakupy z wypełnieniem pełnym">
              <a:extLst>
                <a:ext uri="{FF2B5EF4-FFF2-40B4-BE49-F238E27FC236}">
                  <a16:creationId xmlns:a16="http://schemas.microsoft.com/office/drawing/2014/main" id="{17E670CB-0C9E-2995-4B8C-2FFD4A2B7F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8071413" y="1068065"/>
              <a:ext cx="455932" cy="477100"/>
            </a:xfrm>
            <a:prstGeom prst="rect">
              <a:avLst/>
            </a:prstGeom>
          </xdr:spPr>
        </xdr:pic>
      </xdr:grpSp>
      <xdr:graphicFrame macro="">
        <xdr:nvGraphicFramePr>
          <xdr:cNvPr id="16" name="Wykres 15">
            <a:extLst>
              <a:ext uri="{FF2B5EF4-FFF2-40B4-BE49-F238E27FC236}">
                <a16:creationId xmlns:a16="http://schemas.microsoft.com/office/drawing/2014/main" id="{F3AFC0B2-C43F-4CA6-B8FD-B4B1DB8F4F6F}"/>
              </a:ext>
            </a:extLst>
          </xdr:cNvPr>
          <xdr:cNvGraphicFramePr>
            <a:graphicFrameLocks/>
          </xdr:cNvGraphicFramePr>
        </xdr:nvGraphicFramePr>
        <xdr:xfrm>
          <a:off x="10204450" y="1905000"/>
          <a:ext cx="5161280" cy="41719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132293</xdr:colOff>
      <xdr:row>0</xdr:row>
      <xdr:rowOff>160020</xdr:rowOff>
    </xdr:from>
    <xdr:to>
      <xdr:col>1</xdr:col>
      <xdr:colOff>16764</xdr:colOff>
      <xdr:row>3</xdr:row>
      <xdr:rowOff>45413</xdr:rowOff>
    </xdr:to>
    <xdr:pic>
      <xdr:nvPicPr>
        <xdr:cNvPr id="3" name="Grafika 2" descr="Wykres słupkowy z trendem wzrostowym z wypełnieniem pełnym">
          <a:extLst>
            <a:ext uri="{FF2B5EF4-FFF2-40B4-BE49-F238E27FC236}">
              <a16:creationId xmlns:a16="http://schemas.microsoft.com/office/drawing/2014/main" id="{CA64A75E-D86C-4357-A7F9-4EE781D9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2293" y="160020"/>
          <a:ext cx="494071" cy="456893"/>
        </a:xfrm>
        <a:prstGeom prst="rect">
          <a:avLst/>
        </a:prstGeom>
      </xdr:spPr>
    </xdr:pic>
    <xdr:clientData/>
  </xdr:twoCellAnchor>
  <xdr:twoCellAnchor>
    <xdr:from>
      <xdr:col>0</xdr:col>
      <xdr:colOff>138389</xdr:colOff>
      <xdr:row>31</xdr:row>
      <xdr:rowOff>160020</xdr:rowOff>
    </xdr:from>
    <xdr:to>
      <xdr:col>1</xdr:col>
      <xdr:colOff>22860</xdr:colOff>
      <xdr:row>34</xdr:row>
      <xdr:rowOff>30173</xdr:rowOff>
    </xdr:to>
    <xdr:pic>
      <xdr:nvPicPr>
        <xdr:cNvPr id="4" name="Grafika 3" descr="Wykres słupkowy z trendem wzrostowym z wypełnieniem pełnym">
          <a:extLst>
            <a:ext uri="{FF2B5EF4-FFF2-40B4-BE49-F238E27FC236}">
              <a16:creationId xmlns:a16="http://schemas.microsoft.com/office/drawing/2014/main" id="{D4C0E862-4DEE-4472-931F-8CAFA384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389" y="6065520"/>
          <a:ext cx="494071" cy="441653"/>
        </a:xfrm>
        <a:prstGeom prst="rect">
          <a:avLst/>
        </a:prstGeom>
      </xdr:spPr>
    </xdr:pic>
    <xdr:clientData/>
  </xdr:twoCellAnchor>
  <xdr:twoCellAnchor>
    <xdr:from>
      <xdr:col>0</xdr:col>
      <xdr:colOff>126197</xdr:colOff>
      <xdr:row>26</xdr:row>
      <xdr:rowOff>137160</xdr:rowOff>
    </xdr:from>
    <xdr:to>
      <xdr:col>1</xdr:col>
      <xdr:colOff>10668</xdr:colOff>
      <xdr:row>29</xdr:row>
      <xdr:rowOff>53033</xdr:rowOff>
    </xdr:to>
    <xdr:pic>
      <xdr:nvPicPr>
        <xdr:cNvPr id="5" name="Grafika 4" descr="Wykres słupkowy z trendem wzrostowym z wypełnieniem pełnym">
          <a:extLst>
            <a:ext uri="{FF2B5EF4-FFF2-40B4-BE49-F238E27FC236}">
              <a16:creationId xmlns:a16="http://schemas.microsoft.com/office/drawing/2014/main" id="{5F2DA1DA-1D36-40F1-B138-7B49AD790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6197" y="5090160"/>
          <a:ext cx="494071" cy="487373"/>
        </a:xfrm>
        <a:prstGeom prst="rect">
          <a:avLst/>
        </a:prstGeom>
      </xdr:spPr>
    </xdr:pic>
    <xdr:clientData/>
  </xdr:twoCellAnchor>
  <xdr:twoCellAnchor>
    <xdr:from>
      <xdr:col>0</xdr:col>
      <xdr:colOff>114005</xdr:colOff>
      <xdr:row>19</xdr:row>
      <xdr:rowOff>167640</xdr:rowOff>
    </xdr:from>
    <xdr:to>
      <xdr:col>0</xdr:col>
      <xdr:colOff>608076</xdr:colOff>
      <xdr:row>22</xdr:row>
      <xdr:rowOff>45413</xdr:rowOff>
    </xdr:to>
    <xdr:pic>
      <xdr:nvPicPr>
        <xdr:cNvPr id="6" name="Grafika 5" descr="Wykres słupkowy z trendem wzrostowym z wypełnieniem pełnym">
          <a:extLst>
            <a:ext uri="{FF2B5EF4-FFF2-40B4-BE49-F238E27FC236}">
              <a16:creationId xmlns:a16="http://schemas.microsoft.com/office/drawing/2014/main" id="{60ABAE64-75B2-436B-9FA3-8E641D66A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005" y="3787140"/>
          <a:ext cx="494071" cy="449273"/>
        </a:xfrm>
        <a:prstGeom prst="rect">
          <a:avLst/>
        </a:prstGeom>
      </xdr:spPr>
    </xdr:pic>
    <xdr:clientData/>
  </xdr:twoCellAnchor>
  <xdr:twoCellAnchor>
    <xdr:from>
      <xdr:col>0</xdr:col>
      <xdr:colOff>120101</xdr:colOff>
      <xdr:row>14</xdr:row>
      <xdr:rowOff>160020</xdr:rowOff>
    </xdr:from>
    <xdr:to>
      <xdr:col>1</xdr:col>
      <xdr:colOff>4572</xdr:colOff>
      <xdr:row>17</xdr:row>
      <xdr:rowOff>37793</xdr:rowOff>
    </xdr:to>
    <xdr:pic>
      <xdr:nvPicPr>
        <xdr:cNvPr id="7" name="Grafika 6" descr="Wykres słupkowy z trendem wzrostowym z wypełnieniem pełnym">
          <a:extLst>
            <a:ext uri="{FF2B5EF4-FFF2-40B4-BE49-F238E27FC236}">
              <a16:creationId xmlns:a16="http://schemas.microsoft.com/office/drawing/2014/main" id="{CCAE5EC8-71BC-42E3-8B1E-11059348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101" y="2827020"/>
          <a:ext cx="494071" cy="449273"/>
        </a:xfrm>
        <a:prstGeom prst="rect">
          <a:avLst/>
        </a:prstGeom>
      </xdr:spPr>
    </xdr:pic>
    <xdr:clientData/>
  </xdr:twoCellAnchor>
  <xdr:twoCellAnchor>
    <xdr:from>
      <xdr:col>0</xdr:col>
      <xdr:colOff>107909</xdr:colOff>
      <xdr:row>6</xdr:row>
      <xdr:rowOff>152400</xdr:rowOff>
    </xdr:from>
    <xdr:to>
      <xdr:col>0</xdr:col>
      <xdr:colOff>601980</xdr:colOff>
      <xdr:row>9</xdr:row>
      <xdr:rowOff>30173</xdr:rowOff>
    </xdr:to>
    <xdr:pic>
      <xdr:nvPicPr>
        <xdr:cNvPr id="8" name="Grafika 7" descr="Wykres słupkowy z trendem wzrostowym z wypełnieniem pełnym">
          <a:extLst>
            <a:ext uri="{FF2B5EF4-FFF2-40B4-BE49-F238E27FC236}">
              <a16:creationId xmlns:a16="http://schemas.microsoft.com/office/drawing/2014/main" id="{09DF5B58-B92D-46DB-B0B7-E35FF36F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909" y="1295400"/>
          <a:ext cx="494071" cy="44927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boxuser" refreshedDate="46126.675998148145" createdVersion="8" refreshedVersion="8" minRefreshableVersion="3" recordCount="700" xr:uid="{CF3A26DC-1DDF-4559-B48F-DDDBA3B227F5}">
  <cacheSource type="worksheet">
    <worksheetSource name="clean_data"/>
  </cacheSource>
  <cacheFields count="25">
    <cacheField name="ORDER LINE ID" numFmtId="0">
      <sharedItems/>
    </cacheField>
    <cacheField name="ORDER ID" numFmtId="0">
      <sharedItems/>
    </cacheField>
    <cacheField name="CUSTOMER ID" numFmtId="0">
      <sharedItems/>
    </cacheField>
    <cacheField name="STORE ID" numFmtId="0">
      <sharedItems/>
    </cacheField>
    <cacheField name="PRODUCT ID" numFmtId="0">
      <sharedItems/>
    </cacheField>
    <cacheField name="ORDER DATE" numFmtId="14">
      <sharedItems containsSemiMixedTypes="0" containsNonDate="0" containsDate="1" containsString="0" minDate="2024-01-01T00:00:00" maxDate="2026-06-19T00:00:00" count="481">
        <d v="2025-12-09T00:00:00"/>
        <d v="2026-06-12T00:00:00"/>
        <d v="2024-06-28T00:00:00"/>
        <d v="2024-12-03T00:00:00"/>
        <d v="2025-11-04T00:00:00"/>
        <d v="2024-12-05T00:00:00"/>
        <d v="2026-04-15T00:00:00"/>
        <d v="2025-01-16T00:00:00"/>
        <d v="2025-08-09T00:00:00"/>
        <d v="2024-11-16T00:00:00"/>
        <d v="2024-02-19T00:00:00"/>
        <d v="2024-07-18T00:00:00"/>
        <d v="2025-12-11T00:00:00"/>
        <d v="2025-08-26T00:00:00"/>
        <d v="2025-04-02T00:00:00"/>
        <d v="2025-06-27T00:00:00"/>
        <d v="2026-05-17T00:00:00"/>
        <d v="2026-01-27T00:00:00"/>
        <d v="2024-11-30T00:00:00"/>
        <d v="2025-11-20T00:00:00"/>
        <d v="2026-01-11T00:00:00"/>
        <d v="2025-06-02T00:00:00"/>
        <d v="2026-04-19T00:00:00"/>
        <d v="2025-01-23T00:00:00"/>
        <d v="2026-01-26T00:00:00"/>
        <d v="2026-05-11T00:00:00"/>
        <d v="2025-01-08T00:00:00"/>
        <d v="2026-04-29T00:00:00"/>
        <d v="2025-12-16T00:00:00"/>
        <d v="2024-05-19T00:00:00"/>
        <d v="2025-08-16T00:00:00"/>
        <d v="2026-02-19T00:00:00"/>
        <d v="2026-02-09T00:00:00"/>
        <d v="2025-09-01T00:00:00"/>
        <d v="2025-07-06T00:00:00"/>
        <d v="2024-11-28T00:00:00"/>
        <d v="2024-06-23T00:00:00"/>
        <d v="2025-11-18T00:00:00"/>
        <d v="2025-04-16T00:00:00"/>
        <d v="2024-05-12T00:00:00"/>
        <d v="2025-03-11T00:00:00"/>
        <d v="2024-05-16T00:00:00"/>
        <d v="2025-01-04T00:00:00"/>
        <d v="2026-01-05T00:00:00"/>
        <d v="2025-08-05T00:00:00"/>
        <d v="2024-07-05T00:00:00"/>
        <d v="2025-04-20T00:00:00"/>
        <d v="2025-12-21T00:00:00"/>
        <d v="2024-03-12T00:00:00"/>
        <d v="2024-10-29T00:00:00"/>
        <d v="2025-07-19T00:00:00"/>
        <d v="2025-12-08T00:00:00"/>
        <d v="2026-02-20T00:00:00"/>
        <d v="2024-01-02T00:00:00"/>
        <d v="2025-07-14T00:00:00"/>
        <d v="2025-11-11T00:00:00"/>
        <d v="2025-05-18T00:00:00"/>
        <d v="2024-08-02T00:00:00"/>
        <d v="2025-05-15T00:00:00"/>
        <d v="2025-12-03T00:00:00"/>
        <d v="2025-10-23T00:00:00"/>
        <d v="2024-01-09T00:00:00"/>
        <d v="2024-01-10T00:00:00"/>
        <d v="2026-03-26T00:00:00"/>
        <d v="2024-10-28T00:00:00"/>
        <d v="2024-06-10T00:00:00"/>
        <d v="2024-02-11T00:00:00"/>
        <d v="2024-02-03T00:00:00"/>
        <d v="2024-08-22T00:00:00"/>
        <d v="2026-04-14T00:00:00"/>
        <d v="2024-08-13T00:00:00"/>
        <d v="2024-09-10T00:00:00"/>
        <d v="2024-09-02T00:00:00"/>
        <d v="2025-03-20T00:00:00"/>
        <d v="2026-01-15T00:00:00"/>
        <d v="2025-05-10T00:00:00"/>
        <d v="2026-03-09T00:00:00"/>
        <d v="2024-06-20T00:00:00"/>
        <d v="2024-07-11T00:00:00"/>
        <d v="2024-05-27T00:00:00"/>
        <d v="2024-10-19T00:00:00"/>
        <d v="2025-05-21T00:00:00"/>
        <d v="2024-06-16T00:00:00"/>
        <d v="2024-04-18T00:00:00"/>
        <d v="2026-01-22T00:00:00"/>
        <d v="2024-05-08T00:00:00"/>
        <d v="2025-09-11T00:00:00"/>
        <d v="2025-02-08T00:00:00"/>
        <d v="2024-05-07T00:00:00"/>
        <d v="2024-07-01T00:00:00"/>
        <d v="2026-05-15T00:00:00"/>
        <d v="2026-04-25T00:00:00"/>
        <d v="2025-10-02T00:00:00"/>
        <d v="2024-01-06T00:00:00"/>
        <d v="2025-12-12T00:00:00"/>
        <d v="2024-05-25T00:00:00"/>
        <d v="2024-03-24T00:00:00"/>
        <d v="2025-02-21T00:00:00"/>
        <d v="2025-10-22T00:00:00"/>
        <d v="2024-11-03T00:00:00"/>
        <d v="2024-09-12T00:00:00"/>
        <d v="2026-05-22T00:00:00"/>
        <d v="2025-10-13T00:00:00"/>
        <d v="2024-12-29T00:00:00"/>
        <d v="2025-06-18T00:00:00"/>
        <d v="2024-06-14T00:00:00"/>
        <d v="2025-07-26T00:00:00"/>
        <d v="2026-02-08T00:00:00"/>
        <d v="2026-01-28T00:00:00"/>
        <d v="2025-07-31T00:00:00"/>
        <d v="2024-02-28T00:00:00"/>
        <d v="2026-05-23T00:00:00"/>
        <d v="2025-03-01T00:00:00"/>
        <d v="2025-09-16T00:00:00"/>
        <d v="2024-06-26T00:00:00"/>
        <d v="2026-06-07T00:00:00"/>
        <d v="2025-12-26T00:00:00"/>
        <d v="2024-11-23T00:00:00"/>
        <d v="2025-04-30T00:00:00"/>
        <d v="2025-04-12T00:00:00"/>
        <d v="2026-03-06T00:00:00"/>
        <d v="2024-10-23T00:00:00"/>
        <d v="2025-04-28T00:00:00"/>
        <d v="2025-06-21T00:00:00"/>
        <d v="2025-11-12T00:00:00"/>
        <d v="2026-02-05T00:00:00"/>
        <d v="2024-09-21T00:00:00"/>
        <d v="2026-06-01T00:00:00"/>
        <d v="2025-06-26T00:00:00"/>
        <d v="2026-03-05T00:00:00"/>
        <d v="2024-02-24T00:00:00"/>
        <d v="2025-01-09T00:00:00"/>
        <d v="2026-05-03T00:00:00"/>
        <d v="2025-09-26T00:00:00"/>
        <d v="2024-05-21T00:00:00"/>
        <d v="2025-07-24T00:00:00"/>
        <d v="2024-09-24T00:00:00"/>
        <d v="2025-02-18T00:00:00"/>
        <d v="2026-02-25T00:00:00"/>
        <d v="2024-06-01T00:00:00"/>
        <d v="2025-02-28T00:00:00"/>
        <d v="2024-01-30T00:00:00"/>
        <d v="2025-10-01T00:00:00"/>
        <d v="2025-08-25T00:00:00"/>
        <d v="2025-12-13T00:00:00"/>
        <d v="2024-03-04T00:00:00"/>
        <d v="2024-01-31T00:00:00"/>
        <d v="2024-01-16T00:00:00"/>
        <d v="2025-10-10T00:00:00"/>
        <d v="2025-12-30T00:00:00"/>
        <d v="2025-12-24T00:00:00"/>
        <d v="2024-04-02T00:00:00"/>
        <d v="2025-12-02T00:00:00"/>
        <d v="2025-02-20T00:00:00"/>
        <d v="2024-07-07T00:00:00"/>
        <d v="2025-06-07T00:00:00"/>
        <d v="2024-12-11T00:00:00"/>
        <d v="2026-03-04T00:00:00"/>
        <d v="2026-04-01T00:00:00"/>
        <d v="2025-01-03T00:00:00"/>
        <d v="2024-09-04T00:00:00"/>
        <d v="2026-02-16T00:00:00"/>
        <d v="2026-06-18T00:00:00"/>
        <d v="2026-03-12T00:00:00"/>
        <d v="2024-01-05T00:00:00"/>
        <d v="2024-05-24T00:00:00"/>
        <d v="2026-02-02T00:00:00"/>
        <d v="2025-12-04T00:00:00"/>
        <d v="2025-11-27T00:00:00"/>
        <d v="2025-10-07T00:00:00"/>
        <d v="2025-04-13T00:00:00"/>
        <d v="2024-02-21T00:00:00"/>
        <d v="2025-11-24T00:00:00"/>
        <d v="2024-07-10T00:00:00"/>
        <d v="2024-12-14T00:00:00"/>
        <d v="2024-10-02T00:00:00"/>
        <d v="2024-10-11T00:00:00"/>
        <d v="2024-12-19T00:00:00"/>
        <d v="2025-02-25T00:00:00"/>
        <d v="2025-10-28T00:00:00"/>
        <d v="2024-09-16T00:00:00"/>
        <d v="2025-09-20T00:00:00"/>
        <d v="2024-05-22T00:00:00"/>
        <d v="2025-05-05T00:00:00"/>
        <d v="2025-04-14T00:00:00"/>
        <d v="2024-11-27T00:00:00"/>
        <d v="2024-10-13T00:00:00"/>
        <d v="2024-04-22T00:00:00"/>
        <d v="2024-07-21T00:00:00"/>
        <d v="2025-11-28T00:00:00"/>
        <d v="2024-05-17T00:00:00"/>
        <d v="2024-04-09T00:00:00"/>
        <d v="2024-05-09T00:00:00"/>
        <d v="2024-09-19T00:00:00"/>
        <d v="2025-07-13T00:00:00"/>
        <d v="2025-05-06T00:00:00"/>
        <d v="2025-12-28T00:00:00"/>
        <d v="2025-08-13T00:00:00"/>
        <d v="2024-05-01T00:00:00"/>
        <d v="2025-01-05T00:00:00"/>
        <d v="2025-02-22T00:00:00"/>
        <d v="2024-12-18T00:00:00"/>
        <d v="2025-04-24T00:00:00"/>
        <d v="2024-01-04T00:00:00"/>
        <d v="2024-05-23T00:00:00"/>
        <d v="2025-02-03T00:00:00"/>
        <d v="2025-06-08T00:00:00"/>
        <d v="2024-07-06T00:00:00"/>
        <d v="2026-05-07T00:00:00"/>
        <d v="2025-07-08T00:00:00"/>
        <d v="2026-01-31T00:00:00"/>
        <d v="2025-06-12T00:00:00"/>
        <d v="2025-09-25T00:00:00"/>
        <d v="2025-03-18T00:00:00"/>
        <d v="2026-04-16T00:00:00"/>
        <d v="2025-11-25T00:00:00"/>
        <d v="2024-01-20T00:00:00"/>
        <d v="2024-04-06T00:00:00"/>
        <d v="2026-01-17T00:00:00"/>
        <d v="2025-01-18T00:00:00"/>
        <d v="2024-04-17T00:00:00"/>
        <d v="2024-03-20T00:00:00"/>
        <d v="2025-01-31T00:00:00"/>
        <d v="2025-11-17T00:00:00"/>
        <d v="2024-12-25T00:00:00"/>
        <d v="2024-07-13T00:00:00"/>
        <d v="2024-09-07T00:00:00"/>
        <d v="2024-09-14T00:00:00"/>
        <d v="2026-05-28T00:00:00"/>
        <d v="2026-01-29T00:00:00"/>
        <d v="2025-03-05T00:00:00"/>
        <d v="2024-08-04T00:00:00"/>
        <d v="2024-11-26T00:00:00"/>
        <d v="2024-01-25T00:00:00"/>
        <d v="2025-10-11T00:00:00"/>
        <d v="2024-12-04T00:00:00"/>
        <d v="2026-05-26T00:00:00"/>
        <d v="2024-10-10T00:00:00"/>
        <d v="2024-10-17T00:00:00"/>
        <d v="2025-11-15T00:00:00"/>
        <d v="2024-03-15T00:00:00"/>
        <d v="2025-03-30T00:00:00"/>
        <d v="2025-01-02T00:00:00"/>
        <d v="2025-09-18T00:00:00"/>
        <d v="2024-06-17T00:00:00"/>
        <d v="2025-04-15T00:00:00"/>
        <d v="2024-07-25T00:00:00"/>
        <d v="2024-01-18T00:00:00"/>
        <d v="2024-10-24T00:00:00"/>
        <d v="2024-04-16T00:00:00"/>
        <d v="2025-11-21T00:00:00"/>
        <d v="2026-05-27T00:00:00"/>
        <d v="2025-06-28T00:00:00"/>
        <d v="2025-08-28T00:00:00"/>
        <d v="2026-02-12T00:00:00"/>
        <d v="2024-06-12T00:00:00"/>
        <d v="2024-08-05T00:00:00"/>
        <d v="2026-03-28T00:00:00"/>
        <d v="2024-03-08T00:00:00"/>
        <d v="2025-03-17T00:00:00"/>
        <d v="2024-04-04T00:00:00"/>
        <d v="2025-09-28T00:00:00"/>
        <d v="2025-03-22T00:00:00"/>
        <d v="2025-03-24T00:00:00"/>
        <d v="2026-04-20T00:00:00"/>
        <d v="2026-06-02T00:00:00"/>
        <d v="2024-07-23T00:00:00"/>
        <d v="2026-06-14T00:00:00"/>
        <d v="2025-03-28T00:00:00"/>
        <d v="2025-05-14T00:00:00"/>
        <d v="2024-10-05T00:00:00"/>
        <d v="2024-10-01T00:00:00"/>
        <d v="2025-05-09T00:00:00"/>
        <d v="2024-04-20T00:00:00"/>
        <d v="2025-05-01T00:00:00"/>
        <d v="2024-04-21T00:00:00"/>
        <d v="2024-10-06T00:00:00"/>
        <d v="2025-01-06T00:00:00"/>
        <d v="2025-07-28T00:00:00"/>
        <d v="2025-08-23T00:00:00"/>
        <d v="2025-02-24T00:00:00"/>
        <d v="2025-07-05T00:00:00"/>
        <d v="2024-11-12T00:00:00"/>
        <d v="2024-10-26T00:00:00"/>
        <d v="2024-04-07T00:00:00"/>
        <d v="2026-04-23T00:00:00"/>
        <d v="2024-05-31T00:00:00"/>
        <d v="2026-03-23T00:00:00"/>
        <d v="2024-08-16T00:00:00"/>
        <d v="2025-12-06T00:00:00"/>
        <d v="2026-03-27T00:00:00"/>
        <d v="2025-07-20T00:00:00"/>
        <d v="2024-11-29T00:00:00"/>
        <d v="2025-07-12T00:00:00"/>
        <d v="2025-04-27T00:00:00"/>
        <d v="2024-09-03T00:00:00"/>
        <d v="2024-02-08T00:00:00"/>
        <d v="2025-05-16T00:00:00"/>
        <d v="2024-04-26T00:00:00"/>
        <d v="2024-08-03T00:00:00"/>
        <d v="2025-05-07T00:00:00"/>
        <d v="2026-05-14T00:00:00"/>
        <d v="2024-03-01T00:00:00"/>
        <d v="2025-04-23T00:00:00"/>
        <d v="2025-02-16T00:00:00"/>
        <d v="2024-07-19T00:00:00"/>
        <d v="2025-07-27T00:00:00"/>
        <d v="2026-01-25T00:00:00"/>
        <d v="2025-06-17T00:00:00"/>
        <d v="2025-03-23T00:00:00"/>
        <d v="2025-03-15T00:00:00"/>
        <d v="2026-02-28T00:00:00"/>
        <d v="2024-07-31T00:00:00"/>
        <d v="2025-04-22T00:00:00"/>
        <d v="2025-06-13T00:00:00"/>
        <d v="2024-07-02T00:00:00"/>
        <d v="2024-04-01T00:00:00"/>
        <d v="2026-05-25T00:00:00"/>
        <d v="2025-08-18T00:00:00"/>
        <d v="2024-08-09T00:00:00"/>
        <d v="2026-03-22T00:00:00"/>
        <d v="2024-10-21T00:00:00"/>
        <d v="2025-11-08T00:00:00"/>
        <d v="2025-09-22T00:00:00"/>
        <d v="2026-01-12T00:00:00"/>
        <d v="2024-05-02T00:00:00"/>
        <d v="2026-04-09T00:00:00"/>
        <d v="2024-03-31T00:00:00"/>
        <d v="2025-02-09T00:00:00"/>
        <d v="2025-03-08T00:00:00"/>
        <d v="2025-09-29T00:00:00"/>
        <d v="2024-03-02T00:00:00"/>
        <d v="2025-12-22T00:00:00"/>
        <d v="2025-05-23T00:00:00"/>
        <d v="2026-04-13T00:00:00"/>
        <d v="2025-08-19T00:00:00"/>
        <d v="2024-03-26T00:00:00"/>
        <d v="2026-01-18T00:00:00"/>
        <d v="2025-03-02T00:00:00"/>
        <d v="2025-05-08T00:00:00"/>
        <d v="2026-01-09T00:00:00"/>
        <d v="2025-12-27T00:00:00"/>
        <d v="2024-10-18T00:00:00"/>
        <d v="2025-06-22T00:00:00"/>
        <d v="2025-06-04T00:00:00"/>
        <d v="2024-06-03T00:00:00"/>
        <d v="2024-08-07T00:00:00"/>
        <d v="2026-04-08T00:00:00"/>
        <d v="2026-04-04T00:00:00"/>
        <d v="2025-06-14T00:00:00"/>
        <d v="2024-08-15T00:00:00"/>
        <d v="2024-07-27T00:00:00"/>
        <d v="2024-08-12T00:00:00"/>
        <d v="2024-11-25T00:00:00"/>
        <d v="2024-12-07T00:00:00"/>
        <d v="2025-09-21T00:00:00"/>
        <d v="2024-07-26T00:00:00"/>
        <d v="2025-01-21T00:00:00"/>
        <d v="2025-09-13T00:00:00"/>
        <d v="2026-03-21T00:00:00"/>
        <d v="2024-03-07T00:00:00"/>
        <d v="2024-02-04T00:00:00"/>
        <d v="2025-07-10T00:00:00"/>
        <d v="2025-04-05T00:00:00"/>
        <d v="2024-05-11T00:00:00"/>
        <d v="2024-06-24T00:00:00"/>
        <d v="2024-04-13T00:00:00"/>
        <d v="2026-06-16T00:00:00"/>
        <d v="2024-09-25T00:00:00"/>
        <d v="2025-10-14T00:00:00"/>
        <d v="2026-03-13T00:00:00"/>
        <d v="2025-08-24T00:00:00"/>
        <d v="2024-12-30T00:00:00"/>
        <d v="2026-04-07T00:00:00"/>
        <d v="2024-07-04T00:00:00"/>
        <d v="2024-06-15T00:00:00"/>
        <d v="2024-04-25T00:00:00"/>
        <d v="2025-06-09T00:00:00"/>
        <d v="2025-06-01T00:00:00"/>
        <d v="2024-01-21T00:00:00"/>
        <d v="2024-03-11T00:00:00"/>
        <d v="2025-09-12T00:00:00"/>
        <d v="2025-10-29T00:00:00"/>
        <d v="2024-07-20T00:00:00"/>
        <d v="2024-12-27T00:00:00"/>
        <d v="2024-02-07T00:00:00"/>
        <d v="2025-08-22T00:00:00"/>
        <d v="2024-02-29T00:00:00"/>
        <d v="2024-12-15T00:00:00"/>
        <d v="2024-08-21T00:00:00"/>
        <d v="2024-09-18T00:00:00"/>
        <d v="2025-10-17T00:00:00"/>
        <d v="2026-03-15T00:00:00"/>
        <d v="2026-06-11T00:00:00"/>
        <d v="2024-01-24T00:00:00"/>
        <d v="2024-04-27T00:00:00"/>
        <d v="2025-03-14T00:00:00"/>
        <d v="2025-10-27T00:00:00"/>
        <d v="2025-03-25T00:00:00"/>
        <d v="2025-10-08T00:00:00"/>
        <d v="2024-07-24T00:00:00"/>
        <d v="2025-08-15T00:00:00"/>
        <d v="2024-11-08T00:00:00"/>
        <d v="2025-01-07T00:00:00"/>
        <d v="2024-06-25T00:00:00"/>
        <d v="2025-01-22T00:00:00"/>
        <d v="2025-08-08T00:00:00"/>
        <d v="2025-12-07T00:00:00"/>
        <d v="2024-02-18T00:00:00"/>
        <d v="2025-07-25T00:00:00"/>
        <d v="2024-12-08T00:00:00"/>
        <d v="2024-06-13T00:00:00"/>
        <d v="2025-09-06T00:00:00"/>
        <d v="2024-10-27T00:00:00"/>
        <d v="2025-12-19T00:00:00"/>
        <d v="2026-04-06T00:00:00"/>
        <d v="2025-03-04T00:00:00"/>
        <d v="2024-01-12T00:00:00"/>
        <d v="2024-07-28T00:00:00"/>
        <d v="2025-04-07T00:00:00"/>
        <d v="2025-02-10T00:00:00"/>
        <d v="2024-09-05T00:00:00"/>
        <d v="2025-06-03T00:00:00"/>
        <d v="2025-03-19T00:00:00"/>
        <d v="2025-03-06T00:00:00"/>
        <d v="2024-08-31T00:00:00"/>
        <d v="2025-08-17T00:00:00"/>
        <d v="2025-08-31T00:00:00"/>
        <d v="2024-12-23T00:00:00"/>
        <d v="2026-03-31T00:00:00"/>
        <d v="2024-02-23T00:00:00"/>
        <d v="2026-03-01T00:00:00"/>
        <d v="2024-12-28T00:00:00"/>
        <d v="2024-09-13T00:00:00"/>
        <d v="2025-09-27T00:00:00"/>
        <d v="2025-05-03T00:00:00"/>
        <d v="2025-01-24T00:00:00"/>
        <d v="2024-02-26T00:00:00"/>
        <d v="2024-03-10T00:00:00"/>
        <d v="2024-07-03T00:00:00"/>
        <d v="2024-10-14T00:00:00"/>
        <d v="2025-07-29T00:00:00"/>
        <d v="2025-10-24T00:00:00"/>
        <d v="2024-07-29T00:00:00"/>
        <d v="2025-05-11T00:00:00"/>
        <d v="2024-10-22T00:00:00"/>
        <d v="2026-04-12T00:00:00"/>
        <d v="2026-04-05T00:00:00"/>
        <d v="2024-04-29T00:00:00"/>
        <d v="2025-09-24T00:00:00"/>
        <d v="2025-09-17T00:00:00"/>
        <d v="2026-05-18T00:00:00"/>
        <d v="2026-02-03T00:00:00"/>
        <d v="2024-01-01T00:00:00"/>
        <d v="2024-08-27T00:00:00"/>
        <d v="2024-04-12T00:00:00"/>
        <d v="2024-04-28T00:00:00"/>
        <d v="2025-01-11T00:00:00"/>
        <d v="2025-05-19T00:00:00"/>
        <d v="2024-08-14T00:00:00"/>
        <d v="2024-09-20T00:00:00"/>
        <d v="2024-06-04T00:00:00"/>
        <d v="2026-01-06T00:00:00"/>
        <d v="2025-01-26T00:00:00"/>
        <d v="2024-11-21T00:00:00"/>
        <d v="2024-04-24T00:00:00"/>
        <d v="2025-02-01T00:00:00"/>
        <d v="2025-03-26T00:00:00"/>
        <d v="2024-11-18T00:00:00"/>
        <d v="2024-01-14T00:00:00"/>
        <d v="2026-01-02T00:00:00"/>
        <d v="2024-01-15T00:00:00"/>
        <d v="2025-10-21T00:00:00"/>
        <d v="2024-07-12T00:00:00"/>
        <d v="2025-05-02T00:00:00"/>
        <d v="2024-06-27T00:00:00"/>
        <d v="2024-05-13T00:00:00"/>
        <d v="2025-03-27T00:00:00"/>
        <d v="2024-07-15T00:00:00"/>
        <d v="2025-03-12T00:00:00"/>
        <d v="2025-03-09T00:00:00" u="1"/>
      </sharedItems>
      <fieldGroup par="24"/>
    </cacheField>
    <cacheField name="SHIP DATE" numFmtId="14">
      <sharedItems containsSemiMixedTypes="0" containsNonDate="0" containsDate="1" containsString="0" minDate="2024-01-01T00:00:00" maxDate="2026-06-19T00:00:00"/>
    </cacheField>
    <cacheField name="DELIVER DATE" numFmtId="14">
      <sharedItems containsSemiMixedTypes="0" containsNonDate="0" containsDate="1" containsString="0" minDate="2024-01-04T00:00:00" maxDate="2026-06-24T00:00:00"/>
    </cacheField>
    <cacheField name="CUSTOMER SEGMENT" numFmtId="0">
      <sharedItems count="2">
        <s v="B2B"/>
        <s v="B2C"/>
      </sharedItems>
    </cacheField>
    <cacheField name="REGION" numFmtId="0">
      <sharedItems count="5">
        <s v="North"/>
        <s v="West"/>
        <s v="Central"/>
        <s v="South"/>
        <s v="East"/>
      </sharedItems>
    </cacheField>
    <cacheField name="SALES CHANNEL" numFmtId="0">
      <sharedItems count="3">
        <s v="Store"/>
        <s v="Partner"/>
        <s v="Online"/>
      </sharedItems>
    </cacheField>
    <cacheField name="SALES TEAM" numFmtId="0">
      <sharedItems count="5">
        <s v="Team E"/>
        <s v="Team C"/>
        <s v="Team B"/>
        <s v="Team D"/>
        <s v="Team A"/>
      </sharedItems>
    </cacheField>
    <cacheField name="PRODUCT NAME" numFmtId="0">
      <sharedItems count="20">
        <s v="Office Chair"/>
        <s v="Wireless Mouse"/>
        <s v="Printer Laser"/>
        <s v="27&quot; Monitor"/>
        <s v="Ergonomic Chair"/>
        <s v="Business Laptop"/>
        <s v="Headphones Pro"/>
        <s v="External Ssd 1Tb"/>
        <s v="Desk Lamp"/>
        <s v="Webcam Hd"/>
        <s v="Standing Desk"/>
        <s v="Ultrawide Monitor"/>
        <s v="Docking Station"/>
        <s v="Bluetooth Speaker"/>
        <s v="Usb Hub"/>
        <s v="Mechanical Keyboard"/>
        <s v="Office Desk"/>
        <s v="Gaming Laptop"/>
        <s v="Network Router"/>
        <s v="Laptop Pro 15"/>
      </sharedItems>
    </cacheField>
    <cacheField name="CATEGORY" numFmtId="0">
      <sharedItems/>
    </cacheField>
    <cacheField name="SUBCATEGORY" numFmtId="0">
      <sharedItems/>
    </cacheField>
    <cacheField name="QUANTITY" numFmtId="0">
      <sharedItems containsSemiMixedTypes="0" containsString="0" containsNumber="1" containsInteger="1" minValue="1" maxValue="15"/>
    </cacheField>
    <cacheField name="UNIT COST" numFmtId="44">
      <sharedItems containsSemiMixedTypes="0" containsString="0" containsNumber="1" containsInteger="1" minValue="170" maxValue="3930"/>
    </cacheField>
    <cacheField name="UNIT PRICE" numFmtId="44">
      <sharedItems containsSemiMixedTypes="0" containsString="0" containsNumber="1" minValue="188.7" maxValue="4362.3"/>
    </cacheField>
    <cacheField name="DISCOUNT%" numFmtId="9">
      <sharedItems containsSemiMixedTypes="0" containsString="0" containsNumber="1" minValue="0" maxValue="0.1"/>
    </cacheField>
    <cacheField name="REVENUE" numFmtId="44">
      <sharedItems containsSemiMixedTypes="0" containsString="0" containsNumber="1" minValue="175.49100000000001" maxValue="60199.74" count="624">
        <n v="3753.2950000000001"/>
        <n v="1883.1959999999999"/>
        <n v="2656.8"/>
        <n v="14959.308000000001"/>
        <n v="2301.6840000000002"/>
        <n v="5061.42"/>
        <n v="20908.817999999999"/>
        <n v="2284.1999999999998"/>
        <n v="8632.2240000000002"/>
        <n v="1259.7"/>
        <n v="1223.04"/>
        <n v="1350"/>
        <n v="1558.2"/>
        <n v="6563.7"/>
        <n v="5866.1459999999997"/>
        <n v="18499.968000000001"/>
        <n v="13604.76"/>
        <n v="6636.63"/>
        <n v="2180.3040000000001"/>
        <n v="638.4"/>
        <n v="15264.6"/>
        <n v="1587.1310000000001"/>
        <n v="422.94"/>
        <n v="3335"/>
        <n v="3706.56"/>
        <n v="2152.8000000000002"/>
        <n v="2688.9749999999999"/>
        <n v="2446.08"/>
        <n v="9017.8559999999998"/>
        <n v="11257.487999999999"/>
        <n v="37578.06"/>
        <n v="3969.9839999999999"/>
        <n v="10520.928"/>
        <n v="31408.560000000001"/>
        <n v="2176.1999999999998"/>
        <n v="13297.284"/>
        <n v="6278.616"/>
        <n v="3464.08"/>
        <n v="302.39999999999998"/>
        <n v="28617.137999999999"/>
        <n v="4127.76"/>
        <n v="202.566"/>
        <n v="2203.7399999999998"/>
        <n v="2999.1640000000002"/>
        <n v="29314.655999999999"/>
        <n v="767.15700000000004"/>
        <n v="9019.8359999999993"/>
        <n v="16402.248"/>
        <n v="2963.52"/>
        <n v="23056.488000000001"/>
        <n v="26015.58"/>
        <n v="4548.18"/>
        <n v="2588.9639999999999"/>
        <n v="3985.5360000000001"/>
        <n v="5485.585"/>
        <n v="2808"/>
        <n v="3666.384"/>
        <n v="4782.24"/>
        <n v="2454.56"/>
        <n v="5370.3"/>
        <n v="41814.144"/>
        <n v="7253.0640000000003"/>
        <n v="3205.5659999999998"/>
        <n v="2523.96"/>
        <n v="3801.9"/>
        <n v="14171.976000000001"/>
        <n v="4013.3159999999998"/>
        <n v="2536.1280000000002"/>
        <n v="3281.76"/>
        <n v="22805.874"/>
        <n v="3898.44"/>
        <n v="11109.916999999999"/>
        <n v="24330.195"/>
        <n v="30833.279999999999"/>
        <n v="8647.884"/>
        <n v="28166.472000000002"/>
        <n v="10462.121999999999"/>
        <n v="5091.84"/>
        <n v="1419.0239999999999"/>
        <n v="1833.3"/>
        <n v="369.85199999999998"/>
        <n v="2116.8000000000002"/>
        <n v="36512.451000000001"/>
        <n v="915.19500000000005"/>
        <n v="3016.65"/>
        <n v="16110.9"/>
        <n v="3723.72"/>
        <n v="11354.091"/>
        <n v="28906.2"/>
        <n v="213.696"/>
        <n v="5250.96"/>
        <n v="14518.8"/>
        <n v="5367.12"/>
        <n v="3276"/>
        <n v="3031.07"/>
        <n v="21481.200000000001"/>
        <n v="3138.66"/>
        <n v="3091.2"/>
        <n v="2773.89"/>
        <n v="12086.612999999999"/>
        <n v="3175.2"/>
        <n v="1834.56"/>
        <n v="836.976"/>
        <n v="3391.152"/>
        <n v="4725.12"/>
        <n v="12029.472"/>
        <n v="17604.044999999998"/>
        <n v="15416.64"/>
        <n v="1830.39"/>
        <n v="26424.216"/>
        <n v="3313.79"/>
        <n v="1317.12"/>
        <n v="50307.642"/>
        <n v="3978"/>
        <n v="2958.3359999999998"/>
        <n v="270"/>
        <n v="5825.52"/>
        <n v="12280.085999999999"/>
        <n v="13673.744000000001"/>
        <n v="5728.32"/>
        <n v="5549.31"/>
        <n v="1890.048"/>
        <n v="2981.16"/>
        <n v="4528.93"/>
        <n v="2516.0160000000001"/>
        <n v="1910.5920000000001"/>
        <n v="1113"/>
        <n v="21358.47"/>
        <n v="3170.34"/>
        <n v="2404.038"/>
        <n v="8720.5"/>
        <n v="5122.5600000000004"/>
        <n v="2604.42"/>
        <n v="19078.092000000001"/>
        <n v="1776.6"/>
        <n v="1935.36"/>
        <n v="2395.12"/>
        <n v="1718.4960000000001"/>
        <n v="17536.428"/>
        <n v="7786.8"/>
        <n v="11778.858"/>
        <n v="32455.511999999999"/>
        <n v="6033.3"/>
        <n v="4274.0879999999997"/>
        <n v="2598.96"/>
        <n v="2871.54"/>
        <n v="5781.24"/>
        <n v="4258.8"/>
        <n v="5084.6400000000003"/>
        <n v="347.20800000000003"/>
        <n v="6472.8"/>
        <n v="6408.0720000000001"/>
        <n v="431.84399999999999"/>
        <n v="12787.038"/>
        <n v="3451.3919999999998"/>
        <n v="7010.64"/>
        <n v="3628.8"/>
        <n v="1479.4079999999999"/>
        <n v="60199.74"/>
        <n v="7551.6"/>
        <n v="6073.7039999999997"/>
        <n v="8113.8779999999997"/>
        <n v="2969.64"/>
        <n v="2328.48"/>
        <n v="22032.948"/>
        <n v="39527.432999999997"/>
        <n v="3365.3879999999999"/>
        <n v="6309.9"/>
        <n v="3938.1120000000001"/>
        <n v="32013.954000000002"/>
        <n v="8724.6"/>
        <n v="21124.853999999999"/>
        <n v="23121.188999999998"/>
        <n v="753.3"/>
        <n v="43166.591999999997"/>
        <n v="4512.42"/>
        <n v="4454.46"/>
        <n v="1323"/>
        <n v="6295.1279999999997"/>
        <n v="2516.64"/>
        <n v="27585.72"/>
        <n v="7201.3770000000004"/>
        <n v="6340.68"/>
        <n v="5132.3999999999996"/>
        <n v="1282.1759999999999"/>
        <n v="11272.32"/>
        <n v="15305.355"/>
        <n v="3139.308"/>
        <n v="14983.137000000001"/>
        <n v="7041.6180000000004"/>
        <n v="5812.29"/>
        <n v="2381.4"/>
        <n v="3311.2440000000001"/>
        <n v="2484"/>
        <n v="10126.862999999999"/>
        <n v="12557.52"/>
        <n v="31796.82"/>
        <n v="6269.8"/>
        <n v="20944.169999999998"/>
        <n v="2332.8000000000002"/>
        <n v="3270.4560000000001"/>
        <n v="1277.6400000000001"/>
        <n v="27460.89"/>
        <n v="5942.97"/>
        <n v="861.12"/>
        <n v="3594.24"/>
        <n v="4970.6850000000004"/>
        <n v="25407.9"/>
        <n v="1479.1679999999999"/>
        <n v="1555.2"/>
        <n v="5232.18"/>
        <n v="16045.72"/>
        <n v="5890.2479999999996"/>
        <n v="4138.1279999999997"/>
        <n v="29227.38"/>
        <n v="1801.8"/>
        <n v="1920.96"/>
        <n v="4056.288"/>
        <n v="10790.28"/>
        <n v="3832.92"/>
        <n v="13151.16"/>
        <n v="8829.9840000000004"/>
        <n v="3629.7"/>
        <n v="10879.596"/>
        <n v="184.92599999999999"/>
        <n v="4886.973"/>
        <n v="2202.5520000000001"/>
        <n v="2163.84"/>
        <n v="6418.2879999999996"/>
        <n v="18312.723000000002"/>
        <n v="1310.4000000000001"/>
        <n v="6458.4"/>
        <n v="10202.111999999999"/>
        <n v="6298.5"/>
        <n v="518.4"/>
        <n v="2620.8000000000002"/>
        <n v="7890.6959999999999"/>
        <n v="3959.28"/>
        <n v="729"/>
        <n v="2173.8240000000001"/>
        <n v="3210.48"/>
        <n v="2013.3119999999999"/>
        <n v="1090.74"/>
        <n v="11528.244000000001"/>
        <n v="626.98"/>
        <n v="12039.407999999999"/>
        <n v="611.52"/>
        <n v="2474.6999999999998"/>
        <n v="6166.6559999999999"/>
        <n v="9205.8119999999999"/>
        <n v="5395.14"/>
        <n v="2424.114"/>
        <n v="1674.4"/>
        <n v="18885.383999999998"/>
        <n v="12221.28"/>
        <n v="3640"/>
        <n v="509.49"/>
        <n v="1253.96"/>
        <n v="863.68799999999999"/>
        <n v="9883.2960000000003"/>
        <n v="2707.4520000000002"/>
        <n v="7972.8180000000002"/>
        <n v="6906.6360000000004"/>
        <n v="661.12199999999996"/>
        <n v="1006.6559999999999"/>
        <n v="468"/>
        <n v="5038.8"/>
        <n v="8630.4"/>
        <n v="2700"/>
        <n v="5316.5969999999998"/>
        <n v="15382.962"/>
        <n v="1403.9280000000001"/>
        <n v="2680.1039999999998"/>
        <n v="3557.1060000000002"/>
        <n v="15539.931"/>
        <n v="20284.695"/>
        <n v="34119.18"/>
        <n v="6273.9359999999997"/>
        <n v="16647.93"/>
        <n v="9418.14"/>
        <n v="4193.3599999999997"/>
        <n v="35334.629999999997"/>
        <n v="5207.3280000000004"/>
        <n v="4408.95"/>
        <n v="6674.4"/>
        <n v="6540.9120000000003"/>
        <n v="15627.573"/>
        <n v="13066.92"/>
        <n v="691.6"/>
        <n v="1035.0899999999999"/>
        <n v="606.97"/>
        <n v="1242"/>
        <n v="15737.82"/>
        <n v="645.12"/>
        <n v="19128.96"/>
        <n v="1596.402"/>
        <n v="222.6"/>
        <n v="3158.694"/>
        <n v="3068.6280000000002"/>
        <n v="1195.56"/>
        <n v="1295.5319999999999"/>
        <n v="11232.004000000001"/>
        <n v="6364.8"/>
        <n v="2419.1999999999998"/>
        <n v="3348.672"/>
        <n v="1255.5"/>
        <n v="10855.683999999999"/>
        <n v="23545.35"/>
        <n v="14083.236000000001"/>
        <n v="8923.92"/>
        <n v="7088.7960000000003"/>
        <n v="9073.9"/>
        <n v="16405.740000000002"/>
        <n v="2199.6"/>
        <n v="1215.396"/>
        <n v="38475.485999999997"/>
        <n v="3074.58"/>
        <n v="1464.3119999999999"/>
        <n v="4930.5600000000004"/>
        <n v="1602.72"/>
        <n v="11909.951999999999"/>
        <n v="1698.3"/>
        <n v="2538"/>
        <n v="4909.12"/>
        <n v="2948.4"/>
        <n v="7492.1760000000004"/>
        <n v="4562.88"/>
        <n v="1057.3499999999999"/>
        <n v="6809.4"/>
        <n v="24137.505000000001"/>
        <n v="3103.596"/>
        <n v="2882.88"/>
        <n v="7810.9920000000002"/>
        <n v="1463.76"/>
        <n v="2207.4960000000001"/>
        <n v="540"/>
        <n v="9777.0239999999994"/>
        <n v="6670"/>
        <n v="2340"/>
        <n v="3307.5839999999998"/>
        <n v="801.9"/>
        <n v="667"/>
        <n v="6678.6480000000001"/>
        <n v="1629.6"/>
        <n v="3158.4"/>
        <n v="3303.828"/>
        <n v="5967"/>
        <n v="5503.68"/>
        <n v="4206.384"/>
        <n v="29925.378000000001"/>
        <n v="6627.58"/>
        <n v="2490.96"/>
        <n v="2003.4"/>
        <n v="11507.16"/>
        <n v="3050.7840000000001"/>
        <n v="6342.96"/>
        <n v="5702.85"/>
        <n v="7890.6239999999998"/>
        <n v="1441.44"/>
        <n v="4751.424"/>
        <n v="3144.96"/>
        <n v="17729.135999999999"/>
        <n v="442.12599999999998"/>
        <n v="1889.55"/>
        <n v="4942.08"/>
        <n v="11842.439"/>
        <n v="2210.63"/>
        <n v="3712.05"/>
        <n v="32503.416000000001"/>
        <n v="14952.168"/>
        <n v="2835.0720000000001"/>
        <n v="1078.8"/>
        <n v="1656.2"/>
        <n v="1949.22"/>
        <n v="3510"/>
        <n v="1075.5899999999999"/>
        <n v="4437.5039999999999"/>
        <n v="2336.88"/>
        <n v="2030.4"/>
        <n v="8187.2640000000001"/>
        <n v="8188.05"/>
        <n v="2989.152"/>
        <n v="1242.1079999999999"/>
        <n v="1663.2"/>
        <n v="9836.7240000000002"/>
        <n v="662.48"/>
        <n v="613.64"/>
        <n v="7325.0519999999997"/>
        <n v="9010.44"/>
        <n v="354.75599999999997"/>
        <n v="12427.776"/>
        <n v="3105.27"/>
        <n v="4368"/>
        <n v="1840.92"/>
        <n v="2157.6"/>
        <n v="28039.013999999999"/>
        <n v="6533.46"/>
        <n v="2160.5279999999998"/>
        <n v="6423.6"/>
        <n v="45586.035000000003"/>
        <n v="175.49100000000001"/>
        <n v="3959.52"/>
        <n v="7052.8950000000004"/>
        <n v="2413.92"/>
        <n v="4295.4799999999996"/>
        <n v="5658.8140000000003"/>
        <n v="3407.04"/>
        <n v="1281.2729999999999"/>
        <n v="4492.8"/>
        <n v="463.32"/>
        <n v="2276.7240000000002"/>
        <n v="218.148"/>
        <n v="3818.88"/>
        <n v="4405.1040000000003"/>
        <n v="1929.33"/>
        <n v="10671.317999999999"/>
        <n v="8288.3700000000008"/>
        <n v="6209.424"/>
        <n v="10453.536"/>
        <n v="4049.136"/>
        <n v="4555.8959999999997"/>
        <n v="15949.790999999999"/>
        <n v="2497.3919999999998"/>
        <n v="17266.59"/>
        <n v="2734.8"/>
        <n v="445.2"/>
        <n v="1759.68"/>
        <n v="2070.1799999999998"/>
        <n v="40500.798000000003"/>
        <n v="5716.5569999999998"/>
        <n v="10567.8"/>
        <n v="2096.64"/>
        <n v="17721.990000000002"/>
        <n v="4202.1000000000004"/>
        <n v="11037.48"/>
        <n v="2119.4699999999998"/>
        <n v="1397.76"/>
        <n v="4483.7280000000001"/>
        <n v="1334"/>
        <n v="3042.2159999999999"/>
        <n v="1682.694"/>
        <n v="936"/>
        <n v="1849.26"/>
        <n v="4662.8339999999998"/>
        <n v="943.5"/>
        <n v="15144.245999999999"/>
        <n v="1820"/>
        <n v="10005"/>
        <n v="14453.1"/>
        <n v="3383.5540000000001"/>
        <n v="5747.6379999999999"/>
        <n v="5222.88"/>
        <n v="23440.704000000002"/>
        <n v="10359.954"/>
        <n v="603.33000000000004"/>
        <n v="339.66"/>
        <n v="15696.9"/>
        <n v="1449.126"/>
        <n v="1023.408"/>
        <n v="4043.52"/>
        <n v="10798.788"/>
        <n v="4539.6000000000004"/>
        <n v="3094.8820000000001"/>
        <n v="3436.9920000000002"/>
        <n v="9941.3700000000008"/>
        <n v="7651.5839999999998"/>
        <n v="53901.044999999998"/>
        <n v="2673"/>
        <n v="2667.6"/>
        <n v="15781.248"/>
        <n v="319.2"/>
        <n v="4330.1000000000004"/>
        <n v="2251.9769999999999"/>
        <n v="4062.24"/>
        <n v="1638"/>
        <n v="1522.8"/>
        <n v="1943.298"/>
        <n v="4949.3999999999996"/>
        <n v="5342.61"/>
        <n v="5787.99"/>
        <n v="4321.0559999999996"/>
        <n v="16394.54"/>
        <n v="7020"/>
        <n v="927.36"/>
        <n v="14174.028"/>
        <n v="2766.4"/>
        <n v="4622.3999999999996"/>
        <n v="17092.18"/>
        <n v="1501.318"/>
        <n v="1389.96"/>
        <n v="427.392"/>
        <n v="17096.508000000002"/>
        <n v="3774.0239999999999"/>
        <n v="3243.24"/>
        <n v="8633.2950000000001"/>
        <n v="881.49599999999998"/>
        <n v="17084.61"/>
        <n v="31475.64"/>
        <n v="724.60799999999995"/>
        <n v="6557.8159999999998"/>
        <n v="651.84"/>
        <n v="16059"/>
        <n v="2113.56"/>
        <n v="1080.2639999999999"/>
        <n v="4761.393"/>
        <n v="3248.7"/>
        <n v="1301.8320000000001"/>
        <n v="8055.45"/>
        <n v="14506.128000000001"/>
        <n v="3354.6880000000001"/>
        <n v="25638.27"/>
        <n v="1941.84"/>
        <n v="4085.64"/>
        <n v="7558.2"/>
        <n v="3236.4"/>
        <n v="17853.696"/>
        <n v="2457"/>
        <n v="7476.0839999999998"/>
        <n v="2074.8000000000002"/>
        <n v="1402.38"/>
        <n v="2106"/>
        <n v="8810.2080000000005"/>
        <n v="13603.668"/>
        <n v="4827.84"/>
        <n v="37995.593999999997"/>
        <n v="1528.8"/>
        <n v="1290.24"/>
        <n v="25180.511999999999"/>
        <n v="10356.444"/>
        <n v="1646.4"/>
        <n v="1754.298"/>
        <n v="8055.0119999999997"/>
        <n v="21811.5"/>
        <n v="3917.16"/>
        <n v="5753.58"/>
        <n v="972"/>
        <n v="50253.696000000004"/>
        <n v="37297.665000000001"/>
        <n v="3046.68"/>
        <n v="7186.8059999999996"/>
        <n v="7796.88"/>
        <n v="596.70000000000005"/>
        <n v="17422.560000000001"/>
        <n v="10017.972"/>
        <n v="5312.3559999999998"/>
        <n v="1874.88"/>
        <n v="3116.1"/>
        <n v="1474.2"/>
        <n v="4981.92"/>
        <n v="19818.162"/>
        <n v="2326.2179999999998"/>
        <n v="2049.7199999999998"/>
        <n v="33756.21"/>
        <n v="47695.23"/>
        <n v="879.84"/>
        <n v="4042.01"/>
        <n v="6003"/>
        <n v="623.22"/>
        <n v="23883.425999999999"/>
        <n v="1963.4159999999999"/>
        <n v="1015.56"/>
        <n v="1269"/>
        <n v="2903.4459999999999"/>
        <n v="1710.8"/>
        <n v="33502.464"/>
        <n v="8860.9950000000008"/>
        <n v="2592"/>
        <n v="3961.98"/>
        <n v="11124"/>
        <n v="11598.264999999999"/>
        <n v="23381.903999999999"/>
        <n v="10096.164000000001"/>
        <n v="2439.84"/>
        <n v="2721.6"/>
        <n v="3339.3240000000001"/>
        <n v="1691.76"/>
        <n v="2013.4290000000001"/>
        <n v="3699.54"/>
        <n v="1804.9680000000001"/>
        <n v="2241.7559999999999"/>
        <n v="33851.447999999997"/>
        <n v="5414.9040000000005"/>
        <n v="4776.4799999999996"/>
        <n v="8375.616"/>
        <n v="7935.6549999999997"/>
        <n v="8548.1759999999995"/>
        <n v="4352.3999999999996"/>
        <n v="35571.06"/>
        <n v="5391.36"/>
        <n v="4083.2550000000001"/>
        <n v="3548.16"/>
        <n v="3001.5"/>
        <n v="11878.56"/>
        <n v="14755.085999999999"/>
        <n v="905.76"/>
        <n v="7147.14"/>
        <n v="2864.8620000000001"/>
        <n v="13394.688"/>
        <n v="7754.06"/>
        <n v="9651.33"/>
        <n v="1659.1120000000001"/>
        <n v="1249.92"/>
        <n v="8284.4750000000004"/>
        <n v="2257.92"/>
        <n v="9511.02"/>
        <n v="16576.740000000002"/>
        <n v="3991.68"/>
        <n v="12354.12"/>
        <n v="29548.560000000001"/>
        <n v="769.5"/>
        <n v="58891.05"/>
        <n v="2782.08"/>
        <n v="2047.92"/>
        <n v="4932.72"/>
        <n v="957.6"/>
        <n v="4800.9179999999997"/>
        <n v="16515.134999999998"/>
        <n v="6603.3"/>
        <n v="2092.44"/>
        <n v="2695.68"/>
        <n v="4918.3620000000001"/>
        <n v="636.48"/>
        <n v="7395.84"/>
        <n v="29037.599999999999"/>
      </sharedItems>
    </cacheField>
    <cacheField name="COST" numFmtId="44">
      <sharedItems containsSemiMixedTypes="0" containsString="0" containsNumber="1" containsInteger="1" minValue="170" maxValue="58950"/>
    </cacheField>
    <cacheField name="PROFIT" numFmtId="44">
      <sharedItems containsSemiMixedTypes="0" containsString="0" containsNumber="1" minValue="-1811.94" maxValue="3951.0450000000001"/>
    </cacheField>
    <cacheField name="MARGIN%" numFmtId="9">
      <sharedItems containsSemiMixedTypes="0" containsString="0" containsNumber="1" minValue="-8.9324618736383393E-2" maxValue="0.16666666666666699"/>
    </cacheField>
    <cacheField name="Miesiące (ORDER DATE)" numFmtId="0" databaseField="0">
      <fieldGroup base="5">
        <rangePr groupBy="months" startDate="2024-01-01T00:00:00" endDate="2026-06-19T00:00:00"/>
        <groupItems count="14">
          <s v="&lt;1.01.202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9.06.2026"/>
        </groupItems>
      </fieldGroup>
    </cacheField>
    <cacheField name="Lata (ORDER DATE)" numFmtId="0" databaseField="0">
      <fieldGroup base="5">
        <rangePr groupBy="years" startDate="2024-01-01T00:00:00" endDate="2026-06-19T00:00:00"/>
        <groupItems count="5">
          <s v="&lt;1.01.2024"/>
          <s v="2024"/>
          <s v="2025"/>
          <s v="2026"/>
          <s v="&gt;19.06.2026"/>
        </groupItems>
      </fieldGroup>
    </cacheField>
  </cacheFields>
  <extLst>
    <ext xmlns:x14="http://schemas.microsoft.com/office/spreadsheetml/2009/9/main" uri="{725AE2AE-9491-48be-B2B4-4EB974FC3084}">
      <x14:pivotCacheDefinition pivotCacheId="19918340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ORD-162-1"/>
    <s v="ORD-162"/>
    <s v="USR-746475"/>
    <s v="ST-S-00474"/>
    <s v="PRD-597"/>
    <x v="0"/>
    <d v="2025-12-09T00:00:00"/>
    <d v="2025-12-12T00:00:00"/>
    <x v="0"/>
    <x v="0"/>
    <x v="0"/>
    <x v="0"/>
    <x v="0"/>
    <s v="Furniture"/>
    <s v="Chairs"/>
    <n v="5"/>
    <n v="730"/>
    <n v="824.9"/>
    <n v="0.09"/>
    <x v="0"/>
    <n v="3650"/>
    <n v="103.295"/>
    <n v="2.7521151414956702E-2"/>
  </r>
  <r>
    <s v="ORD-253-1"/>
    <s v="ORD-253"/>
    <s v="USR-803305"/>
    <s v="ST-S-00897"/>
    <s v="PRD-519"/>
    <x v="1"/>
    <d v="2026-06-12T00:00:00"/>
    <d v="2026-06-14T00:00:00"/>
    <x v="0"/>
    <x v="1"/>
    <x v="0"/>
    <x v="1"/>
    <x v="1"/>
    <s v="Accessories"/>
    <s v="Peripherals"/>
    <n v="9"/>
    <n v="210"/>
    <n v="222.6"/>
    <n v="0.06"/>
    <x v="1"/>
    <n v="1890"/>
    <n v="-6.8040000000000003"/>
    <n v="-3.6130068245684502E-3"/>
  </r>
  <r>
    <s v="ORD-250-1"/>
    <s v="ORD-250"/>
    <s v="USR-356793"/>
    <s v="ST-S-00616"/>
    <s v="PRD-117"/>
    <x v="2"/>
    <d v="2024-06-28T00:00:00"/>
    <d v="2024-07-02T00:00:00"/>
    <x v="1"/>
    <x v="2"/>
    <x v="0"/>
    <x v="2"/>
    <x v="2"/>
    <s v="Electronics"/>
    <s v="Printers"/>
    <n v="2"/>
    <n v="1230"/>
    <n v="1328.4"/>
    <n v="0"/>
    <x v="2"/>
    <n v="2460"/>
    <n v="196.8"/>
    <n v="7.4074074074074098E-2"/>
  </r>
  <r>
    <s v="ORD-365-1"/>
    <s v="ORD-365"/>
    <s v="USR-282323"/>
    <s v="ST-P-00600"/>
    <s v="PRD-517"/>
    <x v="3"/>
    <d v="2024-12-04T00:00:00"/>
    <d v="2024-12-08T00:00:00"/>
    <x v="0"/>
    <x v="3"/>
    <x v="1"/>
    <x v="0"/>
    <x v="3"/>
    <s v="Electronics"/>
    <s v="Monitors"/>
    <n v="13"/>
    <n v="1030"/>
    <n v="1174.2"/>
    <n v="0.02"/>
    <x v="3"/>
    <n v="13390"/>
    <n v="1569.308"/>
    <n v="0.104905119942714"/>
  </r>
  <r>
    <s v="ORD-188-1"/>
    <s v="ORD-188"/>
    <s v="USR-608476"/>
    <s v="ST-P-00471"/>
    <s v="PRD-519"/>
    <x v="4"/>
    <d v="2025-11-04T00:00:00"/>
    <d v="2025-11-09T00:00:00"/>
    <x v="0"/>
    <x v="0"/>
    <x v="1"/>
    <x v="1"/>
    <x v="1"/>
    <s v="Accessories"/>
    <s v="Peripherals"/>
    <n v="11"/>
    <n v="210"/>
    <n v="222.6"/>
    <n v="0.06"/>
    <x v="4"/>
    <n v="2310"/>
    <n v="-8.3160000000000007"/>
    <n v="-3.6130068245684502E-3"/>
  </r>
  <r>
    <s v="ORD-184-1"/>
    <s v="ORD-184"/>
    <s v="USR-384513"/>
    <s v="ST-S-00169"/>
    <s v="PRD-273"/>
    <x v="5"/>
    <d v="2024-12-06T00:00:00"/>
    <d v="2024-12-07T00:00:00"/>
    <x v="0"/>
    <x v="4"/>
    <x v="0"/>
    <x v="0"/>
    <x v="4"/>
    <s v="Furniture"/>
    <s v="Chairs"/>
    <n v="5"/>
    <n v="1080"/>
    <n v="1112.4000000000001"/>
    <n v="0.09"/>
    <x v="5"/>
    <n v="5400"/>
    <n v="-338.58"/>
    <n v="-6.6894270777765899E-2"/>
  </r>
  <r>
    <s v="ORD-164-1"/>
    <s v="ORD-164"/>
    <s v="USR-476764"/>
    <s v="ST-P-00818"/>
    <s v="PRD-643"/>
    <x v="6"/>
    <d v="2026-04-15T00:00:00"/>
    <d v="2026-04-20T00:00:00"/>
    <x v="0"/>
    <x v="3"/>
    <x v="1"/>
    <x v="3"/>
    <x v="5"/>
    <s v="Electronics"/>
    <s v="Laptops"/>
    <n v="7"/>
    <n v="3030"/>
    <n v="3211.8"/>
    <n v="7.0000000000000007E-2"/>
    <x v="6"/>
    <n v="21210"/>
    <n v="-301.18200000000002"/>
    <n v="-1.44045445323595E-2"/>
  </r>
  <r>
    <s v="ORD-294-1"/>
    <s v="ORD-294"/>
    <s v="USR-689752"/>
    <s v="ST-S-00133"/>
    <s v="PRD-181"/>
    <x v="7"/>
    <d v="2025-01-17T00:00:00"/>
    <d v="2025-01-21T00:00:00"/>
    <x v="0"/>
    <x v="4"/>
    <x v="0"/>
    <x v="3"/>
    <x v="6"/>
    <s v="Accessories"/>
    <s v="Audio"/>
    <n v="9"/>
    <n v="250"/>
    <n v="270"/>
    <n v="0.06"/>
    <x v="7"/>
    <n v="2250"/>
    <n v="34.200000000000003"/>
    <n v="1.49724192277384E-2"/>
  </r>
  <r>
    <s v="ORD-296-1"/>
    <s v="ORD-296"/>
    <s v="USR-952340"/>
    <s v="ST-P-00447"/>
    <s v="PRD-273"/>
    <x v="8"/>
    <d v="2025-08-10T00:00:00"/>
    <d v="2025-08-12T00:00:00"/>
    <x v="0"/>
    <x v="0"/>
    <x v="1"/>
    <x v="4"/>
    <x v="4"/>
    <s v="Furniture"/>
    <s v="Chairs"/>
    <n v="8"/>
    <n v="1080"/>
    <n v="1112.4000000000001"/>
    <n v="0.03"/>
    <x v="8"/>
    <n v="8640"/>
    <n v="-7.7759999999999998"/>
    <n v="-9.0081072965669101E-4"/>
  </r>
  <r>
    <s v="ORD-157-1"/>
    <s v="ORD-157"/>
    <s v="USR-393885"/>
    <s v="ST-S-00236"/>
    <s v="PRD-284"/>
    <x v="9"/>
    <d v="2024-11-17T00:00:00"/>
    <d v="2024-11-21T00:00:00"/>
    <x v="1"/>
    <x v="2"/>
    <x v="0"/>
    <x v="1"/>
    <x v="7"/>
    <s v="Electronics"/>
    <s v="Storage"/>
    <n v="2"/>
    <n v="650"/>
    <n v="663"/>
    <n v="0.05"/>
    <x v="9"/>
    <n v="1300"/>
    <n v="-40.299999999999997"/>
    <n v="-3.1991744066047503E-2"/>
  </r>
  <r>
    <s v="ORD-201-1"/>
    <s v="ORD-201"/>
    <s v="USR-318609"/>
    <s v="ST-S-00683"/>
    <s v="PRD-709"/>
    <x v="10"/>
    <d v="2024-02-20T00:00:00"/>
    <d v="2024-02-22T00:00:00"/>
    <x v="1"/>
    <x v="1"/>
    <x v="0"/>
    <x v="3"/>
    <x v="8"/>
    <s v="Furniture"/>
    <s v="Lighting"/>
    <n v="4"/>
    <n v="280"/>
    <n v="336"/>
    <n v="0.09"/>
    <x v="10"/>
    <n v="1120"/>
    <n v="103.04"/>
    <n v="8.42490842490842E-2"/>
  </r>
  <r>
    <s v="ORD-252-1"/>
    <s v="ORD-252"/>
    <s v="USR-116717"/>
    <s v="ST-P-00474"/>
    <s v="PRD-181"/>
    <x v="11"/>
    <d v="2024-07-19T00:00:00"/>
    <d v="2024-07-20T00:00:00"/>
    <x v="0"/>
    <x v="1"/>
    <x v="1"/>
    <x v="1"/>
    <x v="6"/>
    <s v="Accessories"/>
    <s v="Audio"/>
    <n v="5"/>
    <n v="250"/>
    <n v="270"/>
    <n v="0"/>
    <x v="11"/>
    <n v="1250"/>
    <n v="100"/>
    <n v="7.4074074074074098E-2"/>
  </r>
  <r>
    <s v="ORD-207-1"/>
    <s v="ORD-207"/>
    <s v="USR-366883"/>
    <s v="ST-S-00459"/>
    <s v="PRD-519"/>
    <x v="12"/>
    <d v="2025-12-12T00:00:00"/>
    <d v="2025-12-13T00:00:00"/>
    <x v="0"/>
    <x v="0"/>
    <x v="0"/>
    <x v="0"/>
    <x v="1"/>
    <s v="Accessories"/>
    <s v="Peripherals"/>
    <n v="7"/>
    <n v="210"/>
    <n v="222.6"/>
    <n v="0"/>
    <x v="12"/>
    <n v="1470"/>
    <n v="88.2"/>
    <n v="5.6603773584905703E-2"/>
  </r>
  <r>
    <s v="ORD-262-1"/>
    <s v="ORD-262"/>
    <s v="USR-541956"/>
    <s v="ST-O-00753"/>
    <s v="PRD-284"/>
    <x v="13"/>
    <d v="2025-08-27T00:00:00"/>
    <d v="2025-08-31T00:00:00"/>
    <x v="0"/>
    <x v="4"/>
    <x v="2"/>
    <x v="1"/>
    <x v="7"/>
    <s v="Electronics"/>
    <s v="Storage"/>
    <n v="10"/>
    <n v="650"/>
    <n v="663"/>
    <n v="0.01"/>
    <x v="13"/>
    <n v="6500"/>
    <n v="63.7"/>
    <n v="9.7048920578332396E-3"/>
  </r>
  <r>
    <s v="ORD-339-1"/>
    <s v="ORD-339"/>
    <s v="USR-297774"/>
    <s v="ST-P-00148"/>
    <s v="PRD-811"/>
    <x v="14"/>
    <d v="2025-04-03T00:00:00"/>
    <d v="2025-04-06T00:00:00"/>
    <x v="0"/>
    <x v="2"/>
    <x v="1"/>
    <x v="3"/>
    <x v="9"/>
    <s v="Electronics"/>
    <s v="Cameras"/>
    <n v="13"/>
    <n v="430"/>
    <n v="455.8"/>
    <n v="0.01"/>
    <x v="14"/>
    <n v="5590"/>
    <n v="276.14600000000002"/>
    <n v="4.7074518772632003E-2"/>
  </r>
  <r>
    <s v="ORD-268-1"/>
    <s v="ORD-268"/>
    <s v="USR-496541"/>
    <s v="ST-P-00894"/>
    <s v="PRD-643"/>
    <x v="15"/>
    <d v="2025-06-27T00:00:00"/>
    <d v="2025-07-01T00:00:00"/>
    <x v="0"/>
    <x v="3"/>
    <x v="1"/>
    <x v="3"/>
    <x v="5"/>
    <s v="Electronics"/>
    <s v="Laptops"/>
    <n v="6"/>
    <n v="3030"/>
    <n v="3211.8"/>
    <n v="0.04"/>
    <x v="15"/>
    <n v="18180"/>
    <n v="319.96800000000002"/>
    <n v="1.7295597484276701E-2"/>
  </r>
  <r>
    <s v="ORD-275-1"/>
    <s v="ORD-275"/>
    <s v="USR-729233"/>
    <s v="ST-O-00414"/>
    <s v="PRD-247"/>
    <x v="16"/>
    <d v="2026-05-18T00:00:00"/>
    <d v="2026-05-21T00:00:00"/>
    <x v="0"/>
    <x v="2"/>
    <x v="2"/>
    <x v="1"/>
    <x v="10"/>
    <s v="Furniture"/>
    <s v="Desks"/>
    <n v="8"/>
    <n v="1530"/>
    <n v="1790.1"/>
    <n v="0.05"/>
    <x v="16"/>
    <n v="12240"/>
    <n v="1364.76"/>
    <n v="0.100314889788574"/>
  </r>
  <r>
    <s v="ORD-192-1"/>
    <s v="ORD-192"/>
    <s v="USR-955316"/>
    <s v="ST-P-00870"/>
    <s v="PRD-284"/>
    <x v="17"/>
    <d v="2026-01-28T00:00:00"/>
    <d v="2026-01-29T00:00:00"/>
    <x v="0"/>
    <x v="0"/>
    <x v="1"/>
    <x v="2"/>
    <x v="7"/>
    <s v="Electronics"/>
    <s v="Storage"/>
    <n v="11"/>
    <n v="650"/>
    <n v="663"/>
    <n v="0.09"/>
    <x v="17"/>
    <n v="7150"/>
    <n v="-513.37"/>
    <n v="-7.7354018530489094E-2"/>
  </r>
  <r>
    <s v="ORD-350-1"/>
    <s v="ORD-350"/>
    <s v="USR-654051"/>
    <s v="ST-O-00434"/>
    <s v="PRD-273"/>
    <x v="18"/>
    <d v="2024-12-01T00:00:00"/>
    <d v="2024-12-04T00:00:00"/>
    <x v="1"/>
    <x v="4"/>
    <x v="2"/>
    <x v="4"/>
    <x v="4"/>
    <s v="Furniture"/>
    <s v="Chairs"/>
    <n v="2"/>
    <n v="1080"/>
    <n v="1112.4000000000001"/>
    <n v="0.02"/>
    <x v="18"/>
    <n v="2160"/>
    <n v="20.303999999999998"/>
    <n v="9.3124628492173601E-3"/>
  </r>
  <r>
    <s v="ORD-152-1"/>
    <s v="ORD-152"/>
    <s v="USR-899270"/>
    <s v="ST-S-00920"/>
    <s v="PRD-709"/>
    <x v="19"/>
    <d v="2025-11-21T00:00:00"/>
    <d v="2025-11-25T00:00:00"/>
    <x v="1"/>
    <x v="4"/>
    <x v="0"/>
    <x v="2"/>
    <x v="8"/>
    <s v="Furniture"/>
    <s v="Lighting"/>
    <n v="2"/>
    <n v="280"/>
    <n v="336"/>
    <n v="0.05"/>
    <x v="19"/>
    <n v="560"/>
    <n v="78.400000000000006"/>
    <n v="0.12280701754386"/>
  </r>
  <r>
    <s v="ORD-205-1"/>
    <s v="ORD-205"/>
    <s v="USR-776776"/>
    <s v="ST-P-00750"/>
    <s v="PRD-517"/>
    <x v="20"/>
    <d v="2026-01-11T00:00:00"/>
    <d v="2026-01-13T00:00:00"/>
    <x v="0"/>
    <x v="0"/>
    <x v="1"/>
    <x v="0"/>
    <x v="3"/>
    <s v="Electronics"/>
    <s v="Monitors"/>
    <n v="13"/>
    <n v="1030"/>
    <n v="1174.2"/>
    <n v="0"/>
    <x v="20"/>
    <n v="13390"/>
    <n v="1874.6"/>
    <n v="0.12280701754386"/>
  </r>
  <r>
    <s v="ORD-156-1"/>
    <s v="ORD-156"/>
    <s v="USR-974315"/>
    <s v="ST-S-00731"/>
    <s v="PRD-686"/>
    <x v="21"/>
    <d v="2025-06-03T00:00:00"/>
    <d v="2025-06-07T00:00:00"/>
    <x v="1"/>
    <x v="3"/>
    <x v="0"/>
    <x v="0"/>
    <x v="11"/>
    <s v="Electronics"/>
    <s v="Monitors"/>
    <n v="1"/>
    <n v="1630"/>
    <n v="1744.1"/>
    <n v="0.09"/>
    <x v="21"/>
    <n v="1630"/>
    <n v="-42.869"/>
    <n v="-2.7010372804765301E-2"/>
  </r>
  <r>
    <s v="ORD-213-1"/>
    <s v="ORD-213"/>
    <s v="USR-854445"/>
    <s v="ST-S-00487"/>
    <s v="PRD-519"/>
    <x v="22"/>
    <d v="2026-04-20T00:00:00"/>
    <d v="2026-04-21T00:00:00"/>
    <x v="1"/>
    <x v="1"/>
    <x v="0"/>
    <x v="2"/>
    <x v="1"/>
    <s v="Accessories"/>
    <s v="Peripherals"/>
    <n v="2"/>
    <n v="210"/>
    <n v="222.6"/>
    <n v="0.05"/>
    <x v="22"/>
    <n v="420"/>
    <n v="2.94"/>
    <n v="6.9513406156901702E-3"/>
  </r>
  <r>
    <s v="ORD-314-1"/>
    <s v="ORD-314"/>
    <s v="USR-887746"/>
    <s v="ST-S-00144"/>
    <s v="PRD-592"/>
    <x v="3"/>
    <d v="2024-12-04T00:00:00"/>
    <d v="2024-12-05T00:00:00"/>
    <x v="0"/>
    <x v="0"/>
    <x v="0"/>
    <x v="1"/>
    <x v="12"/>
    <s v="Accessories"/>
    <s v="Connectivity"/>
    <n v="5"/>
    <n v="580"/>
    <n v="667"/>
    <n v="0"/>
    <x v="23"/>
    <n v="2900"/>
    <n v="435"/>
    <n v="0.13043478260869601"/>
  </r>
  <r>
    <s v="ORD-367-1"/>
    <s v="ORD-367"/>
    <s v="USR-827706"/>
    <s v="ST-P-00722"/>
    <s v="PRD-361"/>
    <x v="23"/>
    <d v="2025-01-23T00:00:00"/>
    <d v="2025-01-27T00:00:00"/>
    <x v="0"/>
    <x v="4"/>
    <x v="1"/>
    <x v="4"/>
    <x v="13"/>
    <s v="Accessories"/>
    <s v="Audio"/>
    <n v="8"/>
    <n v="390"/>
    <n v="468"/>
    <n v="0.01"/>
    <x v="24"/>
    <n v="3120"/>
    <n v="586.55999999999995"/>
    <n v="0.158249158249158"/>
  </r>
  <r>
    <s v="ORD-336-1"/>
    <s v="ORD-336"/>
    <s v="USR-957756"/>
    <s v="ST-S-00809"/>
    <s v="PRD-361"/>
    <x v="24"/>
    <d v="2026-01-26T00:00:00"/>
    <d v="2026-01-29T00:00:00"/>
    <x v="0"/>
    <x v="4"/>
    <x v="0"/>
    <x v="2"/>
    <x v="13"/>
    <s v="Accessories"/>
    <s v="Audio"/>
    <n v="5"/>
    <n v="390"/>
    <n v="468"/>
    <n v="0.08"/>
    <x v="25"/>
    <n v="1950"/>
    <n v="202.8"/>
    <n v="9.4202898550724598E-2"/>
  </r>
  <r>
    <s v="ORD-332-1"/>
    <s v="ORD-332"/>
    <s v="USR-284074"/>
    <s v="ST-P-00713"/>
    <s v="PRD-148"/>
    <x v="25"/>
    <d v="2026-05-11T00:00:00"/>
    <d v="2026-05-16T00:00:00"/>
    <x v="0"/>
    <x v="0"/>
    <x v="1"/>
    <x v="4"/>
    <x v="14"/>
    <s v="Accessories"/>
    <s v="Connectivity"/>
    <n v="15"/>
    <n v="170"/>
    <n v="188.7"/>
    <n v="0.05"/>
    <x v="26"/>
    <n v="2550"/>
    <n v="138.97499999999999"/>
    <n v="5.1683262209578001E-2"/>
  </r>
  <r>
    <s v="ORD-384-1"/>
    <s v="ORD-384"/>
    <s v="USR-819750"/>
    <s v="ST-S-00595"/>
    <s v="PRD-660"/>
    <x v="26"/>
    <d v="2025-01-09T00:00:00"/>
    <d v="2025-01-12T00:00:00"/>
    <x v="0"/>
    <x v="4"/>
    <x v="0"/>
    <x v="0"/>
    <x v="15"/>
    <s v="Accessories"/>
    <s v="Peripherals"/>
    <n v="7"/>
    <n v="350"/>
    <n v="364"/>
    <n v="0.04"/>
    <x v="27"/>
    <n v="2450"/>
    <n v="-3.92"/>
    <n v="-1.6025641025640999E-3"/>
  </r>
  <r>
    <s v="ORD-164-2"/>
    <s v="ORD-164"/>
    <s v="USR-245939"/>
    <s v="ST-O-00967"/>
    <s v="PRD-517"/>
    <x v="27"/>
    <d v="2026-04-30T00:00:00"/>
    <d v="2026-05-01T00:00:00"/>
    <x v="0"/>
    <x v="1"/>
    <x v="2"/>
    <x v="4"/>
    <x v="3"/>
    <s v="Electronics"/>
    <s v="Monitors"/>
    <n v="8"/>
    <n v="1030"/>
    <n v="1174.2"/>
    <n v="0.04"/>
    <x v="28"/>
    <n v="8240"/>
    <n v="777.85599999999999"/>
    <n v="8.6257309941520505E-2"/>
  </r>
  <r>
    <s v="ORD-297-1"/>
    <s v="ORD-297"/>
    <s v="USR-480730"/>
    <s v="ST-P-00901"/>
    <s v="PRD-273"/>
    <x v="28"/>
    <d v="2025-12-16T00:00:00"/>
    <d v="2025-12-19T00:00:00"/>
    <x v="0"/>
    <x v="1"/>
    <x v="1"/>
    <x v="1"/>
    <x v="4"/>
    <s v="Furniture"/>
    <s v="Chairs"/>
    <n v="11"/>
    <n v="1080"/>
    <n v="1112.4000000000001"/>
    <n v="0.08"/>
    <x v="29"/>
    <n v="11880"/>
    <n v="-622.51199999999994"/>
    <n v="-5.5297593921485901E-2"/>
  </r>
  <r>
    <s v="ORD-212-1"/>
    <s v="ORD-212"/>
    <s v="USR-550771"/>
    <s v="ST-P-00629"/>
    <s v="PRD-643"/>
    <x v="29"/>
    <d v="2024-05-20T00:00:00"/>
    <d v="2024-05-21T00:00:00"/>
    <x v="0"/>
    <x v="2"/>
    <x v="1"/>
    <x v="1"/>
    <x v="5"/>
    <s v="Electronics"/>
    <s v="Laptops"/>
    <n v="13"/>
    <n v="3030"/>
    <n v="3211.8"/>
    <n v="0.1"/>
    <x v="30"/>
    <n v="39390"/>
    <n v="-1811.94"/>
    <n v="-4.8218029350104802E-2"/>
  </r>
  <r>
    <s v="ORD-199-1"/>
    <s v="ORD-199"/>
    <s v="USR-323350"/>
    <s v="ST-O-00909"/>
    <s v="PRD-900"/>
    <x v="30"/>
    <d v="2025-08-17T00:00:00"/>
    <d v="2025-08-20T00:00:00"/>
    <x v="1"/>
    <x v="2"/>
    <x v="2"/>
    <x v="1"/>
    <x v="16"/>
    <s v="Furniture"/>
    <s v="Desks"/>
    <n v="4"/>
    <n v="930"/>
    <n v="1078.8"/>
    <n v="0.08"/>
    <x v="31"/>
    <n v="3720"/>
    <n v="249.98400000000001"/>
    <n v="6.2968515742129E-2"/>
  </r>
  <r>
    <s v="ORD-224-1"/>
    <s v="ORD-224"/>
    <s v="USR-971540"/>
    <s v="ST-P-00244"/>
    <s v="PRD-117"/>
    <x v="31"/>
    <d v="2026-02-20T00:00:00"/>
    <d v="2026-02-23T00:00:00"/>
    <x v="0"/>
    <x v="2"/>
    <x v="1"/>
    <x v="4"/>
    <x v="2"/>
    <s v="Electronics"/>
    <s v="Printers"/>
    <n v="8"/>
    <n v="1230"/>
    <n v="1328.4"/>
    <n v="0.01"/>
    <x v="32"/>
    <n v="9840"/>
    <n v="680.928"/>
    <n v="6.4721286943509204E-2"/>
  </r>
  <r>
    <s v="ORD-321-1"/>
    <s v="ORD-321"/>
    <s v="USR-177888"/>
    <s v="ST-P-00601"/>
    <s v="PRD-112"/>
    <x v="32"/>
    <d v="2026-02-10T00:00:00"/>
    <d v="2026-02-13T00:00:00"/>
    <x v="0"/>
    <x v="1"/>
    <x v="1"/>
    <x v="3"/>
    <x v="17"/>
    <s v="Electronics"/>
    <s v="Laptops"/>
    <n v="8"/>
    <n v="3930"/>
    <n v="4362.3"/>
    <n v="0.1"/>
    <x v="33"/>
    <n v="31440"/>
    <n v="-31.44"/>
    <n v="-1.0010010010009999E-3"/>
  </r>
  <r>
    <s v="ORD-205-2"/>
    <s v="ORD-205"/>
    <s v="USR-561822"/>
    <s v="ST-O-00299"/>
    <s v="PRD-361"/>
    <x v="32"/>
    <d v="2026-02-10T00:00:00"/>
    <d v="2026-02-12T00:00:00"/>
    <x v="0"/>
    <x v="0"/>
    <x v="2"/>
    <x v="4"/>
    <x v="13"/>
    <s v="Accessories"/>
    <s v="Audio"/>
    <n v="5"/>
    <n v="390"/>
    <n v="468"/>
    <n v="7.0000000000000007E-2"/>
    <x v="34"/>
    <n v="1950"/>
    <n v="226.2"/>
    <n v="0.103942652329749"/>
  </r>
  <r>
    <s v="ORD-360-1"/>
    <s v="ORD-360"/>
    <s v="USR-500685"/>
    <s v="ST-P-00354"/>
    <s v="PRD-117"/>
    <x v="33"/>
    <d v="2025-09-01T00:00:00"/>
    <d v="2025-09-06T00:00:00"/>
    <x v="0"/>
    <x v="1"/>
    <x v="1"/>
    <x v="3"/>
    <x v="2"/>
    <s v="Electronics"/>
    <s v="Printers"/>
    <n v="11"/>
    <n v="1230"/>
    <n v="1328.4"/>
    <n v="0.09"/>
    <x v="35"/>
    <n v="13530"/>
    <n v="-232.71600000000001"/>
    <n v="-1.7501017501017499E-2"/>
  </r>
  <r>
    <s v="ORD-337-1"/>
    <s v="ORD-337"/>
    <s v="USR-883810"/>
    <s v="ST-S-00549"/>
    <s v="PRD-900"/>
    <x v="34"/>
    <d v="2025-07-07T00:00:00"/>
    <d v="2025-07-11T00:00:00"/>
    <x v="0"/>
    <x v="4"/>
    <x v="0"/>
    <x v="4"/>
    <x v="16"/>
    <s v="Furniture"/>
    <s v="Desks"/>
    <n v="6"/>
    <n v="930"/>
    <n v="1078.8"/>
    <n v="0.03"/>
    <x v="36"/>
    <n v="5580"/>
    <n v="698.61599999999999"/>
    <n v="0.111269107714184"/>
  </r>
  <r>
    <s v="ORD-219-1"/>
    <s v="ORD-219"/>
    <s v="USR-165282"/>
    <s v="ST-P-00852"/>
    <s v="PRD-811"/>
    <x v="35"/>
    <d v="2024-11-28T00:00:00"/>
    <d v="2024-12-01T00:00:00"/>
    <x v="0"/>
    <x v="1"/>
    <x v="1"/>
    <x v="0"/>
    <x v="9"/>
    <s v="Electronics"/>
    <s v="Cameras"/>
    <n v="8"/>
    <n v="430"/>
    <n v="455.8"/>
    <n v="0.05"/>
    <x v="37"/>
    <n v="3440"/>
    <n v="24.08"/>
    <n v="6.9513406156901702E-3"/>
  </r>
  <r>
    <s v="ORD-365-2"/>
    <s v="ORD-365"/>
    <s v="USR-973033"/>
    <s v="ST-O-00917"/>
    <s v="PRD-709"/>
    <x v="36"/>
    <d v="2024-06-23T00:00:00"/>
    <d v="2024-06-26T00:00:00"/>
    <x v="1"/>
    <x v="2"/>
    <x v="2"/>
    <x v="4"/>
    <x v="8"/>
    <s v="Furniture"/>
    <s v="Lighting"/>
    <n v="1"/>
    <n v="280"/>
    <n v="336"/>
    <n v="0.1"/>
    <x v="38"/>
    <n v="280"/>
    <n v="22.4"/>
    <n v="7.4074074074074098E-2"/>
  </r>
  <r>
    <s v="ORD-252-2"/>
    <s v="ORD-252"/>
    <s v="USR-523132"/>
    <s v="ST-P-00609"/>
    <s v="PRD-643"/>
    <x v="37"/>
    <d v="2025-11-19T00:00:00"/>
    <d v="2025-11-23T00:00:00"/>
    <x v="0"/>
    <x v="2"/>
    <x v="1"/>
    <x v="1"/>
    <x v="5"/>
    <s v="Electronics"/>
    <s v="Laptops"/>
    <n v="9"/>
    <n v="3030"/>
    <n v="3211.8"/>
    <n v="0.01"/>
    <x v="39"/>
    <n v="27270"/>
    <n v="1347.1379999999999"/>
    <n v="4.7074518772632003E-2"/>
  </r>
  <r>
    <s v="ORD-266-1"/>
    <s v="ORD-266"/>
    <s v="USR-979833"/>
    <s v="ST-O-00516"/>
    <s v="PRD-361"/>
    <x v="38"/>
    <d v="2025-04-16T00:00:00"/>
    <d v="2025-04-20T00:00:00"/>
    <x v="0"/>
    <x v="0"/>
    <x v="2"/>
    <x v="2"/>
    <x v="13"/>
    <s v="Accessories"/>
    <s v="Audio"/>
    <n v="9"/>
    <n v="390"/>
    <n v="468"/>
    <n v="0.02"/>
    <x v="40"/>
    <n v="3510"/>
    <n v="617.76"/>
    <n v="0.14965986394557801"/>
  </r>
  <r>
    <s v="ORD-312-1"/>
    <s v="ORD-312"/>
    <s v="USR-421732"/>
    <s v="ST-O-00224"/>
    <s v="PRD-519"/>
    <x v="39"/>
    <d v="2024-05-13T00:00:00"/>
    <d v="2024-05-17T00:00:00"/>
    <x v="1"/>
    <x v="2"/>
    <x v="2"/>
    <x v="0"/>
    <x v="1"/>
    <s v="Accessories"/>
    <s v="Peripherals"/>
    <n v="1"/>
    <n v="210"/>
    <n v="222.6"/>
    <n v="0.09"/>
    <x v="41"/>
    <n v="210"/>
    <n v="-7.4340000000000002"/>
    <n v="-3.66991499066971E-2"/>
  </r>
  <r>
    <s v="ORD-231-1"/>
    <s v="ORD-231"/>
    <s v="USR-811823"/>
    <s v="ST-P-00175"/>
    <s v="PRD-519"/>
    <x v="40"/>
    <d v="2025-03-12T00:00:00"/>
    <d v="2025-03-16T00:00:00"/>
    <x v="0"/>
    <x v="2"/>
    <x v="1"/>
    <x v="0"/>
    <x v="1"/>
    <s v="Accessories"/>
    <s v="Peripherals"/>
    <n v="11"/>
    <n v="210"/>
    <n v="222.6"/>
    <n v="0.1"/>
    <x v="42"/>
    <n v="2310"/>
    <n v="-106.26"/>
    <n v="-4.8218029350104802E-2"/>
  </r>
  <r>
    <s v="ORD-178-1"/>
    <s v="ORD-178"/>
    <s v="USR-277621"/>
    <s v="ST-O-00317"/>
    <s v="PRD-811"/>
    <x v="41"/>
    <d v="2024-05-16T00:00:00"/>
    <d v="2024-05-19T00:00:00"/>
    <x v="0"/>
    <x v="0"/>
    <x v="2"/>
    <x v="0"/>
    <x v="9"/>
    <s v="Electronics"/>
    <s v="Cameras"/>
    <n v="7"/>
    <n v="430"/>
    <n v="455.8"/>
    <n v="0.06"/>
    <x v="43"/>
    <n v="3010"/>
    <n v="-10.836"/>
    <n v="-3.6130068245684502E-3"/>
  </r>
  <r>
    <s v="ORD-231-2"/>
    <s v="ORD-231"/>
    <s v="USR-127718"/>
    <s v="ST-O-00690"/>
    <s v="PRD-112"/>
    <x v="42"/>
    <d v="2025-01-04T00:00:00"/>
    <d v="2025-01-08T00:00:00"/>
    <x v="0"/>
    <x v="3"/>
    <x v="2"/>
    <x v="1"/>
    <x v="17"/>
    <s v="Electronics"/>
    <s v="Laptops"/>
    <n v="7"/>
    <n v="3930"/>
    <n v="4362.3"/>
    <n v="0.04"/>
    <x v="44"/>
    <n v="27510"/>
    <n v="1804.6559999999999"/>
    <n v="6.1561561561561597E-2"/>
  </r>
  <r>
    <s v="ORD-359-1"/>
    <s v="ORD-359"/>
    <s v="USR-924024"/>
    <s v="ST-S-00543"/>
    <s v="PRD-597"/>
    <x v="43"/>
    <d v="2026-01-06T00:00:00"/>
    <d v="2026-01-07T00:00:00"/>
    <x v="1"/>
    <x v="0"/>
    <x v="0"/>
    <x v="3"/>
    <x v="0"/>
    <s v="Furniture"/>
    <s v="Chairs"/>
    <n v="1"/>
    <n v="730"/>
    <n v="824.9"/>
    <n v="7.0000000000000007E-2"/>
    <x v="45"/>
    <n v="730"/>
    <n v="37.156999999999996"/>
    <n v="4.8434675040441501E-2"/>
  </r>
  <r>
    <s v="ORD-248-1"/>
    <s v="ORD-248"/>
    <s v="USR-888219"/>
    <s v="ST-O-00617"/>
    <s v="PRD-117"/>
    <x v="44"/>
    <d v="2025-08-06T00:00:00"/>
    <d v="2025-08-10T00:00:00"/>
    <x v="0"/>
    <x v="0"/>
    <x v="2"/>
    <x v="2"/>
    <x v="2"/>
    <s v="Electronics"/>
    <s v="Printers"/>
    <n v="7"/>
    <n v="1230"/>
    <n v="1328.4"/>
    <n v="0.03"/>
    <x v="46"/>
    <n v="8610"/>
    <n v="409.83600000000001"/>
    <n v="4.5437189767086703E-2"/>
  </r>
  <r>
    <s v="ORD-229-1"/>
    <s v="ORD-229"/>
    <s v="USR-705312"/>
    <s v="ST-S-00749"/>
    <s v="PRD-112"/>
    <x v="45"/>
    <d v="2024-07-05T00:00:00"/>
    <d v="2024-07-08T00:00:00"/>
    <x v="1"/>
    <x v="1"/>
    <x v="0"/>
    <x v="4"/>
    <x v="17"/>
    <s v="Electronics"/>
    <s v="Laptops"/>
    <n v="4"/>
    <n v="3930"/>
    <n v="4362.3"/>
    <n v="0.06"/>
    <x v="47"/>
    <n v="15720"/>
    <n v="682.24800000000005"/>
    <n v="4.1594786275637299E-2"/>
  </r>
  <r>
    <s v="ORD-358-1"/>
    <s v="ORD-358"/>
    <s v="USR-806426"/>
    <s v="ST-S-00969"/>
    <s v="PRD-709"/>
    <x v="46"/>
    <d v="2025-04-20T00:00:00"/>
    <d v="2025-04-23T00:00:00"/>
    <x v="0"/>
    <x v="1"/>
    <x v="0"/>
    <x v="3"/>
    <x v="8"/>
    <s v="Furniture"/>
    <s v="Lighting"/>
    <n v="9"/>
    <n v="280"/>
    <n v="336"/>
    <n v="0.02"/>
    <x v="48"/>
    <n v="2520"/>
    <n v="443.52"/>
    <n v="0.14965986394557801"/>
  </r>
  <r>
    <s v="ORD-351-1"/>
    <s v="ORD-351"/>
    <s v="USR-156438"/>
    <s v="ST-P-00957"/>
    <s v="PRD-247"/>
    <x v="47"/>
    <d v="2025-12-21T00:00:00"/>
    <d v="2025-12-24T00:00:00"/>
    <x v="0"/>
    <x v="2"/>
    <x v="1"/>
    <x v="3"/>
    <x v="10"/>
    <s v="Furniture"/>
    <s v="Desks"/>
    <n v="14"/>
    <n v="1530"/>
    <n v="1790.1"/>
    <n v="0.08"/>
    <x v="49"/>
    <n v="21420"/>
    <n v="1636.4880000000001"/>
    <n v="7.0977331846897099E-2"/>
  </r>
  <r>
    <s v="ORD-199-2"/>
    <s v="ORD-199"/>
    <s v="USR-253427"/>
    <s v="ST-S-00329"/>
    <s v="PRD-643"/>
    <x v="48"/>
    <d v="2024-03-12T00:00:00"/>
    <d v="2024-03-15T00:00:00"/>
    <x v="0"/>
    <x v="3"/>
    <x v="0"/>
    <x v="0"/>
    <x v="5"/>
    <s v="Electronics"/>
    <s v="Laptops"/>
    <n v="9"/>
    <n v="3030"/>
    <n v="3211.8"/>
    <n v="0.1"/>
    <x v="50"/>
    <n v="27270"/>
    <n v="-1254.42"/>
    <n v="-4.8218029350104802E-2"/>
  </r>
  <r>
    <s v="ORD-253-2"/>
    <s v="ORD-253"/>
    <s v="USR-118403"/>
    <s v="ST-O-00274"/>
    <s v="PRD-284"/>
    <x v="49"/>
    <d v="2024-10-29T00:00:00"/>
    <d v="2024-11-03T00:00:00"/>
    <x v="0"/>
    <x v="3"/>
    <x v="2"/>
    <x v="0"/>
    <x v="7"/>
    <s v="Electronics"/>
    <s v="Storage"/>
    <n v="7"/>
    <n v="650"/>
    <n v="663"/>
    <n v="0.02"/>
    <x v="51"/>
    <n v="4550"/>
    <n v="-1.82"/>
    <n v="-4.0016006402561E-4"/>
  </r>
  <r>
    <s v="ORD-228-1"/>
    <s v="ORD-228"/>
    <s v="USR-622259"/>
    <s v="ST-P-00116"/>
    <s v="PRD-148"/>
    <x v="50"/>
    <d v="2025-07-19T00:00:00"/>
    <d v="2025-07-24T00:00:00"/>
    <x v="0"/>
    <x v="3"/>
    <x v="1"/>
    <x v="4"/>
    <x v="14"/>
    <s v="Accessories"/>
    <s v="Connectivity"/>
    <n v="14"/>
    <n v="170"/>
    <n v="188.7"/>
    <n v="0.02"/>
    <x v="52"/>
    <n v="2380"/>
    <n v="208.964"/>
    <n v="8.0713366427652103E-2"/>
  </r>
  <r>
    <s v="ORD-358-2"/>
    <s v="ORD-358"/>
    <s v="USR-267264"/>
    <s v="ST-S-00953"/>
    <s v="PRD-873"/>
    <x v="51"/>
    <d v="2025-12-08T00:00:00"/>
    <d v="2025-12-10T00:00:00"/>
    <x v="0"/>
    <x v="4"/>
    <x v="0"/>
    <x v="3"/>
    <x v="18"/>
    <s v="Electronics"/>
    <s v="Networking"/>
    <n v="8"/>
    <n v="480"/>
    <n v="513.6"/>
    <n v="0.03"/>
    <x v="53"/>
    <n v="3840"/>
    <n v="145.536"/>
    <n v="3.6516042007900602E-2"/>
  </r>
  <r>
    <s v="ORD-168-1"/>
    <s v="ORD-168"/>
    <s v="USR-431085"/>
    <s v="ST-P-00630"/>
    <s v="PRD-597"/>
    <x v="52"/>
    <d v="2026-02-21T00:00:00"/>
    <d v="2026-02-24T00:00:00"/>
    <x v="0"/>
    <x v="2"/>
    <x v="1"/>
    <x v="0"/>
    <x v="0"/>
    <s v="Furniture"/>
    <s v="Chairs"/>
    <n v="7"/>
    <n v="730"/>
    <n v="824.9"/>
    <n v="0.05"/>
    <x v="54"/>
    <n v="5110"/>
    <n v="375.58499999999998"/>
    <n v="6.8467629250116402E-2"/>
  </r>
  <r>
    <s v="ORD-364-1"/>
    <s v="ORD-364"/>
    <s v="USR-632143"/>
    <s v="ST-O-00989"/>
    <s v="PRD-361"/>
    <x v="53"/>
    <d v="2024-01-03T00:00:00"/>
    <d v="2024-01-04T00:00:00"/>
    <x v="0"/>
    <x v="1"/>
    <x v="2"/>
    <x v="3"/>
    <x v="13"/>
    <s v="Accessories"/>
    <s v="Audio"/>
    <n v="6"/>
    <n v="390"/>
    <n v="468"/>
    <n v="0"/>
    <x v="55"/>
    <n v="2340"/>
    <n v="468"/>
    <n v="0.16666666666666699"/>
  </r>
  <r>
    <s v="ORD-367-2"/>
    <s v="ORD-367"/>
    <s v="USR-532510"/>
    <s v="ST-S-00449"/>
    <s v="PRD-117"/>
    <x v="54"/>
    <d v="2025-07-15T00:00:00"/>
    <d v="2025-07-19T00:00:00"/>
    <x v="1"/>
    <x v="1"/>
    <x v="0"/>
    <x v="0"/>
    <x v="2"/>
    <s v="Electronics"/>
    <s v="Printers"/>
    <n v="3"/>
    <n v="1230"/>
    <n v="1328.4"/>
    <n v="0.08"/>
    <x v="56"/>
    <n v="3690"/>
    <n v="-23.616"/>
    <n v="-6.4412238325281803E-3"/>
  </r>
  <r>
    <s v="ORD-325-1"/>
    <s v="ORD-325"/>
    <s v="USR-995839"/>
    <s v="ST-S-00173"/>
    <s v="PRD-517"/>
    <x v="55"/>
    <d v="2025-11-11T00:00:00"/>
    <d v="2025-11-14T00:00:00"/>
    <x v="0"/>
    <x v="4"/>
    <x v="0"/>
    <x v="4"/>
    <x v="3"/>
    <s v="Electronics"/>
    <s v="Monitors"/>
    <n v="8"/>
    <n v="1030"/>
    <n v="1174.2"/>
    <n v="0.04"/>
    <x v="28"/>
    <n v="8240"/>
    <n v="777.85599999999999"/>
    <n v="8.6257309941520505E-2"/>
  </r>
  <r>
    <s v="ORD-229-2"/>
    <s v="ORD-229"/>
    <s v="USR-806899"/>
    <s v="ST-O-00362"/>
    <s v="PRD-117"/>
    <x v="56"/>
    <d v="2025-05-18T00:00:00"/>
    <d v="2025-05-21T00:00:00"/>
    <x v="1"/>
    <x v="1"/>
    <x v="2"/>
    <x v="4"/>
    <x v="2"/>
    <s v="Electronics"/>
    <s v="Printers"/>
    <n v="4"/>
    <n v="1230"/>
    <n v="1328.4"/>
    <n v="0.1"/>
    <x v="57"/>
    <n v="4920"/>
    <n v="-137.76"/>
    <n v="-2.8806584362139901E-2"/>
  </r>
  <r>
    <s v="ORD-151-1"/>
    <s v="ORD-151"/>
    <s v="USR-669514"/>
    <s v="ST-O-00803"/>
    <s v="PRD-592"/>
    <x v="57"/>
    <d v="2024-08-02T00:00:00"/>
    <d v="2024-08-05T00:00:00"/>
    <x v="1"/>
    <x v="1"/>
    <x v="2"/>
    <x v="4"/>
    <x v="12"/>
    <s v="Accessories"/>
    <s v="Connectivity"/>
    <n v="4"/>
    <n v="580"/>
    <n v="667"/>
    <n v="0.08"/>
    <x v="58"/>
    <n v="2320"/>
    <n v="134.56"/>
    <n v="5.4820415879017002E-2"/>
  </r>
  <r>
    <s v="ORD-352-1"/>
    <s v="ORD-352"/>
    <s v="USR-668762"/>
    <s v="ST-S-00576"/>
    <s v="PRD-247"/>
    <x v="58"/>
    <d v="2025-05-16T00:00:00"/>
    <d v="2025-05-17T00:00:00"/>
    <x v="1"/>
    <x v="0"/>
    <x v="0"/>
    <x v="0"/>
    <x v="10"/>
    <s v="Furniture"/>
    <s v="Desks"/>
    <n v="3"/>
    <n v="1530"/>
    <n v="1790.1"/>
    <n v="0"/>
    <x v="59"/>
    <n v="4590"/>
    <n v="780.3"/>
    <n v="0.145299145299145"/>
  </r>
  <r>
    <s v="ORD-305-1"/>
    <s v="ORD-305"/>
    <s v="USR-652969"/>
    <s v="ST-P-00778"/>
    <s v="PRD-778"/>
    <x v="9"/>
    <d v="2024-11-16T00:00:00"/>
    <d v="2024-11-19T00:00:00"/>
    <x v="0"/>
    <x v="3"/>
    <x v="1"/>
    <x v="2"/>
    <x v="19"/>
    <s v="Electronics"/>
    <s v="Laptops"/>
    <n v="12"/>
    <n v="3330"/>
    <n v="3629.7"/>
    <n v="0.04"/>
    <x v="60"/>
    <n v="39960"/>
    <n v="1854.144"/>
    <n v="4.4342507645259897E-2"/>
  </r>
  <r>
    <s v="ORD-342-1"/>
    <s v="ORD-342"/>
    <s v="USR-279235"/>
    <s v="ST-P-00653"/>
    <s v="PRD-117"/>
    <x v="59"/>
    <d v="2025-12-03T00:00:00"/>
    <d v="2025-12-08T00:00:00"/>
    <x v="0"/>
    <x v="2"/>
    <x v="1"/>
    <x v="3"/>
    <x v="2"/>
    <s v="Electronics"/>
    <s v="Printers"/>
    <n v="6"/>
    <n v="1230"/>
    <n v="1328.4"/>
    <n v="0.09"/>
    <x v="61"/>
    <n v="7380"/>
    <n v="-126.93600000000001"/>
    <n v="-1.7501017501017499E-2"/>
  </r>
  <r>
    <s v="ORD-351-2"/>
    <s v="ORD-351"/>
    <s v="USR-133352"/>
    <s v="ST-S-00587"/>
    <s v="PRD-517"/>
    <x v="60"/>
    <d v="2025-10-23T00:00:00"/>
    <d v="2025-10-25T00:00:00"/>
    <x v="1"/>
    <x v="4"/>
    <x v="0"/>
    <x v="3"/>
    <x v="3"/>
    <s v="Electronics"/>
    <s v="Monitors"/>
    <n v="3"/>
    <n v="1030"/>
    <n v="1174.2"/>
    <n v="0.09"/>
    <x v="62"/>
    <n v="3090"/>
    <n v="115.566"/>
    <n v="3.6051667630615E-2"/>
  </r>
  <r>
    <s v="ORD-202-1"/>
    <s v="ORD-202"/>
    <s v="USR-384245"/>
    <s v="ST-O-00943"/>
    <s v="PRD-117"/>
    <x v="61"/>
    <d v="2024-01-09T00:00:00"/>
    <d v="2024-01-12T00:00:00"/>
    <x v="1"/>
    <x v="3"/>
    <x v="2"/>
    <x v="0"/>
    <x v="2"/>
    <s v="Electronics"/>
    <s v="Printers"/>
    <n v="2"/>
    <n v="1230"/>
    <n v="1328.4"/>
    <n v="0.05"/>
    <x v="63"/>
    <n v="2460"/>
    <n v="63.96"/>
    <n v="2.5341130604288501E-2"/>
  </r>
  <r>
    <s v="ORD-245-1"/>
    <s v="ORD-245"/>
    <s v="USR-711523"/>
    <s v="ST-P-00456"/>
    <s v="PRD-592"/>
    <x v="62"/>
    <d v="2024-01-11T00:00:00"/>
    <d v="2024-01-15T00:00:00"/>
    <x v="0"/>
    <x v="0"/>
    <x v="1"/>
    <x v="0"/>
    <x v="12"/>
    <s v="Accessories"/>
    <s v="Connectivity"/>
    <n v="6"/>
    <n v="580"/>
    <n v="667"/>
    <n v="0.05"/>
    <x v="64"/>
    <n v="3480"/>
    <n v="321.89999999999998"/>
    <n v="8.4668192219679597E-2"/>
  </r>
  <r>
    <s v="ORD-251-1"/>
    <s v="ORD-251"/>
    <s v="USR-929172"/>
    <s v="ST-P-00962"/>
    <s v="PRD-273"/>
    <x v="63"/>
    <d v="2026-03-27T00:00:00"/>
    <d v="2026-03-31T00:00:00"/>
    <x v="0"/>
    <x v="2"/>
    <x v="1"/>
    <x v="4"/>
    <x v="4"/>
    <s v="Furniture"/>
    <s v="Chairs"/>
    <n v="14"/>
    <n v="1080"/>
    <n v="1112.4000000000001"/>
    <n v="0.09"/>
    <x v="65"/>
    <n v="15120"/>
    <n v="-948.024"/>
    <n v="-6.6894270777765899E-2"/>
  </r>
  <r>
    <s v="ORD-178-2"/>
    <s v="ORD-178"/>
    <s v="USR-549726"/>
    <s v="ST-O-00529"/>
    <s v="PRD-112"/>
    <x v="64"/>
    <d v="2024-10-28T00:00:00"/>
    <d v="2024-11-02T00:00:00"/>
    <x v="1"/>
    <x v="3"/>
    <x v="2"/>
    <x v="4"/>
    <x v="17"/>
    <s v="Electronics"/>
    <s v="Laptops"/>
    <n v="1"/>
    <n v="3930"/>
    <n v="4362.3"/>
    <n v="0.08"/>
    <x v="66"/>
    <n v="3930"/>
    <n v="83.316000000000003"/>
    <n v="2.0759890325107701E-2"/>
  </r>
  <r>
    <s v="ORD-274-1"/>
    <s v="ORD-274"/>
    <s v="USR-691016"/>
    <s v="ST-P-00462"/>
    <s v="PRD-148"/>
    <x v="65"/>
    <d v="2024-06-10T00:00:00"/>
    <d v="2024-06-15T00:00:00"/>
    <x v="0"/>
    <x v="1"/>
    <x v="1"/>
    <x v="0"/>
    <x v="14"/>
    <s v="Accessories"/>
    <s v="Connectivity"/>
    <n v="14"/>
    <n v="170"/>
    <n v="188.7"/>
    <n v="0.04"/>
    <x v="67"/>
    <n v="2380"/>
    <n v="156.12799999999999"/>
    <n v="6.1561561561561597E-2"/>
  </r>
  <r>
    <s v="ORD-233-1"/>
    <s v="ORD-233"/>
    <s v="USR-299163"/>
    <s v="ST-O-00266"/>
    <s v="PRD-811"/>
    <x v="66"/>
    <d v="2024-02-11T00:00:00"/>
    <d v="2024-02-15T00:00:00"/>
    <x v="0"/>
    <x v="0"/>
    <x v="2"/>
    <x v="1"/>
    <x v="9"/>
    <s v="Electronics"/>
    <s v="Cameras"/>
    <n v="8"/>
    <n v="430"/>
    <n v="455.8"/>
    <n v="0.1"/>
    <x v="68"/>
    <n v="3440"/>
    <n v="-158.24"/>
    <n v="-4.8218029350104802E-2"/>
  </r>
  <r>
    <s v="ORD-243-1"/>
    <s v="ORD-243"/>
    <s v="USR-156882"/>
    <s v="ST-P-00934"/>
    <s v="PRD-247"/>
    <x v="67"/>
    <d v="2024-02-03T00:00:00"/>
    <d v="2024-02-06T00:00:00"/>
    <x v="0"/>
    <x v="0"/>
    <x v="1"/>
    <x v="1"/>
    <x v="10"/>
    <s v="Furniture"/>
    <s v="Desks"/>
    <n v="13"/>
    <n v="1530"/>
    <n v="1790.1"/>
    <n v="0.02"/>
    <x v="69"/>
    <n v="19890"/>
    <n v="2915.8739999999998"/>
    <n v="0.12785627071341399"/>
  </r>
  <r>
    <s v="ORD-370-1"/>
    <s v="ORD-370"/>
    <s v="USR-113080"/>
    <s v="ST-P-00290"/>
    <s v="PRD-284"/>
    <x v="68"/>
    <d v="2024-08-23T00:00:00"/>
    <d v="2024-08-27T00:00:00"/>
    <x v="0"/>
    <x v="4"/>
    <x v="1"/>
    <x v="3"/>
    <x v="7"/>
    <s v="Electronics"/>
    <s v="Storage"/>
    <n v="6"/>
    <n v="650"/>
    <n v="663"/>
    <n v="0.02"/>
    <x v="70"/>
    <n v="3900"/>
    <n v="-1.56"/>
    <n v="-4.0016006402561E-4"/>
  </r>
  <r>
    <s v="ORD-364-2"/>
    <s v="ORD-364"/>
    <s v="USR-601589"/>
    <s v="ST-S-00135"/>
    <s v="PRD-686"/>
    <x v="69"/>
    <d v="2026-04-14T00:00:00"/>
    <d v="2026-04-16T00:00:00"/>
    <x v="0"/>
    <x v="4"/>
    <x v="0"/>
    <x v="1"/>
    <x v="11"/>
    <s v="Electronics"/>
    <s v="Monitors"/>
    <n v="7"/>
    <n v="1630"/>
    <n v="1744.1"/>
    <n v="0.09"/>
    <x v="71"/>
    <n v="11410"/>
    <n v="-300.08300000000003"/>
    <n v="-2.7010372804765301E-2"/>
  </r>
  <r>
    <s v="ORD-267-1"/>
    <s v="ORD-267"/>
    <s v="USR-699527"/>
    <s v="ST-P-00788"/>
    <s v="PRD-686"/>
    <x v="70"/>
    <d v="2024-08-14T00:00:00"/>
    <d v="2024-08-16T00:00:00"/>
    <x v="0"/>
    <x v="0"/>
    <x v="1"/>
    <x v="2"/>
    <x v="11"/>
    <s v="Electronics"/>
    <s v="Monitors"/>
    <n v="15"/>
    <n v="1630"/>
    <n v="1744.1"/>
    <n v="7.0000000000000007E-2"/>
    <x v="72"/>
    <n v="24450"/>
    <n v="-119.80500000000001"/>
    <n v="-4.9241282283187596E-3"/>
  </r>
  <r>
    <s v="ORD-221-1"/>
    <s v="ORD-221"/>
    <s v="USR-684072"/>
    <s v="ST-O-00263"/>
    <s v="PRD-643"/>
    <x v="55"/>
    <d v="2025-11-12T00:00:00"/>
    <d v="2025-11-13T00:00:00"/>
    <x v="0"/>
    <x v="2"/>
    <x v="2"/>
    <x v="2"/>
    <x v="5"/>
    <s v="Electronics"/>
    <s v="Laptops"/>
    <n v="10"/>
    <n v="3030"/>
    <n v="3211.8"/>
    <n v="0.04"/>
    <x v="73"/>
    <n v="30300"/>
    <n v="533.28"/>
    <n v="1.7295597484276701E-2"/>
  </r>
  <r>
    <s v="ORD-170-1"/>
    <s v="ORD-170"/>
    <s v="USR-905875"/>
    <s v="ST-S-00608"/>
    <s v="PRD-117"/>
    <x v="71"/>
    <d v="2024-09-10T00:00:00"/>
    <d v="2024-09-15T00:00:00"/>
    <x v="0"/>
    <x v="2"/>
    <x v="0"/>
    <x v="2"/>
    <x v="2"/>
    <s v="Electronics"/>
    <s v="Printers"/>
    <n v="7"/>
    <n v="1230"/>
    <n v="1328.4"/>
    <n v="7.0000000000000007E-2"/>
    <x v="74"/>
    <n v="8610"/>
    <n v="37.884"/>
    <n v="4.3807248108323404E-3"/>
  </r>
  <r>
    <s v="ORD-375-1"/>
    <s v="ORD-375"/>
    <s v="USR-645713"/>
    <s v="ST-O-00862"/>
    <s v="PRD-778"/>
    <x v="72"/>
    <d v="2024-09-03T00:00:00"/>
    <d v="2024-09-06T00:00:00"/>
    <x v="0"/>
    <x v="2"/>
    <x v="2"/>
    <x v="1"/>
    <x v="19"/>
    <s v="Electronics"/>
    <s v="Laptops"/>
    <n v="8"/>
    <n v="3330"/>
    <n v="3629.7"/>
    <n v="0.03"/>
    <x v="75"/>
    <n v="26640"/>
    <n v="1526.472"/>
    <n v="5.4194646741700603E-2"/>
  </r>
  <r>
    <s v="ORD-244-1"/>
    <s v="ORD-244"/>
    <s v="USR-513472"/>
    <s v="ST-S-00460"/>
    <s v="PRD-517"/>
    <x v="73"/>
    <d v="2025-03-21T00:00:00"/>
    <d v="2025-03-22T00:00:00"/>
    <x v="0"/>
    <x v="3"/>
    <x v="0"/>
    <x v="0"/>
    <x v="3"/>
    <s v="Electronics"/>
    <s v="Monitors"/>
    <n v="9"/>
    <n v="1030"/>
    <n v="1174.2"/>
    <n v="0.01"/>
    <x v="76"/>
    <n v="9270"/>
    <n v="1192.1220000000001"/>
    <n v="0.113946482367535"/>
  </r>
  <r>
    <s v="ORD-259-1"/>
    <s v="ORD-259"/>
    <s v="USR-866158"/>
    <s v="ST-P-00793"/>
    <s v="PRD-284"/>
    <x v="74"/>
    <d v="2026-01-15T00:00:00"/>
    <d v="2026-01-19T00:00:00"/>
    <x v="0"/>
    <x v="4"/>
    <x v="1"/>
    <x v="4"/>
    <x v="7"/>
    <s v="Electronics"/>
    <s v="Storage"/>
    <n v="8"/>
    <n v="650"/>
    <n v="663"/>
    <n v="0.04"/>
    <x v="77"/>
    <n v="5200"/>
    <n v="-108.16"/>
    <n v="-2.1241830065359499E-2"/>
  </r>
  <r>
    <s v="ORD-343-1"/>
    <s v="ORD-343"/>
    <s v="USR-759407"/>
    <s v="ST-O-00579"/>
    <s v="PRD-148"/>
    <x v="75"/>
    <d v="2025-05-11T00:00:00"/>
    <d v="2025-05-13T00:00:00"/>
    <x v="0"/>
    <x v="0"/>
    <x v="2"/>
    <x v="0"/>
    <x v="14"/>
    <s v="Accessories"/>
    <s v="Connectivity"/>
    <n v="8"/>
    <n v="170"/>
    <n v="188.7"/>
    <n v="0.06"/>
    <x v="78"/>
    <n v="1360"/>
    <n v="59.024000000000001"/>
    <n v="4.1594786275637299E-2"/>
  </r>
  <r>
    <s v="ORD-160-1"/>
    <s v="ORD-160"/>
    <s v="USR-336202"/>
    <s v="ST-S-00702"/>
    <s v="PRD-181"/>
    <x v="76"/>
    <d v="2026-03-09T00:00:00"/>
    <d v="2026-03-13T00:00:00"/>
    <x v="0"/>
    <x v="1"/>
    <x v="0"/>
    <x v="3"/>
    <x v="6"/>
    <s v="Accessories"/>
    <s v="Audio"/>
    <n v="7"/>
    <n v="250"/>
    <n v="270"/>
    <n v="0.03"/>
    <x v="79"/>
    <n v="1750"/>
    <n v="83.3"/>
    <n v="4.5437189767086703E-2"/>
  </r>
  <r>
    <s v="ORD-268-2"/>
    <s v="ORD-268"/>
    <s v="USR-220592"/>
    <s v="ST-S-00199"/>
    <s v="PRD-148"/>
    <x v="77"/>
    <d v="2024-06-21T00:00:00"/>
    <d v="2024-06-23T00:00:00"/>
    <x v="1"/>
    <x v="4"/>
    <x v="0"/>
    <x v="3"/>
    <x v="14"/>
    <s v="Accessories"/>
    <s v="Connectivity"/>
    <n v="2"/>
    <n v="170"/>
    <n v="188.7"/>
    <n v="0.02"/>
    <x v="80"/>
    <n v="340"/>
    <n v="29.852"/>
    <n v="8.0713366427652103E-2"/>
  </r>
  <r>
    <s v="ORD-299-1"/>
    <s v="ORD-299"/>
    <s v="USR-443442"/>
    <s v="ST-P-00832"/>
    <s v="PRD-709"/>
    <x v="78"/>
    <d v="2024-07-11T00:00:00"/>
    <d v="2024-07-14T00:00:00"/>
    <x v="0"/>
    <x v="0"/>
    <x v="1"/>
    <x v="1"/>
    <x v="8"/>
    <s v="Furniture"/>
    <s v="Lighting"/>
    <n v="7"/>
    <n v="280"/>
    <n v="336"/>
    <n v="0.1"/>
    <x v="81"/>
    <n v="1960"/>
    <n v="156.80000000000001"/>
    <n v="7.4074074074074098E-2"/>
  </r>
  <r>
    <s v="ORD-261-1"/>
    <s v="ORD-261"/>
    <s v="USR-591875"/>
    <s v="ST-S-00567"/>
    <s v="PRD-112"/>
    <x v="79"/>
    <d v="2024-05-27T00:00:00"/>
    <d v="2024-05-29T00:00:00"/>
    <x v="0"/>
    <x v="0"/>
    <x v="0"/>
    <x v="3"/>
    <x v="17"/>
    <s v="Electronics"/>
    <s v="Laptops"/>
    <n v="9"/>
    <n v="3930"/>
    <n v="4362.3"/>
    <n v="7.0000000000000007E-2"/>
    <x v="82"/>
    <n v="35370"/>
    <n v="1142.451"/>
    <n v="3.1289353869999002E-2"/>
  </r>
  <r>
    <s v="ORD-366-1"/>
    <s v="ORD-366"/>
    <s v="USR-163121"/>
    <s v="ST-P-00762"/>
    <s v="PRD-148"/>
    <x v="80"/>
    <d v="2024-10-20T00:00:00"/>
    <d v="2024-10-21T00:00:00"/>
    <x v="0"/>
    <x v="0"/>
    <x v="1"/>
    <x v="1"/>
    <x v="14"/>
    <s v="Accessories"/>
    <s v="Connectivity"/>
    <n v="5"/>
    <n v="170"/>
    <n v="188.7"/>
    <n v="0.03"/>
    <x v="83"/>
    <n v="850"/>
    <n v="65.194999999999993"/>
    <n v="7.1236184638246505E-2"/>
  </r>
  <r>
    <s v="ORD-362-1"/>
    <s v="ORD-362"/>
    <s v="USR-684929"/>
    <s v="ST-O-00968"/>
    <s v="PRD-284"/>
    <x v="81"/>
    <d v="2025-05-21T00:00:00"/>
    <d v="2025-05-23T00:00:00"/>
    <x v="0"/>
    <x v="1"/>
    <x v="2"/>
    <x v="0"/>
    <x v="7"/>
    <s v="Electronics"/>
    <s v="Storage"/>
    <n v="5"/>
    <n v="650"/>
    <n v="663"/>
    <n v="0.09"/>
    <x v="84"/>
    <n v="3250"/>
    <n v="-233.35"/>
    <n v="-7.7354018530489094E-2"/>
  </r>
  <r>
    <s v="ORD-390-1"/>
    <s v="ORD-390"/>
    <s v="USR-541439"/>
    <s v="ST-O-00719"/>
    <s v="PRD-247"/>
    <x v="82"/>
    <d v="2024-06-17T00:00:00"/>
    <d v="2024-06-19T00:00:00"/>
    <x v="0"/>
    <x v="0"/>
    <x v="2"/>
    <x v="3"/>
    <x v="10"/>
    <s v="Furniture"/>
    <s v="Desks"/>
    <n v="9"/>
    <n v="1530"/>
    <n v="1790.1"/>
    <n v="0"/>
    <x v="85"/>
    <n v="13770"/>
    <n v="2340.9"/>
    <n v="0.145299145299145"/>
  </r>
  <r>
    <s v="ORD-331-1"/>
    <s v="ORD-331"/>
    <s v="USR-220213"/>
    <s v="ST-P-00138"/>
    <s v="PRD-660"/>
    <x v="83"/>
    <d v="2024-04-19T00:00:00"/>
    <d v="2024-04-23T00:00:00"/>
    <x v="0"/>
    <x v="4"/>
    <x v="1"/>
    <x v="4"/>
    <x v="15"/>
    <s v="Accessories"/>
    <s v="Peripherals"/>
    <n v="11"/>
    <n v="350"/>
    <n v="364"/>
    <n v="7.0000000000000007E-2"/>
    <x v="86"/>
    <n v="3850"/>
    <n v="-126.28"/>
    <n v="-3.3912324234904902E-2"/>
  </r>
  <r>
    <s v="ORD-150-1"/>
    <s v="ORD-150"/>
    <s v="USR-661726"/>
    <s v="ST-P-00382"/>
    <s v="PRD-686"/>
    <x v="84"/>
    <d v="2026-01-22T00:00:00"/>
    <d v="2026-01-26T00:00:00"/>
    <x v="0"/>
    <x v="0"/>
    <x v="1"/>
    <x v="3"/>
    <x v="11"/>
    <s v="Electronics"/>
    <s v="Monitors"/>
    <n v="7"/>
    <n v="1630"/>
    <n v="1744.1"/>
    <n v="7.0000000000000007E-2"/>
    <x v="87"/>
    <n v="11410"/>
    <n v="-55.908999999999999"/>
    <n v="-4.9241282283187596E-3"/>
  </r>
  <r>
    <s v="ORD-258-1"/>
    <s v="ORD-258"/>
    <s v="USR-475186"/>
    <s v="ST-P-00460"/>
    <s v="PRD-643"/>
    <x v="85"/>
    <d v="2024-05-09T00:00:00"/>
    <d v="2024-05-13T00:00:00"/>
    <x v="0"/>
    <x v="0"/>
    <x v="1"/>
    <x v="0"/>
    <x v="5"/>
    <s v="Electronics"/>
    <s v="Laptops"/>
    <n v="10"/>
    <n v="3030"/>
    <n v="3211.8"/>
    <n v="0.1"/>
    <x v="88"/>
    <n v="30300"/>
    <n v="-1393.8"/>
    <n v="-4.8218029350104802E-2"/>
  </r>
  <r>
    <s v="ORD-275-2"/>
    <s v="ORD-275"/>
    <s v="USR-380719"/>
    <s v="ST-O-00910"/>
    <s v="PRD-519"/>
    <x v="86"/>
    <d v="2025-09-12T00:00:00"/>
    <d v="2025-09-13T00:00:00"/>
    <x v="1"/>
    <x v="0"/>
    <x v="2"/>
    <x v="2"/>
    <x v="1"/>
    <s v="Accessories"/>
    <s v="Peripherals"/>
    <n v="1"/>
    <n v="210"/>
    <n v="222.6"/>
    <n v="0.04"/>
    <x v="89"/>
    <n v="210"/>
    <n v="3.6960000000000002"/>
    <n v="1.7295597484276701E-2"/>
  </r>
  <r>
    <s v="ORD-318-1"/>
    <s v="ORD-318"/>
    <s v="USR-886821"/>
    <s v="ST-O-00456"/>
    <s v="PRD-284"/>
    <x v="87"/>
    <d v="2025-02-09T00:00:00"/>
    <d v="2025-02-10T00:00:00"/>
    <x v="0"/>
    <x v="2"/>
    <x v="2"/>
    <x v="2"/>
    <x v="7"/>
    <s v="Electronics"/>
    <s v="Storage"/>
    <n v="8"/>
    <n v="650"/>
    <n v="663"/>
    <n v="0.01"/>
    <x v="90"/>
    <n v="5200"/>
    <n v="50.96"/>
    <n v="9.7048920578332396E-3"/>
  </r>
  <r>
    <s v="ORD-205-3"/>
    <s v="ORD-205"/>
    <s v="USR-922514"/>
    <s v="ST-S-00489"/>
    <s v="PRD-778"/>
    <x v="88"/>
    <d v="2024-05-08T00:00:00"/>
    <d v="2024-05-12T00:00:00"/>
    <x v="1"/>
    <x v="3"/>
    <x v="0"/>
    <x v="2"/>
    <x v="19"/>
    <s v="Electronics"/>
    <s v="Laptops"/>
    <n v="4"/>
    <n v="3330"/>
    <n v="3629.7"/>
    <n v="0"/>
    <x v="91"/>
    <n v="13320"/>
    <n v="1198.8"/>
    <n v="8.2568807339449601E-2"/>
  </r>
  <r>
    <s v="ORD-317-1"/>
    <s v="ORD-317"/>
    <s v="USR-772953"/>
    <s v="ST-P-00475"/>
    <s v="PRD-873"/>
    <x v="89"/>
    <d v="2024-07-01T00:00:00"/>
    <d v="2024-07-03T00:00:00"/>
    <x v="0"/>
    <x v="4"/>
    <x v="1"/>
    <x v="1"/>
    <x v="18"/>
    <s v="Electronics"/>
    <s v="Networking"/>
    <n v="11"/>
    <n v="480"/>
    <n v="513.6"/>
    <n v="0.05"/>
    <x v="92"/>
    <n v="5280"/>
    <n v="87.12"/>
    <n v="1.6232169208066902E-2"/>
  </r>
  <r>
    <s v="ORD-304-1"/>
    <s v="ORD-304"/>
    <s v="USR-213666"/>
    <s v="ST-O-00741"/>
    <s v="PRD-660"/>
    <x v="26"/>
    <d v="2025-01-08T00:00:00"/>
    <d v="2025-01-12T00:00:00"/>
    <x v="0"/>
    <x v="1"/>
    <x v="2"/>
    <x v="0"/>
    <x v="15"/>
    <s v="Accessories"/>
    <s v="Peripherals"/>
    <n v="9"/>
    <n v="350"/>
    <n v="364"/>
    <n v="0"/>
    <x v="93"/>
    <n v="3150"/>
    <n v="126"/>
    <n v="3.8461538461538498E-2"/>
  </r>
  <r>
    <s v="ORD-323-1"/>
    <s v="ORD-323"/>
    <s v="USR-581601"/>
    <s v="ST-O-00990"/>
    <s v="PRD-811"/>
    <x v="90"/>
    <d v="2026-05-16T00:00:00"/>
    <d v="2026-05-20T00:00:00"/>
    <x v="0"/>
    <x v="0"/>
    <x v="2"/>
    <x v="0"/>
    <x v="9"/>
    <s v="Electronics"/>
    <s v="Cameras"/>
    <n v="7"/>
    <n v="430"/>
    <n v="455.8"/>
    <n v="0.05"/>
    <x v="94"/>
    <n v="3010"/>
    <n v="21.07"/>
    <n v="6.9513406156901702E-3"/>
  </r>
  <r>
    <s v="ORD-386-1"/>
    <s v="ORD-386"/>
    <s v="USR-217232"/>
    <s v="ST-P-00730"/>
    <s v="PRD-247"/>
    <x v="91"/>
    <d v="2026-04-25T00:00:00"/>
    <d v="2026-04-27T00:00:00"/>
    <x v="0"/>
    <x v="1"/>
    <x v="1"/>
    <x v="4"/>
    <x v="10"/>
    <s v="Furniture"/>
    <s v="Desks"/>
    <n v="12"/>
    <n v="1530"/>
    <n v="1790.1"/>
    <n v="0"/>
    <x v="95"/>
    <n v="18360"/>
    <n v="3121.2"/>
    <n v="0.145299145299145"/>
  </r>
  <r>
    <s v="ORD-195-1"/>
    <s v="ORD-195"/>
    <s v="USR-674636"/>
    <s v="ST-P-00414"/>
    <s v="PRD-519"/>
    <x v="92"/>
    <d v="2025-10-03T00:00:00"/>
    <d v="2025-10-04T00:00:00"/>
    <x v="0"/>
    <x v="3"/>
    <x v="1"/>
    <x v="1"/>
    <x v="1"/>
    <s v="Accessories"/>
    <s v="Peripherals"/>
    <n v="15"/>
    <n v="210"/>
    <n v="222.6"/>
    <n v="0.06"/>
    <x v="96"/>
    <n v="3150"/>
    <n v="-11.34"/>
    <n v="-3.6130068245684502E-3"/>
  </r>
  <r>
    <s v="ORD-182-1"/>
    <s v="ORD-182"/>
    <s v="USR-289316"/>
    <s v="ST-O-00698"/>
    <s v="PRD-709"/>
    <x v="93"/>
    <d v="2024-01-07T00:00:00"/>
    <d v="2024-01-11T00:00:00"/>
    <x v="0"/>
    <x v="4"/>
    <x v="2"/>
    <x v="4"/>
    <x v="8"/>
    <s v="Furniture"/>
    <s v="Lighting"/>
    <n v="10"/>
    <n v="280"/>
    <n v="336"/>
    <n v="0.08"/>
    <x v="97"/>
    <n v="2800"/>
    <n v="291.2"/>
    <n v="9.4202898550724598E-2"/>
  </r>
  <r>
    <s v="ORD-193-1"/>
    <s v="ORD-193"/>
    <s v="USR-849545"/>
    <s v="ST-P-00686"/>
    <s v="PRD-148"/>
    <x v="94"/>
    <d v="2025-12-12T00:00:00"/>
    <d v="2025-12-16T00:00:00"/>
    <x v="0"/>
    <x v="3"/>
    <x v="1"/>
    <x v="4"/>
    <x v="14"/>
    <s v="Accessories"/>
    <s v="Connectivity"/>
    <n v="15"/>
    <n v="170"/>
    <n v="188.7"/>
    <n v="0.02"/>
    <x v="98"/>
    <n v="2550"/>
    <n v="223.89"/>
    <n v="8.0713366427652103E-2"/>
  </r>
  <r>
    <s v="ORD-230-1"/>
    <s v="ORD-230"/>
    <s v="USR-350154"/>
    <s v="ST-P-00891"/>
    <s v="PRD-686"/>
    <x v="95"/>
    <d v="2024-05-25T00:00:00"/>
    <d v="2024-05-29T00:00:00"/>
    <x v="0"/>
    <x v="2"/>
    <x v="1"/>
    <x v="3"/>
    <x v="11"/>
    <s v="Electronics"/>
    <s v="Monitors"/>
    <n v="7"/>
    <n v="1630"/>
    <n v="1744.1"/>
    <n v="0.01"/>
    <x v="99"/>
    <n v="11410"/>
    <n v="676.61300000000006"/>
    <n v="5.5980364391579399E-2"/>
  </r>
  <r>
    <s v="ORD-353-1"/>
    <s v="ORD-353"/>
    <s v="USR-556969"/>
    <s v="ST-P-00478"/>
    <s v="PRD-148"/>
    <x v="96"/>
    <d v="2024-03-24T00:00:00"/>
    <d v="2024-03-28T00:00:00"/>
    <x v="0"/>
    <x v="0"/>
    <x v="1"/>
    <x v="4"/>
    <x v="14"/>
    <s v="Accessories"/>
    <s v="Connectivity"/>
    <n v="8"/>
    <n v="170"/>
    <n v="188.7"/>
    <n v="0.06"/>
    <x v="78"/>
    <n v="1360"/>
    <n v="59.024000000000001"/>
    <n v="4.1594786275637299E-2"/>
  </r>
  <r>
    <s v="ORD-273-1"/>
    <s v="ORD-273"/>
    <s v="USR-871444"/>
    <s v="ST-P-00643"/>
    <s v="PRD-181"/>
    <x v="97"/>
    <d v="2025-02-22T00:00:00"/>
    <d v="2025-02-25T00:00:00"/>
    <x v="0"/>
    <x v="1"/>
    <x v="1"/>
    <x v="1"/>
    <x v="6"/>
    <s v="Accessories"/>
    <s v="Audio"/>
    <n v="12"/>
    <n v="250"/>
    <n v="270"/>
    <n v="0.02"/>
    <x v="100"/>
    <n v="3000"/>
    <n v="175.2"/>
    <n v="5.5177626606198002E-2"/>
  </r>
  <r>
    <s v="ORD-330-1"/>
    <s v="ORD-330"/>
    <s v="USR-213684"/>
    <s v="ST-S-00268"/>
    <s v="PRD-709"/>
    <x v="98"/>
    <d v="2025-10-22T00:00:00"/>
    <d v="2025-10-25T00:00:00"/>
    <x v="0"/>
    <x v="1"/>
    <x v="0"/>
    <x v="3"/>
    <x v="8"/>
    <s v="Furniture"/>
    <s v="Lighting"/>
    <n v="6"/>
    <n v="280"/>
    <n v="336"/>
    <n v="0.09"/>
    <x v="101"/>
    <n v="1680"/>
    <n v="154.56"/>
    <n v="8.42490842490842E-2"/>
  </r>
  <r>
    <s v="ORD-335-1"/>
    <s v="ORD-335"/>
    <s v="USR-448361"/>
    <s v="ST-O-00422"/>
    <s v="PRD-519"/>
    <x v="99"/>
    <d v="2024-11-03T00:00:00"/>
    <d v="2024-11-06T00:00:00"/>
    <x v="1"/>
    <x v="3"/>
    <x v="2"/>
    <x v="0"/>
    <x v="1"/>
    <s v="Accessories"/>
    <s v="Peripherals"/>
    <n v="4"/>
    <n v="210"/>
    <n v="222.6"/>
    <n v="0.06"/>
    <x v="102"/>
    <n v="840"/>
    <n v="-3.024"/>
    <n v="-3.6130068245684502E-3"/>
  </r>
  <r>
    <s v="ORD-256-1"/>
    <s v="ORD-256"/>
    <s v="USR-986502"/>
    <s v="ST-O-00281"/>
    <s v="PRD-811"/>
    <x v="100"/>
    <d v="2024-09-12T00:00:00"/>
    <d v="2024-09-15T00:00:00"/>
    <x v="0"/>
    <x v="3"/>
    <x v="2"/>
    <x v="3"/>
    <x v="9"/>
    <s v="Electronics"/>
    <s v="Cameras"/>
    <n v="8"/>
    <n v="430"/>
    <n v="455.8"/>
    <n v="7.0000000000000007E-2"/>
    <x v="103"/>
    <n v="3440"/>
    <n v="-48.847999999999999"/>
    <n v="-1.44045445323595E-2"/>
  </r>
  <r>
    <s v="ORD-152-2"/>
    <s v="ORD-152"/>
    <s v="USR-980907"/>
    <s v="ST-P-00263"/>
    <s v="PRD-873"/>
    <x v="101"/>
    <d v="2026-05-22T00:00:00"/>
    <d v="2026-05-24T00:00:00"/>
    <x v="0"/>
    <x v="3"/>
    <x v="1"/>
    <x v="1"/>
    <x v="18"/>
    <s v="Electronics"/>
    <s v="Networking"/>
    <n v="10"/>
    <n v="480"/>
    <n v="513.6"/>
    <n v="0.08"/>
    <x v="104"/>
    <n v="4800"/>
    <n v="-74.88"/>
    <n v="-1.5847216578626599E-2"/>
  </r>
  <r>
    <s v="ORD-289-1"/>
    <s v="ORD-289"/>
    <s v="USR-830386"/>
    <s v="ST-O-00460"/>
    <s v="PRD-247"/>
    <x v="102"/>
    <d v="2025-10-14T00:00:00"/>
    <d v="2025-10-18T00:00:00"/>
    <x v="0"/>
    <x v="3"/>
    <x v="2"/>
    <x v="4"/>
    <x v="10"/>
    <s v="Furniture"/>
    <s v="Desks"/>
    <n v="7"/>
    <n v="1530"/>
    <n v="1790.1"/>
    <n v="0.04"/>
    <x v="105"/>
    <n v="10710"/>
    <n v="1319.472"/>
    <n v="0.10968660968661"/>
  </r>
  <r>
    <s v="ORD-381-1"/>
    <s v="ORD-381"/>
    <s v="USR-777447"/>
    <s v="ST-S-00192"/>
    <s v="PRD-778"/>
    <x v="71"/>
    <d v="2024-09-10T00:00:00"/>
    <d v="2024-09-12T00:00:00"/>
    <x v="0"/>
    <x v="0"/>
    <x v="0"/>
    <x v="2"/>
    <x v="19"/>
    <s v="Electronics"/>
    <s v="Laptops"/>
    <n v="5"/>
    <n v="3330"/>
    <n v="3629.7"/>
    <n v="0.03"/>
    <x v="106"/>
    <n v="16650"/>
    <n v="954.04499999999996"/>
    <n v="5.4194646741700603E-2"/>
  </r>
  <r>
    <s v="ORD-350-2"/>
    <s v="ORD-350"/>
    <s v="USR-975199"/>
    <s v="ST-P-00809"/>
    <s v="PRD-643"/>
    <x v="103"/>
    <d v="2024-12-30T00:00:00"/>
    <d v="2025-01-01T00:00:00"/>
    <x v="0"/>
    <x v="2"/>
    <x v="1"/>
    <x v="4"/>
    <x v="5"/>
    <s v="Electronics"/>
    <s v="Laptops"/>
    <n v="5"/>
    <n v="3030"/>
    <n v="3211.8"/>
    <n v="0.04"/>
    <x v="107"/>
    <n v="15150"/>
    <n v="266.64"/>
    <n v="1.7295597484276701E-2"/>
  </r>
  <r>
    <s v="ORD-238-1"/>
    <s v="ORD-238"/>
    <s v="USR-257885"/>
    <s v="ST-O-00292"/>
    <s v="PRD-148"/>
    <x v="104"/>
    <d v="2025-06-19T00:00:00"/>
    <d v="2025-06-21T00:00:00"/>
    <x v="0"/>
    <x v="0"/>
    <x v="2"/>
    <x v="1"/>
    <x v="14"/>
    <s v="Accessories"/>
    <s v="Connectivity"/>
    <n v="10"/>
    <n v="170"/>
    <n v="188.7"/>
    <n v="0.03"/>
    <x v="108"/>
    <n v="1700"/>
    <n v="130.38999999999999"/>
    <n v="7.1236184638246505E-2"/>
  </r>
  <r>
    <s v="ORD-366-2"/>
    <s v="ORD-366"/>
    <s v="USR-184594"/>
    <s v="ST-P-00919"/>
    <s v="PRD-778"/>
    <x v="105"/>
    <d v="2024-06-14T00:00:00"/>
    <d v="2024-06-18T00:00:00"/>
    <x v="0"/>
    <x v="1"/>
    <x v="1"/>
    <x v="2"/>
    <x v="19"/>
    <s v="Electronics"/>
    <s v="Laptops"/>
    <n v="8"/>
    <n v="3330"/>
    <n v="3629.7"/>
    <n v="0.09"/>
    <x v="109"/>
    <n v="26640"/>
    <n v="-215.78399999999999"/>
    <n v="-8.1661457808246806E-3"/>
  </r>
  <r>
    <s v="ORD-238-2"/>
    <s v="ORD-238"/>
    <s v="USR-254919"/>
    <s v="ST-S-00249"/>
    <s v="PRD-686"/>
    <x v="106"/>
    <d v="2025-07-26T00:00:00"/>
    <d v="2025-07-29T00:00:00"/>
    <x v="1"/>
    <x v="4"/>
    <x v="0"/>
    <x v="0"/>
    <x v="11"/>
    <s v="Electronics"/>
    <s v="Monitors"/>
    <n v="2"/>
    <n v="1630"/>
    <n v="1744.1"/>
    <n v="0.05"/>
    <x v="110"/>
    <n v="3260"/>
    <n v="53.79"/>
    <n v="1.6232169208066902E-2"/>
  </r>
  <r>
    <s v="ORD-287-1"/>
    <s v="ORD-287"/>
    <s v="USR-771743"/>
    <s v="ST-O-00819"/>
    <s v="PRD-709"/>
    <x v="107"/>
    <d v="2026-02-09T00:00:00"/>
    <d v="2026-02-12T00:00:00"/>
    <x v="1"/>
    <x v="0"/>
    <x v="2"/>
    <x v="4"/>
    <x v="8"/>
    <s v="Furniture"/>
    <s v="Lighting"/>
    <n v="4"/>
    <n v="280"/>
    <n v="336"/>
    <n v="0.02"/>
    <x v="111"/>
    <n v="1120"/>
    <n v="197.12"/>
    <n v="0.14965986394557801"/>
  </r>
  <r>
    <s v="ORD-238-3"/>
    <s v="ORD-238"/>
    <s v="USR-827093"/>
    <s v="ST-P-00414"/>
    <s v="PRD-778"/>
    <x v="108"/>
    <d v="2026-01-28T00:00:00"/>
    <d v="2026-02-02T00:00:00"/>
    <x v="0"/>
    <x v="2"/>
    <x v="1"/>
    <x v="3"/>
    <x v="19"/>
    <s v="Electronics"/>
    <s v="Laptops"/>
    <n v="14"/>
    <n v="3330"/>
    <n v="3629.7"/>
    <n v="0.01"/>
    <x v="112"/>
    <n v="46620"/>
    <n v="3687.6419999999998"/>
    <n v="7.3301825595403602E-2"/>
  </r>
  <r>
    <s v="ORD-169-1"/>
    <s v="ORD-169"/>
    <s v="USR-404933"/>
    <s v="ST-P-00969"/>
    <s v="PRD-284"/>
    <x v="109"/>
    <d v="2025-08-01T00:00:00"/>
    <d v="2025-08-02T00:00:00"/>
    <x v="0"/>
    <x v="2"/>
    <x v="1"/>
    <x v="2"/>
    <x v="7"/>
    <s v="Electronics"/>
    <s v="Storage"/>
    <n v="6"/>
    <n v="650"/>
    <n v="663"/>
    <n v="0"/>
    <x v="113"/>
    <n v="3900"/>
    <n v="78"/>
    <n v="1.9607843137254902E-2"/>
  </r>
  <r>
    <s v="ORD-331-2"/>
    <s v="ORD-331"/>
    <s v="USR-310894"/>
    <s v="ST-P-00355"/>
    <s v="PRD-873"/>
    <x v="110"/>
    <d v="2024-02-29T00:00:00"/>
    <d v="2024-03-03T00:00:00"/>
    <x v="0"/>
    <x v="0"/>
    <x v="1"/>
    <x v="4"/>
    <x v="18"/>
    <s v="Electronics"/>
    <s v="Networking"/>
    <n v="6"/>
    <n v="480"/>
    <n v="513.6"/>
    <n v="0.04"/>
    <x v="114"/>
    <n v="2880"/>
    <n v="78.335999999999999"/>
    <n v="2.6479750778816199E-2"/>
  </r>
  <r>
    <s v="ORD-239-1"/>
    <s v="ORD-239"/>
    <s v="USR-901286"/>
    <s v="ST-O-00513"/>
    <s v="PRD-181"/>
    <x v="111"/>
    <d v="2026-05-23T00:00:00"/>
    <d v="2026-05-27T00:00:00"/>
    <x v="1"/>
    <x v="2"/>
    <x v="2"/>
    <x v="0"/>
    <x v="6"/>
    <s v="Accessories"/>
    <s v="Audio"/>
    <n v="1"/>
    <n v="250"/>
    <n v="270"/>
    <n v="0"/>
    <x v="115"/>
    <n v="250"/>
    <n v="20"/>
    <n v="7.4074074074074098E-2"/>
  </r>
  <r>
    <s v="ORD-228-2"/>
    <s v="ORD-228"/>
    <s v="USR-257058"/>
    <s v="ST-O-00545"/>
    <s v="PRD-900"/>
    <x v="112"/>
    <d v="2025-03-02T00:00:00"/>
    <d v="2025-03-05T00:00:00"/>
    <x v="0"/>
    <x v="1"/>
    <x v="2"/>
    <x v="1"/>
    <x v="16"/>
    <s v="Furniture"/>
    <s v="Desks"/>
    <n v="6"/>
    <n v="930"/>
    <n v="1078.8"/>
    <n v="0.1"/>
    <x v="116"/>
    <n v="5580"/>
    <n v="245.52"/>
    <n v="4.2145593869731802E-2"/>
  </r>
  <r>
    <s v="ORD-272-1"/>
    <s v="ORD-272"/>
    <s v="USR-327478"/>
    <s v="ST-O-00884"/>
    <s v="PRD-247"/>
    <x v="89"/>
    <d v="2024-07-01T00:00:00"/>
    <d v="2024-07-06T00:00:00"/>
    <x v="0"/>
    <x v="4"/>
    <x v="2"/>
    <x v="2"/>
    <x v="10"/>
    <s v="Furniture"/>
    <s v="Desks"/>
    <n v="7"/>
    <n v="1530"/>
    <n v="1790.1"/>
    <n v="0.02"/>
    <x v="117"/>
    <n v="10710"/>
    <n v="1570.086"/>
    <n v="0.12785627071341399"/>
  </r>
  <r>
    <s v="ORD-276-1"/>
    <s v="ORD-276"/>
    <s v="USR-794849"/>
    <s v="ST-P-00129"/>
    <s v="PRD-686"/>
    <x v="113"/>
    <d v="2025-09-16T00:00:00"/>
    <d v="2025-09-21T00:00:00"/>
    <x v="0"/>
    <x v="0"/>
    <x v="1"/>
    <x v="1"/>
    <x v="11"/>
    <s v="Electronics"/>
    <s v="Monitors"/>
    <n v="8"/>
    <n v="1630"/>
    <n v="1744.1"/>
    <n v="0.02"/>
    <x v="118"/>
    <n v="13040"/>
    <n v="633.74400000000003"/>
    <n v="4.6347510967003597E-2"/>
  </r>
  <r>
    <s v="ORD-156-2"/>
    <s v="ORD-156"/>
    <s v="USR-490778"/>
    <s v="ST-O-00949"/>
    <s v="PRD-284"/>
    <x v="114"/>
    <d v="2024-06-27T00:00:00"/>
    <d v="2024-06-30T00:00:00"/>
    <x v="0"/>
    <x v="1"/>
    <x v="2"/>
    <x v="3"/>
    <x v="7"/>
    <s v="Electronics"/>
    <s v="Storage"/>
    <n v="9"/>
    <n v="650"/>
    <n v="663"/>
    <n v="0.04"/>
    <x v="119"/>
    <n v="5850"/>
    <n v="-121.68"/>
    <n v="-2.1241830065359499E-2"/>
  </r>
  <r>
    <s v="ORD-258-2"/>
    <s v="ORD-258"/>
    <s v="USR-379598"/>
    <s v="ST-P-00423"/>
    <s v="PRD-284"/>
    <x v="115"/>
    <d v="2026-06-07T00:00:00"/>
    <d v="2026-06-12T00:00:00"/>
    <x v="0"/>
    <x v="3"/>
    <x v="1"/>
    <x v="3"/>
    <x v="7"/>
    <s v="Electronics"/>
    <s v="Storage"/>
    <n v="9"/>
    <n v="650"/>
    <n v="663"/>
    <n v="7.0000000000000007E-2"/>
    <x v="120"/>
    <n v="5850"/>
    <n v="-300.69"/>
    <n v="-5.4185114906177501E-2"/>
  </r>
  <r>
    <s v="ORD-364-3"/>
    <s v="ORD-364"/>
    <s v="USR-990350"/>
    <s v="ST-S-00931"/>
    <s v="PRD-873"/>
    <x v="116"/>
    <d v="2025-12-27T00:00:00"/>
    <d v="2025-12-30T00:00:00"/>
    <x v="1"/>
    <x v="3"/>
    <x v="0"/>
    <x v="0"/>
    <x v="18"/>
    <s v="Electronics"/>
    <s v="Networking"/>
    <n v="4"/>
    <n v="480"/>
    <n v="513.6"/>
    <n v="0.08"/>
    <x v="121"/>
    <n v="1920"/>
    <n v="-29.952000000000002"/>
    <n v="-1.5847216578626599E-2"/>
  </r>
  <r>
    <s v="ORD-337-2"/>
    <s v="ORD-337"/>
    <s v="USR-348775"/>
    <s v="ST-P-00438"/>
    <s v="PRD-660"/>
    <x v="14"/>
    <d v="2025-04-03T00:00:00"/>
    <d v="2025-04-06T00:00:00"/>
    <x v="0"/>
    <x v="4"/>
    <x v="1"/>
    <x v="1"/>
    <x v="15"/>
    <s v="Accessories"/>
    <s v="Peripherals"/>
    <n v="9"/>
    <n v="350"/>
    <n v="364"/>
    <n v="0.09"/>
    <x v="122"/>
    <n v="3150"/>
    <n v="-168.84"/>
    <n v="-5.6635672020287402E-2"/>
  </r>
  <r>
    <s v="ORD-314-2"/>
    <s v="ORD-314"/>
    <s v="USR-864704"/>
    <s v="ST-S-00193"/>
    <s v="PRD-592"/>
    <x v="117"/>
    <d v="2024-11-24T00:00:00"/>
    <d v="2024-11-27T00:00:00"/>
    <x v="0"/>
    <x v="1"/>
    <x v="0"/>
    <x v="4"/>
    <x v="12"/>
    <s v="Accessories"/>
    <s v="Connectivity"/>
    <n v="7"/>
    <n v="580"/>
    <n v="667"/>
    <n v="0.03"/>
    <x v="123"/>
    <n v="4060"/>
    <n v="468.93"/>
    <n v="0.10354101299865499"/>
  </r>
  <r>
    <s v="ORD-325-2"/>
    <s v="ORD-325"/>
    <s v="USR-337965"/>
    <s v="ST-O-00427"/>
    <s v="PRD-811"/>
    <x v="3"/>
    <d v="2024-12-03T00:00:00"/>
    <d v="2024-12-06T00:00:00"/>
    <x v="0"/>
    <x v="3"/>
    <x v="2"/>
    <x v="0"/>
    <x v="9"/>
    <s v="Electronics"/>
    <s v="Cameras"/>
    <n v="6"/>
    <n v="430"/>
    <n v="455.8"/>
    <n v="0.08"/>
    <x v="124"/>
    <n v="2580"/>
    <n v="-63.984000000000002"/>
    <n v="-2.5430680885972098E-2"/>
  </r>
  <r>
    <s v="ORD-223-1"/>
    <s v="ORD-223"/>
    <s v="USR-876160"/>
    <s v="ST-O-00695"/>
    <s v="PRD-873"/>
    <x v="114"/>
    <d v="2024-06-26T00:00:00"/>
    <d v="2024-06-28T00:00:00"/>
    <x v="1"/>
    <x v="4"/>
    <x v="2"/>
    <x v="4"/>
    <x v="18"/>
    <s v="Electronics"/>
    <s v="Networking"/>
    <n v="4"/>
    <n v="480"/>
    <n v="513.6"/>
    <n v="7.0000000000000007E-2"/>
    <x v="125"/>
    <n v="1920"/>
    <n v="-9.4079999999999995"/>
    <n v="-4.9241282283187596E-3"/>
  </r>
  <r>
    <s v="ORD-220-1"/>
    <s v="ORD-220"/>
    <s v="USR-336175"/>
    <s v="ST-P-00598"/>
    <s v="PRD-519"/>
    <x v="118"/>
    <d v="2025-04-30T00:00:00"/>
    <d v="2025-05-03T00:00:00"/>
    <x v="0"/>
    <x v="2"/>
    <x v="1"/>
    <x v="4"/>
    <x v="1"/>
    <s v="Accessories"/>
    <s v="Peripherals"/>
    <n v="5"/>
    <n v="210"/>
    <n v="222.6"/>
    <n v="0"/>
    <x v="126"/>
    <n v="1050"/>
    <n v="63"/>
    <n v="5.6603773584905703E-2"/>
  </r>
  <r>
    <s v="ORD-253-3"/>
    <s v="ORD-253"/>
    <s v="USR-168433"/>
    <s v="ST-P-00582"/>
    <s v="PRD-643"/>
    <x v="119"/>
    <d v="2025-04-12T00:00:00"/>
    <d v="2025-04-14T00:00:00"/>
    <x v="0"/>
    <x v="4"/>
    <x v="1"/>
    <x v="0"/>
    <x v="5"/>
    <s v="Electronics"/>
    <s v="Laptops"/>
    <n v="7"/>
    <n v="3030"/>
    <n v="3211.8"/>
    <n v="0.05"/>
    <x v="127"/>
    <n v="21210"/>
    <n v="148.47"/>
    <n v="6.9513406156901702E-3"/>
  </r>
  <r>
    <s v="ORD-384-2"/>
    <s v="ORD-384"/>
    <s v="USR-439450"/>
    <s v="ST-O-00723"/>
    <s v="PRD-517"/>
    <x v="120"/>
    <d v="2026-03-06T00:00:00"/>
    <d v="2026-03-08T00:00:00"/>
    <x v="1"/>
    <x v="4"/>
    <x v="2"/>
    <x v="0"/>
    <x v="3"/>
    <s v="Electronics"/>
    <s v="Monitors"/>
    <n v="3"/>
    <n v="1030"/>
    <n v="1174.2"/>
    <n v="0.1"/>
    <x v="128"/>
    <n v="3090"/>
    <n v="80.34"/>
    <n v="2.5341130604288501E-2"/>
  </r>
  <r>
    <s v="ORD-371-1"/>
    <s v="ORD-371"/>
    <s v="USR-994960"/>
    <s v="ST-P-00267"/>
    <s v="PRD-148"/>
    <x v="121"/>
    <d v="2024-10-24T00:00:00"/>
    <d v="2024-10-27T00:00:00"/>
    <x v="0"/>
    <x v="4"/>
    <x v="1"/>
    <x v="3"/>
    <x v="14"/>
    <s v="Accessories"/>
    <s v="Connectivity"/>
    <n v="14"/>
    <n v="170"/>
    <n v="188.7"/>
    <n v="0.09"/>
    <x v="129"/>
    <n v="2380"/>
    <n v="24.038"/>
    <n v="9.9990099990099994E-3"/>
  </r>
  <r>
    <s v="ORD-243-2"/>
    <s v="ORD-243"/>
    <s v="USR-831490"/>
    <s v="ST-O-00215"/>
    <s v="PRD-686"/>
    <x v="122"/>
    <d v="2025-04-29T00:00:00"/>
    <d v="2025-04-30T00:00:00"/>
    <x v="0"/>
    <x v="4"/>
    <x v="2"/>
    <x v="1"/>
    <x v="11"/>
    <s v="Electronics"/>
    <s v="Monitors"/>
    <n v="5"/>
    <n v="1630"/>
    <n v="1744.1"/>
    <n v="0"/>
    <x v="130"/>
    <n v="8150"/>
    <n v="570.5"/>
    <n v="6.54205607476636E-2"/>
  </r>
  <r>
    <s v="ORD-165-1"/>
    <s v="ORD-165"/>
    <s v="USR-583845"/>
    <s v="ST-P-00367"/>
    <s v="PRD-592"/>
    <x v="123"/>
    <d v="2025-06-21T00:00:00"/>
    <d v="2025-06-25T00:00:00"/>
    <x v="0"/>
    <x v="3"/>
    <x v="1"/>
    <x v="2"/>
    <x v="12"/>
    <s v="Accessories"/>
    <s v="Connectivity"/>
    <n v="8"/>
    <n v="580"/>
    <n v="667"/>
    <n v="0.04"/>
    <x v="131"/>
    <n v="4640"/>
    <n v="482.56"/>
    <n v="9.4202898550724598E-2"/>
  </r>
  <r>
    <s v="ORD-225-1"/>
    <s v="ORD-225"/>
    <s v="USR-905263"/>
    <s v="ST-P-00340"/>
    <s v="PRD-519"/>
    <x v="124"/>
    <d v="2025-11-12T00:00:00"/>
    <d v="2025-11-16T00:00:00"/>
    <x v="0"/>
    <x v="1"/>
    <x v="1"/>
    <x v="1"/>
    <x v="1"/>
    <s v="Accessories"/>
    <s v="Peripherals"/>
    <n v="13"/>
    <n v="210"/>
    <n v="222.6"/>
    <n v="0.1"/>
    <x v="132"/>
    <n v="2730"/>
    <n v="-125.58"/>
    <n v="-4.8218029350104802E-2"/>
  </r>
  <r>
    <s v="ORD-331-3"/>
    <s v="ORD-331"/>
    <s v="USR-930655"/>
    <s v="ST-S-00458"/>
    <s v="PRD-643"/>
    <x v="125"/>
    <d v="2026-02-05T00:00:00"/>
    <d v="2026-02-07T00:00:00"/>
    <x v="0"/>
    <x v="2"/>
    <x v="0"/>
    <x v="1"/>
    <x v="5"/>
    <s v="Electronics"/>
    <s v="Laptops"/>
    <n v="6"/>
    <n v="3030"/>
    <n v="3211.8"/>
    <n v="0.01"/>
    <x v="133"/>
    <n v="18180"/>
    <n v="898.09199999999998"/>
    <n v="4.7074518772632003E-2"/>
  </r>
  <r>
    <s v="ORD-209-1"/>
    <s v="ORD-209"/>
    <s v="USR-845848"/>
    <s v="ST-O-00685"/>
    <s v="PRD-181"/>
    <x v="126"/>
    <d v="2024-09-22T00:00:00"/>
    <d v="2024-09-26T00:00:00"/>
    <x v="0"/>
    <x v="0"/>
    <x v="2"/>
    <x v="3"/>
    <x v="6"/>
    <s v="Accessories"/>
    <s v="Audio"/>
    <n v="7"/>
    <n v="250"/>
    <n v="270"/>
    <n v="0.06"/>
    <x v="134"/>
    <n v="1750"/>
    <n v="26.6"/>
    <n v="1.49724192277384E-2"/>
  </r>
  <r>
    <s v="ORD-154-1"/>
    <s v="ORD-154"/>
    <s v="USR-644074"/>
    <s v="ST-P-00408"/>
    <s v="PRD-709"/>
    <x v="127"/>
    <d v="2026-06-02T00:00:00"/>
    <d v="2026-06-04T00:00:00"/>
    <x v="0"/>
    <x v="2"/>
    <x v="1"/>
    <x v="1"/>
    <x v="8"/>
    <s v="Furniture"/>
    <s v="Lighting"/>
    <n v="6"/>
    <n v="280"/>
    <n v="336"/>
    <n v="0.04"/>
    <x v="135"/>
    <n v="1680"/>
    <n v="255.36"/>
    <n v="0.131944444444444"/>
  </r>
  <r>
    <s v="ORD-331-4"/>
    <s v="ORD-331"/>
    <s v="USR-431534"/>
    <s v="ST-P-00562"/>
    <s v="PRD-660"/>
    <x v="128"/>
    <d v="2025-06-27T00:00:00"/>
    <d v="2025-06-30T00:00:00"/>
    <x v="0"/>
    <x v="1"/>
    <x v="1"/>
    <x v="0"/>
    <x v="15"/>
    <s v="Accessories"/>
    <s v="Peripherals"/>
    <n v="7"/>
    <n v="350"/>
    <n v="364"/>
    <n v="0.06"/>
    <x v="136"/>
    <n v="2450"/>
    <n v="-54.88"/>
    <n v="-2.2913256955810202E-2"/>
  </r>
  <r>
    <s v="ORD-318-2"/>
    <s v="ORD-318"/>
    <s v="USR-952055"/>
    <s v="ST-O-00662"/>
    <s v="PRD-247"/>
    <x v="129"/>
    <d v="2026-03-05T00:00:00"/>
    <d v="2026-03-08T00:00:00"/>
    <x v="1"/>
    <x v="3"/>
    <x v="2"/>
    <x v="0"/>
    <x v="10"/>
    <s v="Furniture"/>
    <s v="Desks"/>
    <n v="1"/>
    <n v="1530"/>
    <n v="1790.1"/>
    <n v="0.04"/>
    <x v="137"/>
    <n v="1530"/>
    <n v="188.49600000000001"/>
    <n v="0.10968660968661"/>
  </r>
  <r>
    <s v="ORD-343-2"/>
    <s v="ORD-343"/>
    <s v="USR-267219"/>
    <s v="ST-P-00952"/>
    <s v="PRD-643"/>
    <x v="130"/>
    <d v="2024-02-25T00:00:00"/>
    <d v="2024-02-29T00:00:00"/>
    <x v="0"/>
    <x v="4"/>
    <x v="1"/>
    <x v="1"/>
    <x v="5"/>
    <s v="Electronics"/>
    <s v="Laptops"/>
    <n v="6"/>
    <n v="3030"/>
    <n v="3211.8"/>
    <n v="0.09"/>
    <x v="138"/>
    <n v="18180"/>
    <n v="-643.572"/>
    <n v="-3.66991499066971E-2"/>
  </r>
  <r>
    <s v="ORD-358-3"/>
    <s v="ORD-358"/>
    <s v="USR-678828"/>
    <s v="ST-O-00839"/>
    <s v="PRD-273"/>
    <x v="131"/>
    <d v="2025-01-10T00:00:00"/>
    <d v="2025-01-12T00:00:00"/>
    <x v="0"/>
    <x v="4"/>
    <x v="2"/>
    <x v="4"/>
    <x v="4"/>
    <s v="Furniture"/>
    <s v="Chairs"/>
    <n v="7"/>
    <n v="1080"/>
    <n v="1112.4000000000001"/>
    <n v="0"/>
    <x v="139"/>
    <n v="7560"/>
    <n v="226.8"/>
    <n v="2.9126213592233E-2"/>
  </r>
  <r>
    <s v="ORD-159-1"/>
    <s v="ORD-159"/>
    <s v="USR-600467"/>
    <s v="ST-S-00475"/>
    <s v="PRD-247"/>
    <x v="132"/>
    <d v="2026-05-04T00:00:00"/>
    <d v="2026-05-06T00:00:00"/>
    <x v="0"/>
    <x v="3"/>
    <x v="0"/>
    <x v="2"/>
    <x v="10"/>
    <s v="Furniture"/>
    <s v="Desks"/>
    <n v="7"/>
    <n v="1530"/>
    <n v="1790.1"/>
    <n v="0.06"/>
    <x v="140"/>
    <n v="10710"/>
    <n v="1068.8579999999999"/>
    <n v="9.0743771594835404E-2"/>
  </r>
  <r>
    <s v="ORD-248-2"/>
    <s v="ORD-248"/>
    <s v="USR-761218"/>
    <s v="ST-S-00490"/>
    <s v="PRD-112"/>
    <x v="98"/>
    <d v="2025-10-23T00:00:00"/>
    <d v="2025-10-27T00:00:00"/>
    <x v="0"/>
    <x v="3"/>
    <x v="0"/>
    <x v="0"/>
    <x v="17"/>
    <s v="Electronics"/>
    <s v="Laptops"/>
    <n v="8"/>
    <n v="3930"/>
    <n v="4362.3"/>
    <n v="7.0000000000000007E-2"/>
    <x v="141"/>
    <n v="31440"/>
    <n v="1015.5119999999999"/>
    <n v="3.1289353869999002E-2"/>
  </r>
  <r>
    <s v="ORD-220-2"/>
    <s v="ORD-220"/>
    <s v="USR-835200"/>
    <s v="ST-O-00256"/>
    <s v="PRD-284"/>
    <x v="133"/>
    <d v="2025-09-27T00:00:00"/>
    <d v="2025-09-28T00:00:00"/>
    <x v="0"/>
    <x v="4"/>
    <x v="2"/>
    <x v="3"/>
    <x v="7"/>
    <s v="Electronics"/>
    <s v="Storage"/>
    <n v="10"/>
    <n v="650"/>
    <n v="663"/>
    <n v="0.09"/>
    <x v="142"/>
    <n v="6500"/>
    <n v="-466.7"/>
    <n v="-7.7354018530489094E-2"/>
  </r>
  <r>
    <s v="ORD-165-2"/>
    <s v="ORD-165"/>
    <s v="USR-169691"/>
    <s v="ST-O-00534"/>
    <s v="PRD-517"/>
    <x v="134"/>
    <d v="2024-05-21T00:00:00"/>
    <d v="2024-05-23T00:00:00"/>
    <x v="1"/>
    <x v="1"/>
    <x v="2"/>
    <x v="3"/>
    <x v="3"/>
    <s v="Electronics"/>
    <s v="Monitors"/>
    <n v="4"/>
    <n v="1030"/>
    <n v="1174.2"/>
    <n v="0.09"/>
    <x v="143"/>
    <n v="4120"/>
    <n v="154.08799999999999"/>
    <n v="3.6051667630615E-2"/>
  </r>
  <r>
    <s v="ORD-378-1"/>
    <s v="ORD-378"/>
    <s v="USR-677948"/>
    <s v="ST-O-00303"/>
    <s v="PRD-284"/>
    <x v="135"/>
    <d v="2025-07-24T00:00:00"/>
    <d v="2025-07-29T00:00:00"/>
    <x v="1"/>
    <x v="0"/>
    <x v="2"/>
    <x v="1"/>
    <x v="7"/>
    <s v="Electronics"/>
    <s v="Storage"/>
    <n v="4"/>
    <n v="650"/>
    <n v="663"/>
    <n v="0.02"/>
    <x v="144"/>
    <n v="2600"/>
    <n v="-1.04"/>
    <n v="-4.0016006402561E-4"/>
  </r>
  <r>
    <s v="ORD-196-1"/>
    <s v="ORD-196"/>
    <s v="USR-496074"/>
    <s v="ST-P-00460"/>
    <s v="PRD-811"/>
    <x v="136"/>
    <d v="2024-09-24T00:00:00"/>
    <d v="2024-09-26T00:00:00"/>
    <x v="0"/>
    <x v="2"/>
    <x v="1"/>
    <x v="4"/>
    <x v="9"/>
    <s v="Electronics"/>
    <s v="Cameras"/>
    <n v="7"/>
    <n v="430"/>
    <n v="455.8"/>
    <n v="0.1"/>
    <x v="145"/>
    <n v="3010"/>
    <n v="-138.46"/>
    <n v="-4.8218029350104802E-2"/>
  </r>
  <r>
    <s v="ORD-313-1"/>
    <s v="ORD-313"/>
    <s v="USR-276457"/>
    <s v="ST-S-00282"/>
    <s v="PRD-643"/>
    <x v="137"/>
    <d v="2025-02-18T00:00:00"/>
    <d v="2025-02-21T00:00:00"/>
    <x v="1"/>
    <x v="2"/>
    <x v="0"/>
    <x v="3"/>
    <x v="5"/>
    <s v="Electronics"/>
    <s v="Laptops"/>
    <n v="2"/>
    <n v="3030"/>
    <n v="3211.8"/>
    <n v="0.1"/>
    <x v="146"/>
    <n v="6060"/>
    <n v="-278.76"/>
    <n v="-4.8218029350104802E-2"/>
  </r>
  <r>
    <s v="ORD-193-2"/>
    <s v="ORD-193"/>
    <s v="USR-757163"/>
    <s v="ST-P-00193"/>
    <s v="PRD-361"/>
    <x v="138"/>
    <d v="2026-02-25T00:00:00"/>
    <d v="2026-02-27T00:00:00"/>
    <x v="0"/>
    <x v="1"/>
    <x v="1"/>
    <x v="1"/>
    <x v="13"/>
    <s v="Accessories"/>
    <s v="Audio"/>
    <n v="10"/>
    <n v="390"/>
    <n v="468"/>
    <n v="0.09"/>
    <x v="147"/>
    <n v="3900"/>
    <n v="358.8"/>
    <n v="8.42490842490842E-2"/>
  </r>
  <r>
    <s v="ORD-160-2"/>
    <s v="ORD-160"/>
    <s v="USR-848113"/>
    <s v="ST-O-00756"/>
    <s v="PRD-873"/>
    <x v="139"/>
    <d v="2024-06-02T00:00:00"/>
    <d v="2024-06-04T00:00:00"/>
    <x v="0"/>
    <x v="2"/>
    <x v="2"/>
    <x v="3"/>
    <x v="18"/>
    <s v="Electronics"/>
    <s v="Networking"/>
    <n v="10"/>
    <n v="480"/>
    <n v="513.6"/>
    <n v="0.01"/>
    <x v="148"/>
    <n v="4800"/>
    <n v="284.64"/>
    <n v="5.5980364391579301E-2"/>
  </r>
  <r>
    <s v="ORD-305-2"/>
    <s v="ORD-305"/>
    <s v="USR-162054"/>
    <s v="ST-S-00187"/>
    <s v="PRD-148"/>
    <x v="140"/>
    <d v="2025-02-28T00:00:00"/>
    <d v="2025-03-02T00:00:00"/>
    <x v="1"/>
    <x v="2"/>
    <x v="0"/>
    <x v="3"/>
    <x v="14"/>
    <s v="Accessories"/>
    <s v="Connectivity"/>
    <n v="2"/>
    <n v="170"/>
    <n v="188.7"/>
    <n v="0.08"/>
    <x v="149"/>
    <n v="340"/>
    <n v="7.2080000000000002"/>
    <n v="2.0759890325107701E-2"/>
  </r>
  <r>
    <s v="ORD-178-3"/>
    <s v="ORD-178"/>
    <s v="USR-237037"/>
    <s v="ST-O-00509"/>
    <s v="PRD-900"/>
    <x v="141"/>
    <d v="2024-01-31T00:00:00"/>
    <d v="2024-02-04T00:00:00"/>
    <x v="0"/>
    <x v="0"/>
    <x v="2"/>
    <x v="3"/>
    <x v="16"/>
    <s v="Furniture"/>
    <s v="Desks"/>
    <n v="6"/>
    <n v="930"/>
    <n v="1078.8"/>
    <n v="0"/>
    <x v="150"/>
    <n v="5580"/>
    <n v="892.8"/>
    <n v="0.13793103448275901"/>
  </r>
  <r>
    <s v="ORD-260-1"/>
    <s v="ORD-260"/>
    <s v="USR-392695"/>
    <s v="ST-P-00677"/>
    <s v="PRD-900"/>
    <x v="142"/>
    <d v="2025-10-02T00:00:00"/>
    <d v="2025-10-03T00:00:00"/>
    <x v="0"/>
    <x v="0"/>
    <x v="1"/>
    <x v="3"/>
    <x v="16"/>
    <s v="Furniture"/>
    <s v="Desks"/>
    <n v="6"/>
    <n v="930"/>
    <n v="1078.8"/>
    <n v="0.01"/>
    <x v="151"/>
    <n v="5580"/>
    <n v="828.072"/>
    <n v="0.12922326715430199"/>
  </r>
  <r>
    <s v="ORD-348-1"/>
    <s v="ORD-348"/>
    <s v="USR-895231"/>
    <s v="ST-S-00125"/>
    <s v="PRD-519"/>
    <x v="143"/>
    <d v="2025-08-26T00:00:00"/>
    <d v="2025-08-29T00:00:00"/>
    <x v="1"/>
    <x v="0"/>
    <x v="0"/>
    <x v="3"/>
    <x v="1"/>
    <s v="Accessories"/>
    <s v="Peripherals"/>
    <n v="2"/>
    <n v="210"/>
    <n v="222.6"/>
    <n v="0.03"/>
    <x v="152"/>
    <n v="420"/>
    <n v="11.843999999999999"/>
    <n v="2.74265707060883E-2"/>
  </r>
  <r>
    <s v="ORD-179-1"/>
    <s v="ORD-179"/>
    <s v="USR-618021"/>
    <s v="ST-P-00161"/>
    <s v="PRD-517"/>
    <x v="144"/>
    <d v="2025-12-14T00:00:00"/>
    <d v="2025-12-15T00:00:00"/>
    <x v="0"/>
    <x v="1"/>
    <x v="1"/>
    <x v="2"/>
    <x v="3"/>
    <s v="Electronics"/>
    <s v="Monitors"/>
    <n v="11"/>
    <n v="1030"/>
    <n v="1174.2"/>
    <n v="0.01"/>
    <x v="153"/>
    <n v="11330"/>
    <n v="1457.038"/>
    <n v="0.113946482367535"/>
  </r>
  <r>
    <s v="ORD-188-2"/>
    <s v="ORD-188"/>
    <s v="USR-161574"/>
    <s v="ST-O-00598"/>
    <s v="PRD-873"/>
    <x v="145"/>
    <d v="2024-03-04T00:00:00"/>
    <d v="2024-03-07T00:00:00"/>
    <x v="0"/>
    <x v="0"/>
    <x v="2"/>
    <x v="4"/>
    <x v="18"/>
    <s v="Electronics"/>
    <s v="Networking"/>
    <n v="7"/>
    <n v="480"/>
    <n v="513.6"/>
    <n v="0.04"/>
    <x v="154"/>
    <n v="3360"/>
    <n v="91.391999999999996"/>
    <n v="2.6479750778816199E-2"/>
  </r>
  <r>
    <s v="ORD-224-2"/>
    <s v="ORD-224"/>
    <s v="USR-694982"/>
    <s v="ST-P-00897"/>
    <s v="PRD-873"/>
    <x v="146"/>
    <d v="2024-01-31T00:00:00"/>
    <d v="2024-02-03T00:00:00"/>
    <x v="0"/>
    <x v="4"/>
    <x v="1"/>
    <x v="2"/>
    <x v="18"/>
    <s v="Electronics"/>
    <s v="Networking"/>
    <n v="15"/>
    <n v="480"/>
    <n v="513.6"/>
    <n v="0.09"/>
    <x v="155"/>
    <n v="7200"/>
    <n v="-189.36"/>
    <n v="-2.7010372804765301E-2"/>
  </r>
  <r>
    <s v="ORD-276-2"/>
    <s v="ORD-276"/>
    <s v="USR-470221"/>
    <s v="ST-P-00661"/>
    <s v="PRD-181"/>
    <x v="147"/>
    <d v="2024-01-17T00:00:00"/>
    <d v="2024-01-18T00:00:00"/>
    <x v="0"/>
    <x v="4"/>
    <x v="1"/>
    <x v="4"/>
    <x v="6"/>
    <s v="Accessories"/>
    <s v="Audio"/>
    <n v="14"/>
    <n v="250"/>
    <n v="270"/>
    <n v="0.04"/>
    <x v="156"/>
    <n v="3500"/>
    <n v="128.80000000000001"/>
    <n v="3.5493827160493797E-2"/>
  </r>
  <r>
    <s v="ORD-188-3"/>
    <s v="ORD-188"/>
    <s v="USR-460939"/>
    <s v="ST-S-00152"/>
    <s v="PRD-517"/>
    <x v="148"/>
    <d v="2025-10-11T00:00:00"/>
    <d v="2025-10-15T00:00:00"/>
    <x v="0"/>
    <x v="2"/>
    <x v="0"/>
    <x v="0"/>
    <x v="3"/>
    <s v="Electronics"/>
    <s v="Monitors"/>
    <n v="8"/>
    <n v="1030"/>
    <n v="1174.2"/>
    <n v="0.04"/>
    <x v="28"/>
    <n v="8240"/>
    <n v="777.85599999999999"/>
    <n v="8.6257309941520505E-2"/>
  </r>
  <r>
    <s v="ORD-321-2"/>
    <s v="ORD-321"/>
    <s v="USR-900674"/>
    <s v="ST-O-00392"/>
    <s v="PRD-148"/>
    <x v="149"/>
    <d v="2025-12-31T00:00:00"/>
    <d v="2026-01-02T00:00:00"/>
    <x v="0"/>
    <x v="2"/>
    <x v="2"/>
    <x v="1"/>
    <x v="14"/>
    <s v="Accessories"/>
    <s v="Connectivity"/>
    <n v="8"/>
    <n v="170"/>
    <n v="188.7"/>
    <n v="0.02"/>
    <x v="157"/>
    <n v="1360"/>
    <n v="119.408"/>
    <n v="8.0713366427652103E-2"/>
  </r>
  <r>
    <s v="ORD-320-1"/>
    <s v="ORD-320"/>
    <s v="USR-658546"/>
    <s v="ST-P-00865"/>
    <s v="PRD-112"/>
    <x v="65"/>
    <d v="2024-06-11T00:00:00"/>
    <d v="2024-06-13T00:00:00"/>
    <x v="0"/>
    <x v="4"/>
    <x v="1"/>
    <x v="1"/>
    <x v="17"/>
    <s v="Electronics"/>
    <s v="Laptops"/>
    <n v="15"/>
    <n v="3930"/>
    <n v="4362.3"/>
    <n v="0.08"/>
    <x v="158"/>
    <n v="58950"/>
    <n v="1249.74"/>
    <n v="2.0759890325107701E-2"/>
  </r>
  <r>
    <s v="ORD-386-2"/>
    <s v="ORD-386"/>
    <s v="USR-370625"/>
    <s v="ST-P-00619"/>
    <s v="PRD-900"/>
    <x v="150"/>
    <d v="2025-12-24T00:00:00"/>
    <d v="2025-12-27T00:00:00"/>
    <x v="0"/>
    <x v="2"/>
    <x v="1"/>
    <x v="2"/>
    <x v="16"/>
    <s v="Furniture"/>
    <s v="Desks"/>
    <n v="7"/>
    <n v="930"/>
    <n v="1078.8"/>
    <n v="0"/>
    <x v="159"/>
    <n v="6510"/>
    <n v="1041.5999999999999"/>
    <n v="0.13793103448275901"/>
  </r>
  <r>
    <s v="ORD-231-3"/>
    <s v="ORD-231"/>
    <s v="USR-953869"/>
    <s v="ST-O-00247"/>
    <s v="PRD-273"/>
    <x v="151"/>
    <d v="2024-04-02T00:00:00"/>
    <d v="2024-04-06T00:00:00"/>
    <x v="0"/>
    <x v="3"/>
    <x v="2"/>
    <x v="0"/>
    <x v="4"/>
    <s v="Furniture"/>
    <s v="Chairs"/>
    <n v="6"/>
    <n v="1080"/>
    <n v="1112.4000000000001"/>
    <n v="0.09"/>
    <x v="160"/>
    <n v="6480"/>
    <n v="-406.29599999999999"/>
    <n v="-6.6894270777765899E-2"/>
  </r>
  <r>
    <s v="ORD-377-1"/>
    <s v="ORD-377"/>
    <s v="USR-777187"/>
    <s v="ST-S-00724"/>
    <s v="PRD-112"/>
    <x v="152"/>
    <d v="2025-12-02T00:00:00"/>
    <d v="2025-12-07T00:00:00"/>
    <x v="1"/>
    <x v="0"/>
    <x v="0"/>
    <x v="0"/>
    <x v="17"/>
    <s v="Electronics"/>
    <s v="Laptops"/>
    <n v="2"/>
    <n v="3930"/>
    <n v="4362.3"/>
    <n v="7.0000000000000007E-2"/>
    <x v="161"/>
    <n v="7860"/>
    <n v="253.87799999999999"/>
    <n v="3.1289353869999002E-2"/>
  </r>
  <r>
    <s v="ORD-275-3"/>
    <s v="ORD-275"/>
    <s v="USR-948077"/>
    <s v="ST-S-00465"/>
    <s v="PRD-597"/>
    <x v="39"/>
    <d v="2024-05-12T00:00:00"/>
    <d v="2024-05-14T00:00:00"/>
    <x v="1"/>
    <x v="0"/>
    <x v="0"/>
    <x v="0"/>
    <x v="0"/>
    <s v="Furniture"/>
    <s v="Chairs"/>
    <n v="4"/>
    <n v="730"/>
    <n v="824.9"/>
    <n v="0.1"/>
    <x v="162"/>
    <n v="2920"/>
    <n v="49.64"/>
    <n v="1.6715830875122899E-2"/>
  </r>
  <r>
    <s v="ORD-213-2"/>
    <s v="ORD-213"/>
    <s v="USR-614911"/>
    <s v="ST-S-00409"/>
    <s v="PRD-709"/>
    <x v="153"/>
    <d v="2025-02-20T00:00:00"/>
    <d v="2025-02-25T00:00:00"/>
    <x v="0"/>
    <x v="0"/>
    <x v="0"/>
    <x v="1"/>
    <x v="8"/>
    <s v="Furniture"/>
    <s v="Lighting"/>
    <n v="7"/>
    <n v="280"/>
    <n v="336"/>
    <n v="0.01"/>
    <x v="163"/>
    <n v="1960"/>
    <n v="368.48"/>
    <n v="0.158249158249158"/>
  </r>
  <r>
    <s v="ORD-224-3"/>
    <s v="ORD-224"/>
    <s v="USR-977926"/>
    <s v="ST-O-00536"/>
    <s v="PRD-643"/>
    <x v="154"/>
    <d v="2024-07-08T00:00:00"/>
    <d v="2024-07-10T00:00:00"/>
    <x v="0"/>
    <x v="3"/>
    <x v="2"/>
    <x v="1"/>
    <x v="5"/>
    <s v="Electronics"/>
    <s v="Laptops"/>
    <n v="7"/>
    <n v="3030"/>
    <n v="3211.8"/>
    <n v="0.02"/>
    <x v="164"/>
    <n v="21210"/>
    <n v="822.94799999999998"/>
    <n v="3.73507893723527E-2"/>
  </r>
  <r>
    <s v="ORD-319-1"/>
    <s v="ORD-319"/>
    <s v="USR-591204"/>
    <s v="ST-P-00798"/>
    <s v="PRD-778"/>
    <x v="155"/>
    <d v="2025-06-08T00:00:00"/>
    <d v="2025-06-10T00:00:00"/>
    <x v="0"/>
    <x v="2"/>
    <x v="1"/>
    <x v="2"/>
    <x v="19"/>
    <s v="Electronics"/>
    <s v="Laptops"/>
    <n v="11"/>
    <n v="3330"/>
    <n v="3629.7"/>
    <n v="0.01"/>
    <x v="165"/>
    <n v="36630"/>
    <n v="2897.433"/>
    <n v="7.3301825595403602E-2"/>
  </r>
  <r>
    <s v="ORD-375-2"/>
    <s v="ORD-375"/>
    <s v="USR-211344"/>
    <s v="ST-S-00483"/>
    <s v="PRD-247"/>
    <x v="156"/>
    <d v="2024-12-12T00:00:00"/>
    <d v="2024-12-15T00:00:00"/>
    <x v="1"/>
    <x v="1"/>
    <x v="0"/>
    <x v="1"/>
    <x v="10"/>
    <s v="Furniture"/>
    <s v="Desks"/>
    <n v="2"/>
    <n v="1530"/>
    <n v="1790.1"/>
    <n v="0.06"/>
    <x v="166"/>
    <n v="3060"/>
    <n v="305.38799999999998"/>
    <n v="9.0743771594835404E-2"/>
  </r>
  <r>
    <s v="ORD-373-1"/>
    <s v="ORD-373"/>
    <s v="USR-442525"/>
    <s v="ST-S-00635"/>
    <s v="PRD-117"/>
    <x v="99"/>
    <d v="2024-11-04T00:00:00"/>
    <d v="2024-11-07T00:00:00"/>
    <x v="0"/>
    <x v="0"/>
    <x v="0"/>
    <x v="0"/>
    <x v="2"/>
    <s v="Electronics"/>
    <s v="Printers"/>
    <n v="5"/>
    <n v="1230"/>
    <n v="1328.4"/>
    <n v="0.05"/>
    <x v="167"/>
    <n v="6150"/>
    <n v="159.9"/>
    <n v="2.5341130604288501E-2"/>
  </r>
  <r>
    <s v="ORD-370-2"/>
    <s v="ORD-370"/>
    <s v="USR-626812"/>
    <s v="ST-P-00524"/>
    <s v="PRD-811"/>
    <x v="146"/>
    <d v="2024-01-31T00:00:00"/>
    <d v="2024-02-03T00:00:00"/>
    <x v="0"/>
    <x v="1"/>
    <x v="1"/>
    <x v="0"/>
    <x v="9"/>
    <s v="Electronics"/>
    <s v="Cameras"/>
    <n v="9"/>
    <n v="430"/>
    <n v="455.8"/>
    <n v="0.04"/>
    <x v="168"/>
    <n v="3870"/>
    <n v="68.111999999999995"/>
    <n v="1.7295597484276701E-2"/>
  </r>
  <r>
    <s v="ORD-347-1"/>
    <s v="ORD-347"/>
    <s v="USR-507066"/>
    <s v="ST-P-00146"/>
    <s v="PRD-778"/>
    <x v="157"/>
    <d v="2026-03-05T00:00:00"/>
    <d v="2026-03-07T00:00:00"/>
    <x v="0"/>
    <x v="0"/>
    <x v="1"/>
    <x v="2"/>
    <x v="19"/>
    <s v="Electronics"/>
    <s v="Laptops"/>
    <n v="9"/>
    <n v="3330"/>
    <n v="3629.7"/>
    <n v="0.02"/>
    <x v="169"/>
    <n v="29970"/>
    <n v="2043.954"/>
    <n v="6.3845721774948502E-2"/>
  </r>
  <r>
    <s v="ORD-318-3"/>
    <s v="ORD-318"/>
    <s v="USR-179656"/>
    <s v="ST-S-00968"/>
    <s v="PRD-112"/>
    <x v="158"/>
    <d v="2026-04-01T00:00:00"/>
    <d v="2026-04-06T00:00:00"/>
    <x v="1"/>
    <x v="1"/>
    <x v="0"/>
    <x v="4"/>
    <x v="17"/>
    <s v="Electronics"/>
    <s v="Laptops"/>
    <n v="2"/>
    <n v="3930"/>
    <n v="4362.3"/>
    <n v="0"/>
    <x v="170"/>
    <n v="7860"/>
    <n v="864.6"/>
    <n v="9.90990990990991E-2"/>
  </r>
  <r>
    <s v="ORD-326-1"/>
    <s v="ORD-326"/>
    <s v="USR-831580"/>
    <s v="ST-S-00148"/>
    <s v="PRD-778"/>
    <x v="159"/>
    <d v="2025-01-04T00:00:00"/>
    <d v="2025-01-07T00:00:00"/>
    <x v="0"/>
    <x v="1"/>
    <x v="0"/>
    <x v="1"/>
    <x v="19"/>
    <s v="Electronics"/>
    <s v="Laptops"/>
    <n v="6"/>
    <n v="3330"/>
    <n v="3629.7"/>
    <n v="0.03"/>
    <x v="171"/>
    <n v="19980"/>
    <n v="1144.854"/>
    <n v="5.4194646741700603E-2"/>
  </r>
  <r>
    <s v="ORD-378-2"/>
    <s v="ORD-378"/>
    <s v="USR-625565"/>
    <s v="ST-O-00981"/>
    <s v="PRD-778"/>
    <x v="160"/>
    <d v="2024-09-04T00:00:00"/>
    <d v="2024-09-08T00:00:00"/>
    <x v="0"/>
    <x v="4"/>
    <x v="2"/>
    <x v="1"/>
    <x v="19"/>
    <s v="Electronics"/>
    <s v="Laptops"/>
    <n v="7"/>
    <n v="3330"/>
    <n v="3629.7"/>
    <n v="0.09"/>
    <x v="172"/>
    <n v="23310"/>
    <n v="-188.81100000000001"/>
    <n v="-8.1661457808246806E-3"/>
  </r>
  <r>
    <s v="ORD-309-1"/>
    <s v="ORD-309"/>
    <s v="USR-717144"/>
    <s v="ST-S-00387"/>
    <s v="PRD-181"/>
    <x v="161"/>
    <d v="2026-02-17T00:00:00"/>
    <d v="2026-02-20T00:00:00"/>
    <x v="1"/>
    <x v="1"/>
    <x v="0"/>
    <x v="4"/>
    <x v="6"/>
    <s v="Accessories"/>
    <s v="Audio"/>
    <n v="3"/>
    <n v="250"/>
    <n v="270"/>
    <n v="7.0000000000000007E-2"/>
    <x v="173"/>
    <n v="750"/>
    <n v="3.3"/>
    <n v="4.3807248108323404E-3"/>
  </r>
  <r>
    <s v="ORD-343-3"/>
    <s v="ORD-343"/>
    <s v="USR-720808"/>
    <s v="ST-P-00473"/>
    <s v="PRD-643"/>
    <x v="162"/>
    <d v="2026-06-18T00:00:00"/>
    <d v="2026-06-23T00:00:00"/>
    <x v="0"/>
    <x v="3"/>
    <x v="1"/>
    <x v="2"/>
    <x v="5"/>
    <s v="Electronics"/>
    <s v="Laptops"/>
    <n v="14"/>
    <n v="3030"/>
    <n v="3211.8"/>
    <n v="0.04"/>
    <x v="174"/>
    <n v="42420"/>
    <n v="746.59199999999998"/>
    <n v="1.7295597484276701E-2"/>
  </r>
  <r>
    <s v="ORD-202-2"/>
    <s v="ORD-202"/>
    <s v="USR-149115"/>
    <s v="ST-S-00762"/>
    <s v="PRD-811"/>
    <x v="163"/>
    <d v="2026-03-12T00:00:00"/>
    <d v="2026-03-15T00:00:00"/>
    <x v="0"/>
    <x v="0"/>
    <x v="0"/>
    <x v="4"/>
    <x v="9"/>
    <s v="Electronics"/>
    <s v="Cameras"/>
    <n v="10"/>
    <n v="430"/>
    <n v="455.8"/>
    <n v="0.01"/>
    <x v="175"/>
    <n v="4300"/>
    <n v="212.42"/>
    <n v="4.7074518772632003E-2"/>
  </r>
  <r>
    <s v="ORD-191-1"/>
    <s v="ORD-191"/>
    <s v="USR-353231"/>
    <s v="ST-P-00901"/>
    <s v="PRD-597"/>
    <x v="164"/>
    <d v="2024-01-06T00:00:00"/>
    <d v="2024-01-07T00:00:00"/>
    <x v="0"/>
    <x v="2"/>
    <x v="1"/>
    <x v="4"/>
    <x v="0"/>
    <s v="Furniture"/>
    <s v="Chairs"/>
    <n v="6"/>
    <n v="730"/>
    <n v="824.9"/>
    <n v="0.1"/>
    <x v="176"/>
    <n v="4380"/>
    <n v="74.459999999999994"/>
    <n v="1.6715830875122899E-2"/>
  </r>
  <r>
    <s v="ORD-322-1"/>
    <s v="ORD-322"/>
    <s v="USR-433878"/>
    <s v="ST-S-00607"/>
    <s v="PRD-181"/>
    <x v="165"/>
    <d v="2024-05-25T00:00:00"/>
    <d v="2024-05-26T00:00:00"/>
    <x v="0"/>
    <x v="1"/>
    <x v="0"/>
    <x v="1"/>
    <x v="6"/>
    <s v="Accessories"/>
    <s v="Audio"/>
    <n v="5"/>
    <n v="250"/>
    <n v="270"/>
    <n v="0.02"/>
    <x v="177"/>
    <n v="1250"/>
    <n v="73"/>
    <n v="5.5177626606198002E-2"/>
  </r>
  <r>
    <s v="ORD-302-1"/>
    <s v="ORD-302"/>
    <s v="USR-350234"/>
    <s v="ST-O-00377"/>
    <s v="PRD-643"/>
    <x v="166"/>
    <d v="2026-02-02T00:00:00"/>
    <d v="2026-02-04T00:00:00"/>
    <x v="1"/>
    <x v="3"/>
    <x v="2"/>
    <x v="3"/>
    <x v="5"/>
    <s v="Electronics"/>
    <s v="Laptops"/>
    <n v="2"/>
    <n v="3030"/>
    <n v="3211.8"/>
    <n v="0.02"/>
    <x v="178"/>
    <n v="6060"/>
    <n v="235.12799999999999"/>
    <n v="3.73507893723527E-2"/>
  </r>
  <r>
    <s v="ORD-276-3"/>
    <s v="ORD-276"/>
    <s v="USR-111382"/>
    <s v="ST-S-00267"/>
    <s v="PRD-873"/>
    <x v="167"/>
    <d v="2025-12-04T00:00:00"/>
    <d v="2025-12-09T00:00:00"/>
    <x v="0"/>
    <x v="4"/>
    <x v="0"/>
    <x v="4"/>
    <x v="18"/>
    <s v="Electronics"/>
    <s v="Networking"/>
    <n v="5"/>
    <n v="480"/>
    <n v="513.6"/>
    <n v="0.02"/>
    <x v="179"/>
    <n v="2400"/>
    <n v="116.64"/>
    <n v="4.6347510967003597E-2"/>
  </r>
  <r>
    <s v="ORD-219-2"/>
    <s v="ORD-219"/>
    <s v="USR-965427"/>
    <s v="ST-P-00792"/>
    <s v="PRD-778"/>
    <x v="168"/>
    <d v="2025-11-27T00:00:00"/>
    <d v="2025-11-29T00:00:00"/>
    <x v="0"/>
    <x v="3"/>
    <x v="1"/>
    <x v="0"/>
    <x v="19"/>
    <s v="Electronics"/>
    <s v="Laptops"/>
    <n v="8"/>
    <n v="3330"/>
    <n v="3629.7"/>
    <n v="0.05"/>
    <x v="180"/>
    <n v="26640"/>
    <n v="945.72"/>
    <n v="3.4282955094157401E-2"/>
  </r>
  <r>
    <s v="ORD-254-1"/>
    <s v="ORD-254"/>
    <s v="USR-553577"/>
    <s v="ST-S-00642"/>
    <s v="PRD-597"/>
    <x v="7"/>
    <d v="2025-01-16T00:00:00"/>
    <d v="2025-01-21T00:00:00"/>
    <x v="0"/>
    <x v="2"/>
    <x v="0"/>
    <x v="1"/>
    <x v="0"/>
    <s v="Furniture"/>
    <s v="Chairs"/>
    <n v="9"/>
    <n v="730"/>
    <n v="824.9"/>
    <n v="0.03"/>
    <x v="181"/>
    <n v="6570"/>
    <n v="631.37699999999995"/>
    <n v="8.7674482255268693E-2"/>
  </r>
  <r>
    <s v="ORD-384-3"/>
    <s v="ORD-384"/>
    <s v="USR-133539"/>
    <s v="ST-S-00862"/>
    <s v="PRD-517"/>
    <x v="169"/>
    <d v="2025-10-07T00:00:00"/>
    <d v="2025-10-10T00:00:00"/>
    <x v="0"/>
    <x v="1"/>
    <x v="0"/>
    <x v="4"/>
    <x v="3"/>
    <s v="Electronics"/>
    <s v="Monitors"/>
    <n v="6"/>
    <n v="1030"/>
    <n v="1174.2"/>
    <n v="0.1"/>
    <x v="182"/>
    <n v="6180"/>
    <n v="160.68"/>
    <n v="2.5341130604288501E-2"/>
  </r>
  <r>
    <s v="ORD-389-1"/>
    <s v="ORD-389"/>
    <s v="USR-137458"/>
    <s v="ST-P-00645"/>
    <s v="PRD-660"/>
    <x v="170"/>
    <d v="2025-04-13T00:00:00"/>
    <d v="2025-04-18T00:00:00"/>
    <x v="0"/>
    <x v="1"/>
    <x v="1"/>
    <x v="0"/>
    <x v="15"/>
    <s v="Accessories"/>
    <s v="Peripherals"/>
    <n v="15"/>
    <n v="350"/>
    <n v="364"/>
    <n v="0.06"/>
    <x v="183"/>
    <n v="5250"/>
    <n v="-117.6"/>
    <n v="-2.2913256955810101E-2"/>
  </r>
  <r>
    <s v="ORD-259-2"/>
    <s v="ORD-259"/>
    <s v="USR-617537"/>
    <s v="ST-O-00526"/>
    <s v="PRD-519"/>
    <x v="6"/>
    <d v="2026-04-16T00:00:00"/>
    <d v="2026-04-18T00:00:00"/>
    <x v="0"/>
    <x v="2"/>
    <x v="2"/>
    <x v="1"/>
    <x v="1"/>
    <s v="Accessories"/>
    <s v="Peripherals"/>
    <n v="6"/>
    <n v="210"/>
    <n v="222.6"/>
    <n v="0.04"/>
    <x v="184"/>
    <n v="1260"/>
    <n v="22.175999999999998"/>
    <n v="1.7295597484276701E-2"/>
  </r>
  <r>
    <s v="ORD-371-2"/>
    <s v="ORD-371"/>
    <s v="USR-922354"/>
    <s v="ST-O-00949"/>
    <s v="PRD-517"/>
    <x v="171"/>
    <d v="2024-02-22T00:00:00"/>
    <d v="2024-02-25T00:00:00"/>
    <x v="0"/>
    <x v="0"/>
    <x v="2"/>
    <x v="4"/>
    <x v="3"/>
    <s v="Electronics"/>
    <s v="Monitors"/>
    <n v="10"/>
    <n v="1030"/>
    <n v="1174.2"/>
    <n v="0.04"/>
    <x v="185"/>
    <n v="10300"/>
    <n v="972.32"/>
    <n v="8.6257309941520505E-2"/>
  </r>
  <r>
    <s v="ORD-288-1"/>
    <s v="ORD-288"/>
    <s v="USR-918171"/>
    <s v="ST-S-00368"/>
    <s v="PRD-247"/>
    <x v="172"/>
    <d v="2025-11-24T00:00:00"/>
    <d v="2025-11-29T00:00:00"/>
    <x v="0"/>
    <x v="0"/>
    <x v="0"/>
    <x v="1"/>
    <x v="10"/>
    <s v="Furniture"/>
    <s v="Desks"/>
    <n v="9"/>
    <n v="1530"/>
    <n v="1790.1"/>
    <n v="0.05"/>
    <x v="186"/>
    <n v="13770"/>
    <n v="1535.355"/>
    <n v="0.100314889788574"/>
  </r>
  <r>
    <s v="ORD-302-2"/>
    <s v="ORD-302"/>
    <s v="USR-398242"/>
    <s v="ST-S-00137"/>
    <s v="PRD-900"/>
    <x v="173"/>
    <d v="2024-07-11T00:00:00"/>
    <d v="2024-07-13T00:00:00"/>
    <x v="1"/>
    <x v="0"/>
    <x v="0"/>
    <x v="1"/>
    <x v="16"/>
    <s v="Furniture"/>
    <s v="Desks"/>
    <n v="3"/>
    <n v="930"/>
    <n v="1078.8"/>
    <n v="0.03"/>
    <x v="187"/>
    <n v="2790"/>
    <n v="349.30799999999999"/>
    <n v="0.111269107714184"/>
  </r>
  <r>
    <s v="ORD-322-2"/>
    <s v="ORD-322"/>
    <s v="USR-332331"/>
    <s v="ST-S-00749"/>
    <s v="PRD-247"/>
    <x v="154"/>
    <d v="2024-07-08T00:00:00"/>
    <d v="2024-07-10T00:00:00"/>
    <x v="0"/>
    <x v="2"/>
    <x v="0"/>
    <x v="1"/>
    <x v="10"/>
    <s v="Furniture"/>
    <s v="Desks"/>
    <n v="9"/>
    <n v="1530"/>
    <n v="1790.1"/>
    <n v="7.0000000000000007E-2"/>
    <x v="188"/>
    <n v="13770"/>
    <n v="1213.1369999999999"/>
    <n v="8.0966822902306806E-2"/>
  </r>
  <r>
    <s v="ORD-312-2"/>
    <s v="ORD-312"/>
    <s v="USR-407733"/>
    <s v="ST-S-00437"/>
    <s v="PRD-778"/>
    <x v="174"/>
    <d v="2024-12-14T00:00:00"/>
    <d v="2024-12-19T00:00:00"/>
    <x v="1"/>
    <x v="4"/>
    <x v="0"/>
    <x v="4"/>
    <x v="19"/>
    <s v="Electronics"/>
    <s v="Laptops"/>
    <n v="2"/>
    <n v="3330"/>
    <n v="3629.7"/>
    <n v="0.03"/>
    <x v="189"/>
    <n v="6660"/>
    <n v="381.61799999999999"/>
    <n v="5.4194646741700603E-2"/>
  </r>
  <r>
    <s v="ORD-379-1"/>
    <s v="ORD-379"/>
    <s v="USR-603741"/>
    <s v="ST-S-00745"/>
    <s v="PRD-517"/>
    <x v="138"/>
    <d v="2026-02-26T00:00:00"/>
    <d v="2026-02-28T00:00:00"/>
    <x v="0"/>
    <x v="0"/>
    <x v="0"/>
    <x v="3"/>
    <x v="3"/>
    <s v="Electronics"/>
    <s v="Monitors"/>
    <n v="5"/>
    <n v="1030"/>
    <n v="1174.2"/>
    <n v="0.01"/>
    <x v="190"/>
    <n v="5150"/>
    <n v="662.29"/>
    <n v="0.113946482367535"/>
  </r>
  <r>
    <s v="ORD-188-4"/>
    <s v="ORD-188"/>
    <s v="USR-160559"/>
    <s v="ST-S-00788"/>
    <s v="PRD-517"/>
    <x v="175"/>
    <d v="2024-10-02T00:00:00"/>
    <d v="2024-10-04T00:00:00"/>
    <x v="0"/>
    <x v="2"/>
    <x v="0"/>
    <x v="2"/>
    <x v="3"/>
    <s v="Electronics"/>
    <s v="Monitors"/>
    <n v="10"/>
    <n v="1030"/>
    <n v="1174.2"/>
    <n v="0.04"/>
    <x v="185"/>
    <n v="10300"/>
    <n v="972.32"/>
    <n v="8.6257309941520505E-2"/>
  </r>
  <r>
    <s v="ORD-190-1"/>
    <s v="ORD-190"/>
    <s v="USR-468090"/>
    <s v="ST-O-00228"/>
    <s v="PRD-181"/>
    <x v="176"/>
    <d v="2024-10-11T00:00:00"/>
    <d v="2024-10-13T00:00:00"/>
    <x v="0"/>
    <x v="0"/>
    <x v="2"/>
    <x v="2"/>
    <x v="6"/>
    <s v="Accessories"/>
    <s v="Audio"/>
    <n v="9"/>
    <n v="250"/>
    <n v="270"/>
    <n v="0.02"/>
    <x v="191"/>
    <n v="2250"/>
    <n v="131.4"/>
    <n v="5.5177626606198002E-2"/>
  </r>
  <r>
    <s v="ORD-384-4"/>
    <s v="ORD-384"/>
    <s v="USR-932053"/>
    <s v="ST-O-00998"/>
    <s v="PRD-517"/>
    <x v="177"/>
    <d v="2024-12-19T00:00:00"/>
    <d v="2024-12-21T00:00:00"/>
    <x v="1"/>
    <x v="2"/>
    <x v="2"/>
    <x v="0"/>
    <x v="3"/>
    <s v="Electronics"/>
    <s v="Monitors"/>
    <n v="3"/>
    <n v="1030"/>
    <n v="1174.2"/>
    <n v="0.06"/>
    <x v="192"/>
    <n v="3090"/>
    <n v="221.244"/>
    <n v="6.6815976110489006E-2"/>
  </r>
  <r>
    <s v="ORD-240-1"/>
    <s v="ORD-240"/>
    <s v="USR-883194"/>
    <s v="ST-O-00523"/>
    <s v="PRD-181"/>
    <x v="178"/>
    <d v="2025-02-26T00:00:00"/>
    <d v="2025-03-02T00:00:00"/>
    <x v="0"/>
    <x v="1"/>
    <x v="2"/>
    <x v="4"/>
    <x v="6"/>
    <s v="Accessories"/>
    <s v="Audio"/>
    <n v="10"/>
    <n v="250"/>
    <n v="270"/>
    <n v="0.08"/>
    <x v="193"/>
    <n v="2500"/>
    <n v="-16"/>
    <n v="-6.4412238325281803E-3"/>
  </r>
  <r>
    <s v="ORD-279-1"/>
    <s v="ORD-279"/>
    <s v="USR-172887"/>
    <s v="ST-P-00168"/>
    <s v="PRD-811"/>
    <x v="58"/>
    <d v="2025-05-15T00:00:00"/>
    <d v="2025-05-20T00:00:00"/>
    <x v="0"/>
    <x v="4"/>
    <x v="1"/>
    <x v="1"/>
    <x v="9"/>
    <s v="Electronics"/>
    <s v="Cameras"/>
    <n v="8"/>
    <n v="430"/>
    <n v="455.8"/>
    <n v="0.1"/>
    <x v="68"/>
    <n v="3440"/>
    <n v="-158.24"/>
    <n v="-4.8218029350104802E-2"/>
  </r>
  <r>
    <s v="ORD-230-2"/>
    <s v="ORD-230"/>
    <s v="USR-949797"/>
    <s v="ST-O-00120"/>
    <s v="PRD-778"/>
    <x v="179"/>
    <d v="2025-10-29T00:00:00"/>
    <d v="2025-11-02T00:00:00"/>
    <x v="1"/>
    <x v="0"/>
    <x v="2"/>
    <x v="2"/>
    <x v="19"/>
    <s v="Electronics"/>
    <s v="Laptops"/>
    <n v="3"/>
    <n v="3330"/>
    <n v="3629.7"/>
    <n v="7.0000000000000007E-2"/>
    <x v="194"/>
    <n v="9990"/>
    <n v="136.863"/>
    <n v="1.35148466015586E-2"/>
  </r>
  <r>
    <s v="ORD-167-1"/>
    <s v="ORD-167"/>
    <s v="USR-156600"/>
    <s v="ST-P-00710"/>
    <s v="PRD-686"/>
    <x v="180"/>
    <d v="2024-09-16T00:00:00"/>
    <d v="2024-09-21T00:00:00"/>
    <x v="0"/>
    <x v="4"/>
    <x v="1"/>
    <x v="0"/>
    <x v="11"/>
    <s v="Electronics"/>
    <s v="Monitors"/>
    <n v="8"/>
    <n v="1630"/>
    <n v="1744.1"/>
    <n v="0.1"/>
    <x v="195"/>
    <n v="13040"/>
    <n v="-482.48"/>
    <n v="-3.8421599169262702E-2"/>
  </r>
  <r>
    <s v="ORD-178-4"/>
    <s v="ORD-178"/>
    <s v="USR-819227"/>
    <s v="ST-S-00169"/>
    <s v="PRD-643"/>
    <x v="181"/>
    <d v="2025-09-20T00:00:00"/>
    <d v="2025-09-25T00:00:00"/>
    <x v="0"/>
    <x v="1"/>
    <x v="0"/>
    <x v="1"/>
    <x v="5"/>
    <s v="Electronics"/>
    <s v="Laptops"/>
    <n v="10"/>
    <n v="3030"/>
    <n v="3211.8"/>
    <n v="0.01"/>
    <x v="196"/>
    <n v="30300"/>
    <n v="1496.82"/>
    <n v="4.7074518772632003E-2"/>
  </r>
  <r>
    <s v="ORD-216-1"/>
    <s v="ORD-216"/>
    <s v="USR-496372"/>
    <s v="ST-S-00946"/>
    <s v="PRD-592"/>
    <x v="182"/>
    <d v="2024-05-23T00:00:00"/>
    <d v="2024-05-27T00:00:00"/>
    <x v="0"/>
    <x v="3"/>
    <x v="0"/>
    <x v="3"/>
    <x v="12"/>
    <s v="Accessories"/>
    <s v="Connectivity"/>
    <n v="10"/>
    <n v="580"/>
    <n v="667"/>
    <n v="0.06"/>
    <x v="197"/>
    <n v="5800"/>
    <n v="469.8"/>
    <n v="7.4930619796484702E-2"/>
  </r>
  <r>
    <s v="ORD-380-1"/>
    <s v="ORD-380"/>
    <s v="USR-426281"/>
    <s v="ST-P-00272"/>
    <s v="PRD-247"/>
    <x v="183"/>
    <d v="2025-05-06T00:00:00"/>
    <d v="2025-05-07T00:00:00"/>
    <x v="0"/>
    <x v="2"/>
    <x v="1"/>
    <x v="1"/>
    <x v="10"/>
    <s v="Furniture"/>
    <s v="Desks"/>
    <n v="13"/>
    <n v="1530"/>
    <n v="1790.1"/>
    <n v="0.1"/>
    <x v="198"/>
    <n v="19890"/>
    <n v="1054.17"/>
    <n v="5.0332383665716997E-2"/>
  </r>
  <r>
    <s v="ORD-163-1"/>
    <s v="ORD-163"/>
    <s v="USR-968508"/>
    <s v="ST-P-00194"/>
    <s v="PRD-181"/>
    <x v="38"/>
    <d v="2025-04-16T00:00:00"/>
    <d v="2025-04-18T00:00:00"/>
    <x v="0"/>
    <x v="3"/>
    <x v="1"/>
    <x v="2"/>
    <x v="6"/>
    <s v="Accessories"/>
    <s v="Audio"/>
    <n v="9"/>
    <n v="250"/>
    <n v="270"/>
    <n v="0.04"/>
    <x v="199"/>
    <n v="2250"/>
    <n v="82.8"/>
    <n v="3.5493827160493797E-2"/>
  </r>
  <r>
    <s v="ORD-315-1"/>
    <s v="ORD-315"/>
    <s v="USR-950014"/>
    <s v="ST-S-00812"/>
    <s v="PRD-273"/>
    <x v="184"/>
    <d v="2025-04-14T00:00:00"/>
    <d v="2025-04-18T00:00:00"/>
    <x v="1"/>
    <x v="1"/>
    <x v="0"/>
    <x v="3"/>
    <x v="4"/>
    <s v="Furniture"/>
    <s v="Chairs"/>
    <n v="3"/>
    <n v="1080"/>
    <n v="1112.4000000000001"/>
    <n v="0.02"/>
    <x v="200"/>
    <n v="3240"/>
    <n v="30.456"/>
    <n v="9.3124628492173601E-3"/>
  </r>
  <r>
    <s v="ORD-323-2"/>
    <s v="ORD-323"/>
    <s v="USR-155493"/>
    <s v="ST-S-00598"/>
    <s v="PRD-361"/>
    <x v="185"/>
    <d v="2024-11-28T00:00:00"/>
    <d v="2024-11-30T00:00:00"/>
    <x v="1"/>
    <x v="3"/>
    <x v="0"/>
    <x v="1"/>
    <x v="13"/>
    <s v="Accessories"/>
    <s v="Audio"/>
    <n v="3"/>
    <n v="390"/>
    <n v="468"/>
    <n v="0.09"/>
    <x v="201"/>
    <n v="1170"/>
    <n v="107.64"/>
    <n v="8.42490842490842E-2"/>
  </r>
  <r>
    <s v="ORD-199-3"/>
    <s v="ORD-199"/>
    <s v="USR-151695"/>
    <s v="ST-P-00665"/>
    <s v="PRD-643"/>
    <x v="186"/>
    <d v="2024-10-13T00:00:00"/>
    <d v="2024-10-17T00:00:00"/>
    <x v="0"/>
    <x v="4"/>
    <x v="1"/>
    <x v="0"/>
    <x v="5"/>
    <s v="Electronics"/>
    <s v="Laptops"/>
    <n v="9"/>
    <n v="3030"/>
    <n v="3211.8"/>
    <n v="0.05"/>
    <x v="202"/>
    <n v="27270"/>
    <n v="190.89"/>
    <n v="6.9513406156901702E-3"/>
  </r>
  <r>
    <s v="ORD-377-2"/>
    <s v="ORD-377"/>
    <s v="USR-289809"/>
    <s v="ST-S-00456"/>
    <s v="PRD-592"/>
    <x v="138"/>
    <d v="2026-02-25T00:00:00"/>
    <d v="2026-03-01T00:00:00"/>
    <x v="0"/>
    <x v="0"/>
    <x v="0"/>
    <x v="1"/>
    <x v="12"/>
    <s v="Accessories"/>
    <s v="Connectivity"/>
    <n v="9"/>
    <n v="580"/>
    <n v="667"/>
    <n v="0.01"/>
    <x v="203"/>
    <n v="5220"/>
    <n v="722.97"/>
    <n v="0.121651295564339"/>
  </r>
  <r>
    <s v="ORD-245-2"/>
    <s v="ORD-245"/>
    <s v="USR-933303"/>
    <s v="ST-S-00317"/>
    <s v="PRD-361"/>
    <x v="187"/>
    <d v="2024-04-23T00:00:00"/>
    <d v="2024-04-26T00:00:00"/>
    <x v="1"/>
    <x v="4"/>
    <x v="0"/>
    <x v="2"/>
    <x v="13"/>
    <s v="Accessories"/>
    <s v="Audio"/>
    <n v="2"/>
    <n v="390"/>
    <n v="468"/>
    <n v="0.08"/>
    <x v="204"/>
    <n v="780"/>
    <n v="81.12"/>
    <n v="9.4202898550724598E-2"/>
  </r>
  <r>
    <s v="ORD-300-1"/>
    <s v="ORD-300"/>
    <s v="USR-490336"/>
    <s v="ST-O-00807"/>
    <s v="PRD-361"/>
    <x v="188"/>
    <d v="2024-07-21T00:00:00"/>
    <d v="2024-07-26T00:00:00"/>
    <x v="0"/>
    <x v="2"/>
    <x v="2"/>
    <x v="0"/>
    <x v="13"/>
    <s v="Accessories"/>
    <s v="Audio"/>
    <n v="8"/>
    <n v="390"/>
    <n v="468"/>
    <n v="0.04"/>
    <x v="205"/>
    <n v="3120"/>
    <n v="474.24"/>
    <n v="0.131944444444444"/>
  </r>
  <r>
    <s v="ORD-262-2"/>
    <s v="ORD-262"/>
    <s v="USR-157603"/>
    <s v="ST-O-00622"/>
    <s v="PRD-686"/>
    <x v="189"/>
    <d v="2025-11-29T00:00:00"/>
    <d v="2025-12-02T00:00:00"/>
    <x v="1"/>
    <x v="3"/>
    <x v="2"/>
    <x v="2"/>
    <x v="11"/>
    <s v="Electronics"/>
    <s v="Monitors"/>
    <n v="3"/>
    <n v="1630"/>
    <n v="1744.1"/>
    <n v="0.05"/>
    <x v="206"/>
    <n v="4890"/>
    <n v="80.685000000000002"/>
    <n v="1.6232169208066902E-2"/>
  </r>
  <r>
    <s v="ORD-153-1"/>
    <s v="ORD-153"/>
    <s v="USR-691261"/>
    <s v="ST-P-00725"/>
    <s v="PRD-873"/>
    <x v="79"/>
    <d v="2024-05-27T00:00:00"/>
    <d v="2024-06-01T00:00:00"/>
    <x v="0"/>
    <x v="2"/>
    <x v="1"/>
    <x v="2"/>
    <x v="18"/>
    <s v="Electronics"/>
    <s v="Networking"/>
    <n v="11"/>
    <n v="480"/>
    <n v="513.6"/>
    <n v="0.1"/>
    <x v="148"/>
    <n v="5280"/>
    <n v="-195.36"/>
    <n v="-3.8421599169262702E-2"/>
  </r>
  <r>
    <s v="ORD-163-2"/>
    <s v="ORD-163"/>
    <s v="USR-857998"/>
    <s v="ST-O-00881"/>
    <s v="PRD-778"/>
    <x v="190"/>
    <d v="2024-05-17T00:00:00"/>
    <d v="2024-05-20T00:00:00"/>
    <x v="0"/>
    <x v="4"/>
    <x v="2"/>
    <x v="1"/>
    <x v="19"/>
    <s v="Electronics"/>
    <s v="Laptops"/>
    <n v="7"/>
    <n v="3330"/>
    <n v="3629.7"/>
    <n v="0"/>
    <x v="207"/>
    <n v="23310"/>
    <n v="2097.9"/>
    <n v="8.2568807339449601E-2"/>
  </r>
  <r>
    <s v="ORD-219-3"/>
    <s v="ORD-219"/>
    <s v="USR-941544"/>
    <s v="ST-O-00177"/>
    <s v="PRD-873"/>
    <x v="78"/>
    <d v="2024-07-12T00:00:00"/>
    <d v="2024-07-16T00:00:00"/>
    <x v="1"/>
    <x v="1"/>
    <x v="2"/>
    <x v="4"/>
    <x v="18"/>
    <s v="Electronics"/>
    <s v="Networking"/>
    <n v="3"/>
    <n v="480"/>
    <n v="513.6"/>
    <n v="0.04"/>
    <x v="208"/>
    <n v="1440"/>
    <n v="39.167999999999999"/>
    <n v="2.6479750778816199E-2"/>
  </r>
  <r>
    <s v="ORD-256-2"/>
    <s v="ORD-256"/>
    <s v="USR-793243"/>
    <s v="ST-S-00449"/>
    <s v="PRD-181"/>
    <x v="191"/>
    <d v="2024-04-10T00:00:00"/>
    <d v="2024-04-14T00:00:00"/>
    <x v="0"/>
    <x v="3"/>
    <x v="0"/>
    <x v="0"/>
    <x v="6"/>
    <s v="Accessories"/>
    <s v="Audio"/>
    <n v="6"/>
    <n v="250"/>
    <n v="270"/>
    <n v="0.04"/>
    <x v="209"/>
    <n v="1500"/>
    <n v="55.2"/>
    <n v="3.5493827160493797E-2"/>
  </r>
  <r>
    <s v="ORD-264-1"/>
    <s v="ORD-264"/>
    <s v="USR-967175"/>
    <s v="ST-S-00501"/>
    <s v="PRD-900"/>
    <x v="192"/>
    <d v="2024-05-09T00:00:00"/>
    <d v="2024-05-13T00:00:00"/>
    <x v="0"/>
    <x v="0"/>
    <x v="0"/>
    <x v="4"/>
    <x v="16"/>
    <s v="Furniture"/>
    <s v="Desks"/>
    <n v="5"/>
    <n v="930"/>
    <n v="1078.8"/>
    <n v="0.03"/>
    <x v="210"/>
    <n v="4650"/>
    <n v="582.17999999999995"/>
    <n v="0.111269107714184"/>
  </r>
  <r>
    <s v="ORD-333-1"/>
    <s v="ORD-333"/>
    <s v="USR-347935"/>
    <s v="ST-O-00762"/>
    <s v="PRD-117"/>
    <x v="193"/>
    <d v="2024-09-19T00:00:00"/>
    <d v="2024-09-21T00:00:00"/>
    <x v="0"/>
    <x v="3"/>
    <x v="2"/>
    <x v="3"/>
    <x v="2"/>
    <s v="Electronics"/>
    <s v="Printers"/>
    <n v="7"/>
    <n v="1230"/>
    <n v="1328.4"/>
    <n v="7.0000000000000007E-2"/>
    <x v="74"/>
    <n v="8610"/>
    <n v="37.884"/>
    <n v="4.3807248108323404E-3"/>
  </r>
  <r>
    <s v="ORD-380-2"/>
    <s v="ORD-380"/>
    <s v="USR-670483"/>
    <s v="ST-O-00347"/>
    <s v="PRD-686"/>
    <x v="194"/>
    <d v="2025-07-14T00:00:00"/>
    <d v="2025-07-15T00:00:00"/>
    <x v="0"/>
    <x v="3"/>
    <x v="2"/>
    <x v="4"/>
    <x v="11"/>
    <s v="Electronics"/>
    <s v="Monitors"/>
    <n v="10"/>
    <n v="1630"/>
    <n v="1744.1"/>
    <n v="0.08"/>
    <x v="211"/>
    <n v="16300"/>
    <n v="-254.28"/>
    <n v="-1.5847216578626599E-2"/>
  </r>
  <r>
    <s v="ORD-318-4"/>
    <s v="ORD-318"/>
    <s v="USR-964978"/>
    <s v="ST-S-00130"/>
    <s v="PRD-900"/>
    <x v="195"/>
    <d v="2025-05-07T00:00:00"/>
    <d v="2025-05-08T00:00:00"/>
    <x v="0"/>
    <x v="2"/>
    <x v="0"/>
    <x v="2"/>
    <x v="16"/>
    <s v="Furniture"/>
    <s v="Desks"/>
    <n v="6"/>
    <n v="930"/>
    <n v="1078.8"/>
    <n v="0.09"/>
    <x v="212"/>
    <n v="5580"/>
    <n v="310.24799999999999"/>
    <n v="5.2671466464569897E-2"/>
  </r>
  <r>
    <s v="ORD-385-1"/>
    <s v="ORD-385"/>
    <s v="USR-445036"/>
    <s v="ST-S-00593"/>
    <s v="PRD-273"/>
    <x v="196"/>
    <d v="2025-12-28T00:00:00"/>
    <d v="2025-12-31T00:00:00"/>
    <x v="1"/>
    <x v="1"/>
    <x v="0"/>
    <x v="4"/>
    <x v="4"/>
    <s v="Furniture"/>
    <s v="Chairs"/>
    <n v="4"/>
    <n v="1080"/>
    <n v="1112.4000000000001"/>
    <n v="7.0000000000000007E-2"/>
    <x v="213"/>
    <n v="4320"/>
    <n v="-181.87200000000001"/>
    <n v="-4.3950307965340898E-2"/>
  </r>
  <r>
    <s v="ORD-373-2"/>
    <s v="ORD-373"/>
    <s v="USR-301004"/>
    <s v="ST-O-00494"/>
    <s v="PRD-148"/>
    <x v="115"/>
    <d v="2026-06-08T00:00:00"/>
    <d v="2026-06-11T00:00:00"/>
    <x v="0"/>
    <x v="1"/>
    <x v="2"/>
    <x v="0"/>
    <x v="14"/>
    <s v="Accessories"/>
    <s v="Connectivity"/>
    <n v="8"/>
    <n v="170"/>
    <n v="188.7"/>
    <n v="0.06"/>
    <x v="78"/>
    <n v="1360"/>
    <n v="59.024000000000001"/>
    <n v="4.1594786275637299E-2"/>
  </r>
  <r>
    <s v="ORD-264-2"/>
    <s v="ORD-264"/>
    <s v="USR-175441"/>
    <s v="ST-P-00373"/>
    <s v="PRD-643"/>
    <x v="197"/>
    <d v="2025-08-14T00:00:00"/>
    <d v="2025-08-17T00:00:00"/>
    <x v="0"/>
    <x v="3"/>
    <x v="1"/>
    <x v="3"/>
    <x v="5"/>
    <s v="Electronics"/>
    <s v="Laptops"/>
    <n v="10"/>
    <n v="3030"/>
    <n v="3211.8"/>
    <n v="0.09"/>
    <x v="214"/>
    <n v="30300"/>
    <n v="-1072.6199999999999"/>
    <n v="-3.66991499066971E-2"/>
  </r>
  <r>
    <s v="ORD-178-5"/>
    <s v="ORD-178"/>
    <s v="USR-429382"/>
    <s v="ST-S-00136"/>
    <s v="PRD-660"/>
    <x v="100"/>
    <d v="2024-09-13T00:00:00"/>
    <d v="2024-09-17T00:00:00"/>
    <x v="0"/>
    <x v="4"/>
    <x v="0"/>
    <x v="1"/>
    <x v="15"/>
    <s v="Accessories"/>
    <s v="Peripherals"/>
    <n v="5"/>
    <n v="350"/>
    <n v="364"/>
    <n v="0.01"/>
    <x v="215"/>
    <n v="1750"/>
    <n v="51.8"/>
    <n v="2.87490287490288E-2"/>
  </r>
  <r>
    <s v="ORD-321-3"/>
    <s v="ORD-321"/>
    <s v="USR-596426"/>
    <s v="ST-S-00745"/>
    <s v="PRD-592"/>
    <x v="198"/>
    <d v="2024-05-02T00:00:00"/>
    <d v="2024-05-03T00:00:00"/>
    <x v="1"/>
    <x v="2"/>
    <x v="0"/>
    <x v="4"/>
    <x v="12"/>
    <s v="Accessories"/>
    <s v="Connectivity"/>
    <n v="3"/>
    <n v="580"/>
    <n v="667"/>
    <n v="0.04"/>
    <x v="216"/>
    <n v="1740"/>
    <n v="180.96"/>
    <n v="9.4202898550724598E-2"/>
  </r>
  <r>
    <s v="ORD-276-4"/>
    <s v="ORD-276"/>
    <s v="USR-297152"/>
    <s v="ST-O-00469"/>
    <s v="PRD-811"/>
    <x v="199"/>
    <d v="2025-01-05T00:00:00"/>
    <d v="2025-01-10T00:00:00"/>
    <x v="0"/>
    <x v="0"/>
    <x v="2"/>
    <x v="0"/>
    <x v="9"/>
    <s v="Electronics"/>
    <s v="Cameras"/>
    <n v="8"/>
    <n v="430"/>
    <n v="455.8"/>
    <n v="0.1"/>
    <x v="68"/>
    <n v="3440"/>
    <n v="-158.24"/>
    <n v="-4.8218029350104802E-2"/>
  </r>
  <r>
    <s v="ORD-168-2"/>
    <s v="ORD-168"/>
    <s v="USR-981011"/>
    <s v="ST-O-00759"/>
    <s v="PRD-900"/>
    <x v="200"/>
    <d v="2025-02-23T00:00:00"/>
    <d v="2025-02-27T00:00:00"/>
    <x v="1"/>
    <x v="1"/>
    <x v="2"/>
    <x v="4"/>
    <x v="16"/>
    <s v="Furniture"/>
    <s v="Desks"/>
    <n v="4"/>
    <n v="930"/>
    <n v="1078.8"/>
    <n v="0.06"/>
    <x v="217"/>
    <n v="3720"/>
    <n v="336.28800000000001"/>
    <n v="8.2905355832721905E-2"/>
  </r>
  <r>
    <s v="ORD-181-1"/>
    <s v="ORD-181"/>
    <s v="USR-117015"/>
    <s v="ST-S-00326"/>
    <s v="PRD-273"/>
    <x v="201"/>
    <d v="2024-12-18T00:00:00"/>
    <d v="2024-12-23T00:00:00"/>
    <x v="0"/>
    <x v="2"/>
    <x v="0"/>
    <x v="2"/>
    <x v="4"/>
    <s v="Furniture"/>
    <s v="Chairs"/>
    <n v="10"/>
    <n v="1080"/>
    <n v="1112.4000000000001"/>
    <n v="0.03"/>
    <x v="218"/>
    <n v="10800"/>
    <n v="-9.7200000000000006"/>
    <n v="-9.0081072965669101E-4"/>
  </r>
  <r>
    <s v="ORD-242-1"/>
    <s v="ORD-242"/>
    <s v="USR-436095"/>
    <s v="ST-O-00120"/>
    <s v="PRD-361"/>
    <x v="202"/>
    <d v="2025-04-24T00:00:00"/>
    <d v="2025-04-29T00:00:00"/>
    <x v="0"/>
    <x v="1"/>
    <x v="2"/>
    <x v="0"/>
    <x v="13"/>
    <s v="Accessories"/>
    <s v="Audio"/>
    <n v="9"/>
    <n v="390"/>
    <n v="468"/>
    <n v="0.09"/>
    <x v="219"/>
    <n v="3510"/>
    <n v="322.92"/>
    <n v="8.42490842490842E-2"/>
  </r>
  <r>
    <s v="ORD-293-1"/>
    <s v="ORD-293"/>
    <s v="USR-903534"/>
    <s v="ST-P-00606"/>
    <s v="PRD-117"/>
    <x v="90"/>
    <d v="2026-05-15T00:00:00"/>
    <d v="2026-05-19T00:00:00"/>
    <x v="0"/>
    <x v="4"/>
    <x v="1"/>
    <x v="2"/>
    <x v="2"/>
    <s v="Electronics"/>
    <s v="Printers"/>
    <n v="10"/>
    <n v="1230"/>
    <n v="1328.4"/>
    <n v="0.01"/>
    <x v="220"/>
    <n v="12300"/>
    <n v="851.16"/>
    <n v="6.4721286943509204E-2"/>
  </r>
  <r>
    <s v="ORD-375-3"/>
    <s v="ORD-375"/>
    <s v="USR-872789"/>
    <s v="ST-P-00870"/>
    <s v="PRD-517"/>
    <x v="203"/>
    <d v="2024-01-04T00:00:00"/>
    <d v="2024-01-08T00:00:00"/>
    <x v="0"/>
    <x v="2"/>
    <x v="1"/>
    <x v="1"/>
    <x v="3"/>
    <s v="Electronics"/>
    <s v="Monitors"/>
    <n v="8"/>
    <n v="1030"/>
    <n v="1174.2"/>
    <n v="0.06"/>
    <x v="221"/>
    <n v="8240"/>
    <n v="589.98400000000004"/>
    <n v="6.6815976110489006E-2"/>
  </r>
  <r>
    <s v="ORD-183-1"/>
    <s v="ORD-183"/>
    <s v="USR-972031"/>
    <s v="ST-S-00471"/>
    <s v="PRD-778"/>
    <x v="109"/>
    <d v="2025-07-31T00:00:00"/>
    <d v="2025-08-05T00:00:00"/>
    <x v="1"/>
    <x v="1"/>
    <x v="0"/>
    <x v="4"/>
    <x v="19"/>
    <s v="Electronics"/>
    <s v="Laptops"/>
    <n v="1"/>
    <n v="3330"/>
    <n v="3629.7"/>
    <n v="0"/>
    <x v="222"/>
    <n v="3330"/>
    <n v="299.7"/>
    <n v="8.2568807339449601E-2"/>
  </r>
  <r>
    <s v="ORD-255-1"/>
    <s v="ORD-255"/>
    <s v="USR-277321"/>
    <s v="ST-P-00211"/>
    <s v="PRD-117"/>
    <x v="204"/>
    <d v="2024-05-24T00:00:00"/>
    <d v="2024-05-26T00:00:00"/>
    <x v="0"/>
    <x v="2"/>
    <x v="1"/>
    <x v="3"/>
    <x v="2"/>
    <s v="Electronics"/>
    <s v="Printers"/>
    <n v="9"/>
    <n v="1230"/>
    <n v="1328.4"/>
    <n v="0.09"/>
    <x v="223"/>
    <n v="11070"/>
    <n v="-190.404"/>
    <n v="-1.7501017501017499E-2"/>
  </r>
  <r>
    <s v="ORD-336-2"/>
    <s v="ORD-336"/>
    <s v="USR-146539"/>
    <s v="ST-S-00828"/>
    <s v="PRD-148"/>
    <x v="205"/>
    <d v="2025-02-03T00:00:00"/>
    <d v="2025-02-07T00:00:00"/>
    <x v="1"/>
    <x v="0"/>
    <x v="0"/>
    <x v="0"/>
    <x v="14"/>
    <s v="Accessories"/>
    <s v="Connectivity"/>
    <n v="1"/>
    <n v="170"/>
    <n v="188.7"/>
    <n v="0.02"/>
    <x v="224"/>
    <n v="170"/>
    <n v="14.926"/>
    <n v="8.0713366427652103E-2"/>
  </r>
  <r>
    <s v="ORD-238-4"/>
    <s v="ORD-238"/>
    <s v="USR-903606"/>
    <s v="ST-S-00327"/>
    <s v="PRD-247"/>
    <x v="100"/>
    <d v="2024-09-12T00:00:00"/>
    <d v="2024-09-15T00:00:00"/>
    <x v="1"/>
    <x v="0"/>
    <x v="0"/>
    <x v="3"/>
    <x v="10"/>
    <s v="Furniture"/>
    <s v="Desks"/>
    <n v="3"/>
    <n v="1530"/>
    <n v="1790.1"/>
    <n v="0.09"/>
    <x v="225"/>
    <n v="4590"/>
    <n v="296.97300000000001"/>
    <n v="6.07682915375223E-2"/>
  </r>
  <r>
    <s v="ORD-341-1"/>
    <s v="ORD-341"/>
    <s v="USR-653295"/>
    <s v="ST-S-00332"/>
    <s v="PRD-273"/>
    <x v="206"/>
    <d v="2025-06-09T00:00:00"/>
    <d v="2025-06-13T00:00:00"/>
    <x v="1"/>
    <x v="0"/>
    <x v="0"/>
    <x v="4"/>
    <x v="4"/>
    <s v="Furniture"/>
    <s v="Chairs"/>
    <n v="2"/>
    <n v="1080"/>
    <n v="1112.4000000000001"/>
    <n v="0.01"/>
    <x v="226"/>
    <n v="2160"/>
    <n v="42.552"/>
    <n v="1.9319407668922199E-2"/>
  </r>
  <r>
    <s v="ORD-303-1"/>
    <s v="ORD-303"/>
    <s v="USR-714926"/>
    <s v="ST-S-00156"/>
    <s v="PRD-709"/>
    <x v="207"/>
    <d v="2024-07-07T00:00:00"/>
    <d v="2024-07-10T00:00:00"/>
    <x v="0"/>
    <x v="4"/>
    <x v="0"/>
    <x v="0"/>
    <x v="8"/>
    <s v="Furniture"/>
    <s v="Lighting"/>
    <n v="7"/>
    <n v="280"/>
    <n v="336"/>
    <n v="0.08"/>
    <x v="227"/>
    <n v="1960"/>
    <n v="203.84"/>
    <n v="9.4202898550724598E-2"/>
  </r>
  <r>
    <s v="ORD-338-1"/>
    <s v="ORD-338"/>
    <s v="USR-672264"/>
    <s v="ST-O-00797"/>
    <s v="PRD-686"/>
    <x v="208"/>
    <d v="2026-05-08T00:00:00"/>
    <d v="2026-05-12T00:00:00"/>
    <x v="1"/>
    <x v="4"/>
    <x v="2"/>
    <x v="4"/>
    <x v="11"/>
    <s v="Electronics"/>
    <s v="Monitors"/>
    <n v="4"/>
    <n v="1630"/>
    <n v="1744.1"/>
    <n v="0.08"/>
    <x v="228"/>
    <n v="6520"/>
    <n v="-101.712"/>
    <n v="-1.5847216578626599E-2"/>
  </r>
  <r>
    <s v="ORD-213-3"/>
    <s v="ORD-213"/>
    <s v="USR-219463"/>
    <s v="ST-P-00776"/>
    <s v="PRD-247"/>
    <x v="161"/>
    <d v="2026-02-16T00:00:00"/>
    <d v="2026-02-18T00:00:00"/>
    <x v="0"/>
    <x v="1"/>
    <x v="1"/>
    <x v="2"/>
    <x v="10"/>
    <s v="Furniture"/>
    <s v="Desks"/>
    <n v="11"/>
    <n v="1530"/>
    <n v="1790.1"/>
    <n v="7.0000000000000007E-2"/>
    <x v="229"/>
    <n v="16830"/>
    <n v="1482.723"/>
    <n v="8.0966822902306806E-2"/>
  </r>
  <r>
    <s v="ORD-219-4"/>
    <s v="ORD-219"/>
    <s v="USR-525044"/>
    <s v="ST-O-00976"/>
    <s v="PRD-660"/>
    <x v="209"/>
    <d v="2025-07-08T00:00:00"/>
    <d v="2025-07-11T00:00:00"/>
    <x v="1"/>
    <x v="4"/>
    <x v="2"/>
    <x v="2"/>
    <x v="15"/>
    <s v="Accessories"/>
    <s v="Peripherals"/>
    <n v="4"/>
    <n v="350"/>
    <n v="364"/>
    <n v="0.1"/>
    <x v="230"/>
    <n v="1400"/>
    <n v="-89.6"/>
    <n v="-6.8376068376068397E-2"/>
  </r>
  <r>
    <s v="ORD-372-1"/>
    <s v="ORD-372"/>
    <s v="USR-470906"/>
    <s v="ST-P-00728"/>
    <s v="PRD-361"/>
    <x v="210"/>
    <d v="2026-01-31T00:00:00"/>
    <d v="2026-02-02T00:00:00"/>
    <x v="0"/>
    <x v="3"/>
    <x v="1"/>
    <x v="2"/>
    <x v="13"/>
    <s v="Accessories"/>
    <s v="Audio"/>
    <n v="15"/>
    <n v="390"/>
    <n v="468"/>
    <n v="0.08"/>
    <x v="231"/>
    <n v="5850"/>
    <n v="608.4"/>
    <n v="9.4202898550724598E-2"/>
  </r>
  <r>
    <s v="ORD-259-3"/>
    <s v="ORD-259"/>
    <s v="USR-692756"/>
    <s v="ST-P-00388"/>
    <s v="PRD-117"/>
    <x v="90"/>
    <d v="2026-05-15T00:00:00"/>
    <d v="2026-05-17T00:00:00"/>
    <x v="0"/>
    <x v="3"/>
    <x v="1"/>
    <x v="0"/>
    <x v="2"/>
    <s v="Electronics"/>
    <s v="Printers"/>
    <n v="8"/>
    <n v="1230"/>
    <n v="1328.4"/>
    <n v="0.04"/>
    <x v="232"/>
    <n v="9840"/>
    <n v="362.11200000000002"/>
    <n v="3.5493827160493797E-2"/>
  </r>
  <r>
    <s v="ORD-225-2"/>
    <s v="ORD-225"/>
    <s v="USR-682267"/>
    <s v="ST-O-00616"/>
    <s v="PRD-284"/>
    <x v="205"/>
    <d v="2025-02-04T00:00:00"/>
    <d v="2025-02-06T00:00:00"/>
    <x v="0"/>
    <x v="0"/>
    <x v="2"/>
    <x v="1"/>
    <x v="7"/>
    <s v="Electronics"/>
    <s v="Storage"/>
    <n v="10"/>
    <n v="650"/>
    <n v="663"/>
    <n v="0.05"/>
    <x v="233"/>
    <n v="6500"/>
    <n v="-201.5"/>
    <n v="-3.1991744066047503E-2"/>
  </r>
  <r>
    <s v="ORD-322-3"/>
    <s v="ORD-322"/>
    <s v="USR-945335"/>
    <s v="ST-O-00727"/>
    <s v="PRD-181"/>
    <x v="211"/>
    <d v="2025-06-12T00:00:00"/>
    <d v="2025-06-15T00:00:00"/>
    <x v="1"/>
    <x v="3"/>
    <x v="2"/>
    <x v="1"/>
    <x v="6"/>
    <s v="Accessories"/>
    <s v="Audio"/>
    <n v="2"/>
    <n v="250"/>
    <n v="270"/>
    <n v="0.04"/>
    <x v="234"/>
    <n v="500"/>
    <n v="18.399999999999999"/>
    <n v="3.5493827160493797E-2"/>
  </r>
  <r>
    <s v="ORD-385-2"/>
    <s v="ORD-385"/>
    <s v="USR-924210"/>
    <s v="ST-P-00607"/>
    <s v="PRD-660"/>
    <x v="68"/>
    <d v="2024-08-23T00:00:00"/>
    <d v="2024-08-27T00:00:00"/>
    <x v="0"/>
    <x v="3"/>
    <x v="1"/>
    <x v="3"/>
    <x v="15"/>
    <s v="Accessories"/>
    <s v="Peripherals"/>
    <n v="8"/>
    <n v="350"/>
    <n v="364"/>
    <n v="0.1"/>
    <x v="235"/>
    <n v="2800"/>
    <n v="-179.2"/>
    <n v="-6.8376068376068397E-2"/>
  </r>
  <r>
    <s v="ORD-317-2"/>
    <s v="ORD-317"/>
    <s v="USR-539966"/>
    <s v="ST-P-00329"/>
    <s v="PRD-117"/>
    <x v="212"/>
    <d v="2025-09-25T00:00:00"/>
    <d v="2025-09-30T00:00:00"/>
    <x v="0"/>
    <x v="0"/>
    <x v="1"/>
    <x v="2"/>
    <x v="2"/>
    <s v="Electronics"/>
    <s v="Printers"/>
    <n v="6"/>
    <n v="1230"/>
    <n v="1328.4"/>
    <n v="0.01"/>
    <x v="236"/>
    <n v="7380"/>
    <n v="510.69600000000003"/>
    <n v="6.4721286943509204E-2"/>
  </r>
  <r>
    <s v="ORD-372-2"/>
    <s v="ORD-372"/>
    <s v="USR-121625"/>
    <s v="ST-S-00434"/>
    <s v="PRD-361"/>
    <x v="213"/>
    <d v="2025-03-18T00:00:00"/>
    <d v="2025-03-23T00:00:00"/>
    <x v="0"/>
    <x v="3"/>
    <x v="0"/>
    <x v="3"/>
    <x v="13"/>
    <s v="Accessories"/>
    <s v="Audio"/>
    <n v="9"/>
    <n v="390"/>
    <n v="468"/>
    <n v="0.06"/>
    <x v="237"/>
    <n v="3510"/>
    <n v="449.28"/>
    <n v="0.11347517730496499"/>
  </r>
  <r>
    <s v="ORD-179-2"/>
    <s v="ORD-179"/>
    <s v="USR-412226"/>
    <s v="ST-P-00533"/>
    <s v="PRD-709"/>
    <x v="188"/>
    <d v="2024-07-22T00:00:00"/>
    <d v="2024-07-23T00:00:00"/>
    <x v="0"/>
    <x v="4"/>
    <x v="1"/>
    <x v="4"/>
    <x v="8"/>
    <s v="Furniture"/>
    <s v="Lighting"/>
    <n v="9"/>
    <n v="280"/>
    <n v="336"/>
    <n v="0.02"/>
    <x v="48"/>
    <n v="2520"/>
    <n v="443.52"/>
    <n v="0.14965986394557801"/>
  </r>
  <r>
    <s v="ORD-365-3"/>
    <s v="ORD-365"/>
    <s v="USR-857688"/>
    <s v="ST-S-00792"/>
    <s v="PRD-181"/>
    <x v="85"/>
    <d v="2024-05-09T00:00:00"/>
    <d v="2024-05-11T00:00:00"/>
    <x v="1"/>
    <x v="0"/>
    <x v="0"/>
    <x v="1"/>
    <x v="6"/>
    <s v="Accessories"/>
    <s v="Audio"/>
    <n v="3"/>
    <n v="250"/>
    <n v="270"/>
    <n v="0.1"/>
    <x v="238"/>
    <n v="750"/>
    <n v="-21"/>
    <n v="-2.8806584362139901E-2"/>
  </r>
  <r>
    <s v="ORD-197-1"/>
    <s v="ORD-197"/>
    <s v="USR-736856"/>
    <s v="ST-O-00706"/>
    <s v="PRD-517"/>
    <x v="214"/>
    <d v="2026-04-17T00:00:00"/>
    <d v="2026-04-19T00:00:00"/>
    <x v="0"/>
    <x v="1"/>
    <x v="2"/>
    <x v="4"/>
    <x v="3"/>
    <s v="Electronics"/>
    <s v="Monitors"/>
    <n v="8"/>
    <n v="1030"/>
    <n v="1174.2"/>
    <n v="0.04"/>
    <x v="28"/>
    <n v="8240"/>
    <n v="777.85599999999999"/>
    <n v="8.6257309941520505E-2"/>
  </r>
  <r>
    <s v="ORD-210-1"/>
    <s v="ORD-210"/>
    <s v="USR-905876"/>
    <s v="ST-P-00499"/>
    <s v="PRD-148"/>
    <x v="215"/>
    <d v="2025-11-25T00:00:00"/>
    <d v="2025-11-29T00:00:00"/>
    <x v="0"/>
    <x v="4"/>
    <x v="1"/>
    <x v="0"/>
    <x v="14"/>
    <s v="Accessories"/>
    <s v="Connectivity"/>
    <n v="12"/>
    <n v="170"/>
    <n v="188.7"/>
    <n v="0.04"/>
    <x v="239"/>
    <n v="2040"/>
    <n v="133.82400000000001"/>
    <n v="6.1561561561561597E-2"/>
  </r>
  <r>
    <s v="ORD-270-1"/>
    <s v="ORD-270"/>
    <s v="USR-759397"/>
    <s v="ST-P-00781"/>
    <s v="PRD-361"/>
    <x v="216"/>
    <d v="2024-01-21T00:00:00"/>
    <d v="2024-01-24T00:00:00"/>
    <x v="0"/>
    <x v="2"/>
    <x v="1"/>
    <x v="0"/>
    <x v="13"/>
    <s v="Accessories"/>
    <s v="Audio"/>
    <n v="7"/>
    <n v="390"/>
    <n v="468"/>
    <n v="0.02"/>
    <x v="240"/>
    <n v="2730"/>
    <n v="480.48"/>
    <n v="0.14965986394557801"/>
  </r>
  <r>
    <s v="ORD-328-1"/>
    <s v="ORD-328"/>
    <s v="USR-904519"/>
    <s v="ST-O-00515"/>
    <s v="PRD-873"/>
    <x v="217"/>
    <d v="2024-04-07T00:00:00"/>
    <d v="2024-04-11T00:00:00"/>
    <x v="1"/>
    <x v="4"/>
    <x v="2"/>
    <x v="3"/>
    <x v="18"/>
    <s v="Electronics"/>
    <s v="Networking"/>
    <n v="4"/>
    <n v="480"/>
    <n v="513.6"/>
    <n v="0.02"/>
    <x v="241"/>
    <n v="1920"/>
    <n v="93.311999999999998"/>
    <n v="4.6347510967003597E-2"/>
  </r>
  <r>
    <s v="ORD-224-4"/>
    <s v="ORD-224"/>
    <s v="USR-879705"/>
    <s v="ST-S-00236"/>
    <s v="PRD-519"/>
    <x v="218"/>
    <d v="2026-01-17T00:00:00"/>
    <d v="2026-01-20T00:00:00"/>
    <x v="0"/>
    <x v="4"/>
    <x v="0"/>
    <x v="0"/>
    <x v="1"/>
    <s v="Accessories"/>
    <s v="Peripherals"/>
    <n v="5"/>
    <n v="210"/>
    <n v="222.6"/>
    <n v="0.02"/>
    <x v="242"/>
    <n v="1050"/>
    <n v="40.74"/>
    <n v="3.73507893723527E-2"/>
  </r>
  <r>
    <s v="ORD-328-2"/>
    <s v="ORD-328"/>
    <s v="USR-882779"/>
    <s v="ST-S-00245"/>
    <s v="PRD-247"/>
    <x v="219"/>
    <d v="2025-01-18T00:00:00"/>
    <d v="2025-01-22T00:00:00"/>
    <x v="0"/>
    <x v="2"/>
    <x v="0"/>
    <x v="4"/>
    <x v="10"/>
    <s v="Furniture"/>
    <s v="Desks"/>
    <n v="7"/>
    <n v="1530"/>
    <n v="1790.1"/>
    <n v="0.08"/>
    <x v="243"/>
    <n v="10710"/>
    <n v="818.24400000000003"/>
    <n v="7.0977331846897099E-2"/>
  </r>
  <r>
    <s v="ORD-337-3"/>
    <s v="ORD-337"/>
    <s v="USR-527468"/>
    <s v="ST-O-00218"/>
    <s v="PRD-592"/>
    <x v="220"/>
    <d v="2024-04-17T00:00:00"/>
    <d v="2024-04-22T00:00:00"/>
    <x v="1"/>
    <x v="0"/>
    <x v="2"/>
    <x v="2"/>
    <x v="12"/>
    <s v="Accessories"/>
    <s v="Connectivity"/>
    <n v="1"/>
    <n v="580"/>
    <n v="667"/>
    <n v="0.06"/>
    <x v="244"/>
    <n v="580"/>
    <n v="46.98"/>
    <n v="7.4930619796484702E-2"/>
  </r>
  <r>
    <s v="ORD-334-1"/>
    <s v="ORD-334"/>
    <s v="USR-189042"/>
    <s v="ST-P-00537"/>
    <s v="PRD-900"/>
    <x v="221"/>
    <d v="2024-03-21T00:00:00"/>
    <d v="2024-03-24T00:00:00"/>
    <x v="0"/>
    <x v="3"/>
    <x v="1"/>
    <x v="3"/>
    <x v="16"/>
    <s v="Furniture"/>
    <s v="Desks"/>
    <n v="12"/>
    <n v="930"/>
    <n v="1078.8"/>
    <n v="7.0000000000000007E-2"/>
    <x v="245"/>
    <n v="11160"/>
    <n v="879.40800000000002"/>
    <n v="7.3044123099740399E-2"/>
  </r>
  <r>
    <s v="ORD-151-2"/>
    <s v="ORD-151"/>
    <s v="USR-406176"/>
    <s v="ST-O-00190"/>
    <s v="PRD-709"/>
    <x v="222"/>
    <d v="2025-02-01T00:00:00"/>
    <d v="2025-02-05T00:00:00"/>
    <x v="1"/>
    <x v="1"/>
    <x v="2"/>
    <x v="3"/>
    <x v="8"/>
    <s v="Furniture"/>
    <s v="Lighting"/>
    <n v="2"/>
    <n v="280"/>
    <n v="336"/>
    <n v="0.09"/>
    <x v="246"/>
    <n v="560"/>
    <n v="51.52"/>
    <n v="8.42490842490842E-2"/>
  </r>
  <r>
    <s v="ORD-357-1"/>
    <s v="ORD-357"/>
    <s v="USR-806430"/>
    <s v="ST-O-00271"/>
    <s v="PRD-597"/>
    <x v="223"/>
    <d v="2025-11-17T00:00:00"/>
    <d v="2025-11-19T00:00:00"/>
    <x v="1"/>
    <x v="1"/>
    <x v="2"/>
    <x v="3"/>
    <x v="0"/>
    <s v="Furniture"/>
    <s v="Chairs"/>
    <n v="3"/>
    <n v="730"/>
    <n v="824.9"/>
    <n v="0"/>
    <x v="247"/>
    <n v="2190"/>
    <n v="284.7"/>
    <n v="0.11504424778761101"/>
  </r>
  <r>
    <s v="ORD-226-1"/>
    <s v="ORD-226"/>
    <s v="USR-710281"/>
    <s v="ST-O-00690"/>
    <s v="PRD-643"/>
    <x v="224"/>
    <d v="2024-12-26T00:00:00"/>
    <d v="2024-12-30T00:00:00"/>
    <x v="1"/>
    <x v="4"/>
    <x v="2"/>
    <x v="1"/>
    <x v="5"/>
    <s v="Electronics"/>
    <s v="Laptops"/>
    <n v="2"/>
    <n v="3030"/>
    <n v="3211.8"/>
    <n v="0.04"/>
    <x v="248"/>
    <n v="6060"/>
    <n v="106.65600000000001"/>
    <n v="1.7295597484276701E-2"/>
  </r>
  <r>
    <s v="ORD-291-1"/>
    <s v="ORD-291"/>
    <s v="USR-132437"/>
    <s v="ST-S-00505"/>
    <s v="PRD-117"/>
    <x v="213"/>
    <d v="2025-03-18T00:00:00"/>
    <d v="2025-03-21T00:00:00"/>
    <x v="0"/>
    <x v="0"/>
    <x v="0"/>
    <x v="3"/>
    <x v="2"/>
    <s v="Electronics"/>
    <s v="Printers"/>
    <n v="7"/>
    <n v="1230"/>
    <n v="1328.4"/>
    <n v="0.01"/>
    <x v="249"/>
    <n v="8610"/>
    <n v="595.81200000000001"/>
    <n v="6.4721286943509204E-2"/>
  </r>
  <r>
    <s v="ORD-375-4"/>
    <s v="ORD-375"/>
    <s v="USR-158682"/>
    <s v="ST-S-00810"/>
    <s v="PRD-273"/>
    <x v="225"/>
    <d v="2024-07-14T00:00:00"/>
    <d v="2024-07-15T00:00:00"/>
    <x v="0"/>
    <x v="3"/>
    <x v="0"/>
    <x v="0"/>
    <x v="4"/>
    <s v="Furniture"/>
    <s v="Chairs"/>
    <n v="5"/>
    <n v="1080"/>
    <n v="1112.4000000000001"/>
    <n v="0.03"/>
    <x v="250"/>
    <n v="5400"/>
    <n v="-4.8600000000000003"/>
    <n v="-9.0081072965669101E-4"/>
  </r>
  <r>
    <s v="ORD-250-2"/>
    <s v="ORD-250"/>
    <s v="USR-481000"/>
    <s v="ST-P-00247"/>
    <s v="PRD-519"/>
    <x v="226"/>
    <d v="2024-09-07T00:00:00"/>
    <d v="2024-09-09T00:00:00"/>
    <x v="0"/>
    <x v="4"/>
    <x v="1"/>
    <x v="2"/>
    <x v="1"/>
    <s v="Accessories"/>
    <s v="Peripherals"/>
    <n v="11"/>
    <n v="210"/>
    <n v="222.6"/>
    <n v="0.01"/>
    <x v="251"/>
    <n v="2310"/>
    <n v="114.114"/>
    <n v="4.7074518772632003E-2"/>
  </r>
  <r>
    <s v="ORD-203-1"/>
    <s v="ORD-203"/>
    <s v="USR-742023"/>
    <s v="ST-S-00419"/>
    <s v="PRD-660"/>
    <x v="227"/>
    <d v="2024-09-14T00:00:00"/>
    <d v="2024-09-18T00:00:00"/>
    <x v="0"/>
    <x v="3"/>
    <x v="0"/>
    <x v="2"/>
    <x v="15"/>
    <s v="Accessories"/>
    <s v="Peripherals"/>
    <n v="5"/>
    <n v="350"/>
    <n v="364"/>
    <n v="0.08"/>
    <x v="252"/>
    <n v="1750"/>
    <n v="-75.599999999999994"/>
    <n v="-4.51505016722408E-2"/>
  </r>
  <r>
    <s v="ORD-287-2"/>
    <s v="ORD-287"/>
    <s v="USR-807745"/>
    <s v="ST-P-00680"/>
    <s v="PRD-643"/>
    <x v="228"/>
    <d v="2026-05-29T00:00:00"/>
    <d v="2026-06-02T00:00:00"/>
    <x v="0"/>
    <x v="1"/>
    <x v="1"/>
    <x v="1"/>
    <x v="5"/>
    <s v="Electronics"/>
    <s v="Laptops"/>
    <n v="6"/>
    <n v="3030"/>
    <n v="3211.8"/>
    <n v="0.02"/>
    <x v="253"/>
    <n v="18180"/>
    <n v="705.38400000000001"/>
    <n v="3.73507893723527E-2"/>
  </r>
  <r>
    <s v="ORD-267-2"/>
    <s v="ORD-267"/>
    <s v="USR-940828"/>
    <s v="ST-S-00488"/>
    <s v="PRD-117"/>
    <x v="229"/>
    <d v="2026-01-30T00:00:00"/>
    <d v="2026-02-01T00:00:00"/>
    <x v="0"/>
    <x v="3"/>
    <x v="0"/>
    <x v="1"/>
    <x v="2"/>
    <s v="Electronics"/>
    <s v="Printers"/>
    <n v="10"/>
    <n v="1230"/>
    <n v="1328.4"/>
    <n v="0.08"/>
    <x v="254"/>
    <n v="12300"/>
    <n v="-78.72"/>
    <n v="-6.4412238325281803E-3"/>
  </r>
  <r>
    <s v="ORD-294-2"/>
    <s v="ORD-294"/>
    <s v="USR-396360"/>
    <s v="ST-O-00741"/>
    <s v="PRD-660"/>
    <x v="230"/>
    <d v="2025-03-06T00:00:00"/>
    <d v="2025-03-08T00:00:00"/>
    <x v="0"/>
    <x v="3"/>
    <x v="2"/>
    <x v="0"/>
    <x v="15"/>
    <s v="Accessories"/>
    <s v="Peripherals"/>
    <n v="10"/>
    <n v="350"/>
    <n v="364"/>
    <n v="0"/>
    <x v="255"/>
    <n v="3500"/>
    <n v="140"/>
    <n v="3.8461538461538498E-2"/>
  </r>
  <r>
    <s v="ORD-389-2"/>
    <s v="ORD-389"/>
    <s v="USR-162376"/>
    <s v="ST-S-00115"/>
    <s v="PRD-148"/>
    <x v="231"/>
    <d v="2024-08-04T00:00:00"/>
    <d v="2024-08-06T00:00:00"/>
    <x v="1"/>
    <x v="2"/>
    <x v="0"/>
    <x v="4"/>
    <x v="14"/>
    <s v="Accessories"/>
    <s v="Connectivity"/>
    <n v="3"/>
    <n v="170"/>
    <n v="188.7"/>
    <n v="0.1"/>
    <x v="256"/>
    <n v="510"/>
    <n v="-0.51"/>
    <n v="-1.0010010010009999E-3"/>
  </r>
  <r>
    <s v="ORD-202-3"/>
    <s v="ORD-202"/>
    <s v="USR-387460"/>
    <s v="ST-S-00482"/>
    <s v="PRD-592"/>
    <x v="135"/>
    <d v="2025-07-24T00:00:00"/>
    <d v="2025-07-28T00:00:00"/>
    <x v="1"/>
    <x v="4"/>
    <x v="0"/>
    <x v="4"/>
    <x v="12"/>
    <s v="Accessories"/>
    <s v="Connectivity"/>
    <n v="2"/>
    <n v="580"/>
    <n v="667"/>
    <n v="0.06"/>
    <x v="257"/>
    <n v="1160"/>
    <n v="93.96"/>
    <n v="7.4930619796484702E-2"/>
  </r>
  <r>
    <s v="ORD-352-2"/>
    <s v="ORD-352"/>
    <s v="USR-673650"/>
    <s v="ST-S-00217"/>
    <s v="PRD-519"/>
    <x v="232"/>
    <d v="2024-11-27T00:00:00"/>
    <d v="2024-11-28T00:00:00"/>
    <x v="1"/>
    <x v="0"/>
    <x v="0"/>
    <x v="2"/>
    <x v="1"/>
    <s v="Accessories"/>
    <s v="Peripherals"/>
    <n v="4"/>
    <n v="210"/>
    <n v="222.6"/>
    <n v="0.03"/>
    <x v="258"/>
    <n v="840"/>
    <n v="23.687999999999999"/>
    <n v="2.74265707060883E-2"/>
  </r>
  <r>
    <s v="ORD-247-1"/>
    <s v="ORD-247"/>
    <s v="USR-806690"/>
    <s v="ST-S-00423"/>
    <s v="PRD-117"/>
    <x v="233"/>
    <d v="2024-01-26T00:00:00"/>
    <d v="2024-01-29T00:00:00"/>
    <x v="0"/>
    <x v="1"/>
    <x v="0"/>
    <x v="1"/>
    <x v="2"/>
    <s v="Electronics"/>
    <s v="Printers"/>
    <n v="8"/>
    <n v="1230"/>
    <n v="1328.4"/>
    <n v="7.0000000000000007E-2"/>
    <x v="259"/>
    <n v="9840"/>
    <n v="43.295999999999999"/>
    <n v="4.3807248108323404E-3"/>
  </r>
  <r>
    <s v="ORD-164-3"/>
    <s v="ORD-164"/>
    <s v="USR-932623"/>
    <s v="ST-P-00656"/>
    <s v="PRD-811"/>
    <x v="204"/>
    <d v="2024-05-24T00:00:00"/>
    <d v="2024-05-28T00:00:00"/>
    <x v="0"/>
    <x v="1"/>
    <x v="1"/>
    <x v="3"/>
    <x v="9"/>
    <s v="Electronics"/>
    <s v="Cameras"/>
    <n v="6"/>
    <n v="430"/>
    <n v="455.8"/>
    <n v="0.01"/>
    <x v="260"/>
    <n v="2580"/>
    <n v="127.452"/>
    <n v="4.7074518772632003E-2"/>
  </r>
  <r>
    <s v="ORD-377-3"/>
    <s v="ORD-377"/>
    <s v="USR-287719"/>
    <s v="ST-S-00979"/>
    <s v="PRD-517"/>
    <x v="234"/>
    <d v="2025-10-11T00:00:00"/>
    <d v="2025-10-15T00:00:00"/>
    <x v="0"/>
    <x v="4"/>
    <x v="0"/>
    <x v="1"/>
    <x v="3"/>
    <s v="Electronics"/>
    <s v="Monitors"/>
    <n v="7"/>
    <n v="1030"/>
    <n v="1174.2"/>
    <n v="0.03"/>
    <x v="261"/>
    <n v="7210"/>
    <n v="762.81799999999998"/>
    <n v="9.5677337674082097E-2"/>
  </r>
  <r>
    <s v="ORD-358-4"/>
    <s v="ORD-358"/>
    <s v="USR-388299"/>
    <s v="ST-S-00664"/>
    <s v="PRD-686"/>
    <x v="48"/>
    <d v="2024-03-12T00:00:00"/>
    <d v="2024-03-15T00:00:00"/>
    <x v="1"/>
    <x v="2"/>
    <x v="0"/>
    <x v="4"/>
    <x v="11"/>
    <s v="Electronics"/>
    <s v="Monitors"/>
    <n v="4"/>
    <n v="1630"/>
    <n v="1744.1"/>
    <n v="0.01"/>
    <x v="262"/>
    <n v="6520"/>
    <n v="386.63600000000002"/>
    <n v="5.5980364391579301E-2"/>
  </r>
  <r>
    <s v="ORD-166-1"/>
    <s v="ORD-166"/>
    <s v="USR-407729"/>
    <s v="ST-S-00790"/>
    <s v="PRD-519"/>
    <x v="235"/>
    <d v="2024-12-05T00:00:00"/>
    <d v="2024-12-06T00:00:00"/>
    <x v="1"/>
    <x v="0"/>
    <x v="0"/>
    <x v="2"/>
    <x v="1"/>
    <s v="Accessories"/>
    <s v="Peripherals"/>
    <n v="3"/>
    <n v="210"/>
    <n v="222.6"/>
    <n v="0.01"/>
    <x v="263"/>
    <n v="630"/>
    <n v="31.122"/>
    <n v="4.7074518772632003E-2"/>
  </r>
  <r>
    <s v="ORD-218-1"/>
    <s v="ORD-218"/>
    <s v="USR-890879"/>
    <s v="ST-O-00130"/>
    <s v="PRD-873"/>
    <x v="236"/>
    <d v="2026-05-26T00:00:00"/>
    <d v="2026-05-31T00:00:00"/>
    <x v="1"/>
    <x v="3"/>
    <x v="2"/>
    <x v="3"/>
    <x v="18"/>
    <s v="Electronics"/>
    <s v="Networking"/>
    <n v="2"/>
    <n v="480"/>
    <n v="513.6"/>
    <n v="0.02"/>
    <x v="264"/>
    <n v="960"/>
    <n v="46.655999999999999"/>
    <n v="4.6347510967003597E-2"/>
  </r>
  <r>
    <s v="ORD-227-1"/>
    <s v="ORD-227"/>
    <s v="USR-727853"/>
    <s v="ST-S-00355"/>
    <s v="PRD-361"/>
    <x v="237"/>
    <d v="2024-10-11T00:00:00"/>
    <d v="2024-10-14T00:00:00"/>
    <x v="1"/>
    <x v="3"/>
    <x v="0"/>
    <x v="1"/>
    <x v="13"/>
    <s v="Accessories"/>
    <s v="Audio"/>
    <n v="1"/>
    <n v="390"/>
    <n v="468"/>
    <n v="0"/>
    <x v="265"/>
    <n v="390"/>
    <n v="78"/>
    <n v="0.16666666666666699"/>
  </r>
  <r>
    <s v="ORD-249-1"/>
    <s v="ORD-249"/>
    <s v="USR-945980"/>
    <s v="ST-S-00564"/>
    <s v="PRD-284"/>
    <x v="84"/>
    <d v="2026-01-22T00:00:00"/>
    <d v="2026-01-24T00:00:00"/>
    <x v="0"/>
    <x v="0"/>
    <x v="0"/>
    <x v="4"/>
    <x v="7"/>
    <s v="Electronics"/>
    <s v="Storage"/>
    <n v="8"/>
    <n v="650"/>
    <n v="663"/>
    <n v="0.05"/>
    <x v="266"/>
    <n v="5200"/>
    <n v="-161.19999999999999"/>
    <n v="-3.1991744066047503E-2"/>
  </r>
  <r>
    <s v="ORD-291-2"/>
    <s v="ORD-291"/>
    <s v="USR-552836"/>
    <s v="ST-O-00499"/>
    <s v="PRD-900"/>
    <x v="123"/>
    <d v="2025-06-21T00:00:00"/>
    <d v="2025-06-24T00:00:00"/>
    <x v="0"/>
    <x v="0"/>
    <x v="2"/>
    <x v="4"/>
    <x v="16"/>
    <s v="Furniture"/>
    <s v="Desks"/>
    <n v="8"/>
    <n v="930"/>
    <n v="1078.8"/>
    <n v="0"/>
    <x v="267"/>
    <n v="7440"/>
    <n v="1190.4000000000001"/>
    <n v="0.13793103448275901"/>
  </r>
  <r>
    <s v="ORD-336-3"/>
    <s v="ORD-336"/>
    <s v="USR-678978"/>
    <s v="ST-O-00405"/>
    <s v="PRD-181"/>
    <x v="238"/>
    <d v="2024-10-17T00:00:00"/>
    <d v="2024-10-19T00:00:00"/>
    <x v="0"/>
    <x v="4"/>
    <x v="2"/>
    <x v="0"/>
    <x v="6"/>
    <s v="Accessories"/>
    <s v="Audio"/>
    <n v="10"/>
    <n v="250"/>
    <n v="270"/>
    <n v="0"/>
    <x v="268"/>
    <n v="2500"/>
    <n v="200"/>
    <n v="7.4074074074074098E-2"/>
  </r>
  <r>
    <s v="ORD-335-2"/>
    <s v="ORD-335"/>
    <s v="USR-498993"/>
    <s v="ST-S-00935"/>
    <s v="PRD-247"/>
    <x v="239"/>
    <d v="2025-11-15T00:00:00"/>
    <d v="2025-11-17T00:00:00"/>
    <x v="1"/>
    <x v="1"/>
    <x v="0"/>
    <x v="1"/>
    <x v="10"/>
    <s v="Furniture"/>
    <s v="Desks"/>
    <n v="3"/>
    <n v="1530"/>
    <n v="1790.1"/>
    <n v="0.01"/>
    <x v="269"/>
    <n v="4590"/>
    <n v="726.59699999999998"/>
    <n v="0.13666580333247"/>
  </r>
  <r>
    <s v="ORD-358-5"/>
    <s v="ORD-358"/>
    <s v="USR-801815"/>
    <s v="ST-P-00525"/>
    <s v="PRD-181"/>
    <x v="21"/>
    <d v="2025-06-03T00:00:00"/>
    <d v="2025-06-06T00:00:00"/>
    <x v="0"/>
    <x v="3"/>
    <x v="1"/>
    <x v="0"/>
    <x v="6"/>
    <s v="Accessories"/>
    <s v="Audio"/>
    <n v="7"/>
    <n v="250"/>
    <n v="270"/>
    <n v="0.06"/>
    <x v="134"/>
    <n v="1750"/>
    <n v="26.6"/>
    <n v="1.49724192277384E-2"/>
  </r>
  <r>
    <s v="ORD-186-1"/>
    <s v="ORD-186"/>
    <s v="USR-145230"/>
    <s v="ST-S-00349"/>
    <s v="PRD-686"/>
    <x v="223"/>
    <d v="2025-11-17T00:00:00"/>
    <d v="2025-11-20T00:00:00"/>
    <x v="0"/>
    <x v="3"/>
    <x v="0"/>
    <x v="2"/>
    <x v="11"/>
    <s v="Electronics"/>
    <s v="Monitors"/>
    <n v="9"/>
    <n v="1630"/>
    <n v="1744.1"/>
    <n v="0.02"/>
    <x v="270"/>
    <n v="14670"/>
    <n v="712.96199999999999"/>
    <n v="4.6347510967003597E-2"/>
  </r>
  <r>
    <s v="ORD-343-4"/>
    <s v="ORD-343"/>
    <s v="USR-534283"/>
    <s v="ST-P-00397"/>
    <s v="PRD-148"/>
    <x v="240"/>
    <d v="2024-03-16T00:00:00"/>
    <d v="2024-03-18T00:00:00"/>
    <x v="0"/>
    <x v="2"/>
    <x v="1"/>
    <x v="2"/>
    <x v="14"/>
    <s v="Accessories"/>
    <s v="Connectivity"/>
    <n v="8"/>
    <n v="170"/>
    <n v="188.7"/>
    <n v="7.0000000000000007E-2"/>
    <x v="271"/>
    <n v="1360"/>
    <n v="43.927999999999997"/>
    <n v="3.1289353869999002E-2"/>
  </r>
  <r>
    <s v="ORD-197-2"/>
    <s v="ORD-197"/>
    <s v="USR-543708"/>
    <s v="ST-O-00846"/>
    <s v="PRD-811"/>
    <x v="241"/>
    <d v="2025-03-30T00:00:00"/>
    <d v="2025-04-03T00:00:00"/>
    <x v="0"/>
    <x v="4"/>
    <x v="2"/>
    <x v="2"/>
    <x v="9"/>
    <s v="Electronics"/>
    <s v="Cameras"/>
    <n v="6"/>
    <n v="430"/>
    <n v="455.8"/>
    <n v="0.02"/>
    <x v="272"/>
    <n v="2580"/>
    <n v="100.104"/>
    <n v="3.73507893723527E-2"/>
  </r>
  <r>
    <s v="ORD-353-2"/>
    <s v="ORD-353"/>
    <s v="USR-379878"/>
    <s v="ST-O-00650"/>
    <s v="PRD-778"/>
    <x v="242"/>
    <d v="2025-01-03T00:00:00"/>
    <d v="2025-01-04T00:00:00"/>
    <x v="1"/>
    <x v="0"/>
    <x v="2"/>
    <x v="3"/>
    <x v="19"/>
    <s v="Electronics"/>
    <s v="Laptops"/>
    <n v="1"/>
    <n v="3330"/>
    <n v="3629.7"/>
    <n v="0.02"/>
    <x v="273"/>
    <n v="3330"/>
    <n v="227.10599999999999"/>
    <n v="6.3845721774948502E-2"/>
  </r>
  <r>
    <s v="ORD-278-1"/>
    <s v="ORD-278"/>
    <s v="USR-482549"/>
    <s v="ST-P-00393"/>
    <s v="PRD-686"/>
    <x v="243"/>
    <d v="2025-09-18T00:00:00"/>
    <d v="2025-09-23T00:00:00"/>
    <x v="0"/>
    <x v="0"/>
    <x v="1"/>
    <x v="1"/>
    <x v="11"/>
    <s v="Electronics"/>
    <s v="Monitors"/>
    <n v="9"/>
    <n v="1630"/>
    <n v="1744.1"/>
    <n v="0.01"/>
    <x v="274"/>
    <n v="14670"/>
    <n v="869.93100000000004"/>
    <n v="5.5980364391579301E-2"/>
  </r>
  <r>
    <s v="ORD-232-1"/>
    <s v="ORD-232"/>
    <s v="USR-714526"/>
    <s v="ST-S-00176"/>
    <s v="PRD-709"/>
    <x v="244"/>
    <d v="2024-06-18T00:00:00"/>
    <d v="2024-06-19T00:00:00"/>
    <x v="0"/>
    <x v="4"/>
    <x v="0"/>
    <x v="2"/>
    <x v="8"/>
    <s v="Furniture"/>
    <s v="Lighting"/>
    <n v="7"/>
    <n v="280"/>
    <n v="336"/>
    <n v="0.01"/>
    <x v="163"/>
    <n v="1960"/>
    <n v="368.48"/>
    <n v="0.158249158249158"/>
  </r>
  <r>
    <s v="ORD-379-2"/>
    <s v="ORD-379"/>
    <s v="USR-695980"/>
    <s v="ST-S-00531"/>
    <s v="PRD-112"/>
    <x v="175"/>
    <d v="2024-10-02T00:00:00"/>
    <d v="2024-10-06T00:00:00"/>
    <x v="0"/>
    <x v="4"/>
    <x v="0"/>
    <x v="4"/>
    <x v="17"/>
    <s v="Electronics"/>
    <s v="Laptops"/>
    <n v="5"/>
    <n v="3930"/>
    <n v="4362.3"/>
    <n v="7.0000000000000007E-2"/>
    <x v="275"/>
    <n v="19650"/>
    <n v="634.69500000000005"/>
    <n v="3.1289353869999002E-2"/>
  </r>
  <r>
    <s v="ORD-162-2"/>
    <s v="ORD-162"/>
    <s v="USR-260208"/>
    <s v="ST-S-00509"/>
    <s v="PRD-778"/>
    <x v="245"/>
    <d v="2025-04-15T00:00:00"/>
    <d v="2025-04-17T00:00:00"/>
    <x v="0"/>
    <x v="4"/>
    <x v="0"/>
    <x v="0"/>
    <x v="19"/>
    <s v="Electronics"/>
    <s v="Laptops"/>
    <n v="10"/>
    <n v="3330"/>
    <n v="3629.7"/>
    <n v="0.06"/>
    <x v="276"/>
    <n v="33300"/>
    <n v="819.18"/>
    <n v="2.4009369510052701E-2"/>
  </r>
  <r>
    <s v="ORD-292-1"/>
    <s v="ORD-292"/>
    <s v="USR-871421"/>
    <s v="ST-P-00154"/>
    <s v="PRD-273"/>
    <x v="246"/>
    <d v="2024-07-25T00:00:00"/>
    <d v="2024-07-29T00:00:00"/>
    <x v="0"/>
    <x v="2"/>
    <x v="1"/>
    <x v="0"/>
    <x v="4"/>
    <s v="Furniture"/>
    <s v="Chairs"/>
    <n v="6"/>
    <n v="1080"/>
    <n v="1112.4000000000001"/>
    <n v="0.06"/>
    <x v="277"/>
    <n v="6480"/>
    <n v="-206.06399999999999"/>
    <n v="-3.2844453625284001E-2"/>
  </r>
  <r>
    <s v="ORD-194-1"/>
    <s v="ORD-194"/>
    <s v="USR-262521"/>
    <s v="ST-S-00917"/>
    <s v="PRD-247"/>
    <x v="247"/>
    <d v="2024-01-18T00:00:00"/>
    <d v="2024-01-20T00:00:00"/>
    <x v="0"/>
    <x v="0"/>
    <x v="0"/>
    <x v="2"/>
    <x v="10"/>
    <s v="Furniture"/>
    <s v="Desks"/>
    <n v="10"/>
    <n v="1530"/>
    <n v="1790.1"/>
    <n v="7.0000000000000007E-2"/>
    <x v="278"/>
    <n v="15300"/>
    <n v="1347.93"/>
    <n v="8.0966822902306806E-2"/>
  </r>
  <r>
    <s v="ORD-245-3"/>
    <s v="ORD-245"/>
    <s v="USR-797298"/>
    <s v="ST-P-00306"/>
    <s v="PRD-686"/>
    <x v="101"/>
    <d v="2026-05-22T00:00:00"/>
    <d v="2026-05-27T00:00:00"/>
    <x v="0"/>
    <x v="0"/>
    <x v="1"/>
    <x v="2"/>
    <x v="11"/>
    <s v="Electronics"/>
    <s v="Monitors"/>
    <n v="6"/>
    <n v="1630"/>
    <n v="1744.1"/>
    <n v="0.1"/>
    <x v="279"/>
    <n v="9780"/>
    <n v="-361.86"/>
    <n v="-3.8421599169262702E-2"/>
  </r>
  <r>
    <s v="ORD-268-3"/>
    <s v="ORD-268"/>
    <s v="USR-323024"/>
    <s v="ST-O-00603"/>
    <s v="PRD-811"/>
    <x v="225"/>
    <d v="2024-07-13T00:00:00"/>
    <d v="2024-07-16T00:00:00"/>
    <x v="0"/>
    <x v="1"/>
    <x v="2"/>
    <x v="0"/>
    <x v="9"/>
    <s v="Electronics"/>
    <s v="Cameras"/>
    <n v="10"/>
    <n v="430"/>
    <n v="455.8"/>
    <n v="0.08"/>
    <x v="280"/>
    <n v="4300"/>
    <n v="-106.64"/>
    <n v="-2.5430680885972098E-2"/>
  </r>
  <r>
    <s v="ORD-198-1"/>
    <s v="ORD-198"/>
    <s v="USR-759696"/>
    <s v="ST-S-00260"/>
    <s v="PRD-112"/>
    <x v="248"/>
    <d v="2024-10-24T00:00:00"/>
    <d v="2024-10-27T00:00:00"/>
    <x v="0"/>
    <x v="0"/>
    <x v="0"/>
    <x v="2"/>
    <x v="17"/>
    <s v="Electronics"/>
    <s v="Laptops"/>
    <n v="9"/>
    <n v="3930"/>
    <n v="4362.3"/>
    <n v="0.1"/>
    <x v="281"/>
    <n v="35370"/>
    <n v="-35.369999999999997"/>
    <n v="-1.0010010010009999E-3"/>
  </r>
  <r>
    <s v="ORD-278-2"/>
    <s v="ORD-278"/>
    <s v="USR-973050"/>
    <s v="ST-P-00140"/>
    <s v="PRD-517"/>
    <x v="249"/>
    <d v="2024-04-17T00:00:00"/>
    <d v="2024-04-21T00:00:00"/>
    <x v="0"/>
    <x v="1"/>
    <x v="1"/>
    <x v="1"/>
    <x v="3"/>
    <s v="Electronics"/>
    <s v="Monitors"/>
    <n v="13"/>
    <n v="1030"/>
    <n v="1174.2"/>
    <n v="0"/>
    <x v="20"/>
    <n v="13390"/>
    <n v="1874.6"/>
    <n v="0.12280701754386"/>
  </r>
  <r>
    <s v="ORD-207-2"/>
    <s v="ORD-207"/>
    <s v="USR-219600"/>
    <s v="ST-O-00228"/>
    <s v="PRD-117"/>
    <x v="250"/>
    <d v="2025-11-22T00:00:00"/>
    <d v="2025-11-23T00:00:00"/>
    <x v="1"/>
    <x v="4"/>
    <x v="2"/>
    <x v="1"/>
    <x v="2"/>
    <s v="Electronics"/>
    <s v="Printers"/>
    <n v="4"/>
    <n v="1230"/>
    <n v="1328.4"/>
    <n v="0.02"/>
    <x v="282"/>
    <n v="4920"/>
    <n v="287.32799999999997"/>
    <n v="5.5177626606198002E-2"/>
  </r>
  <r>
    <s v="ORD-234-1"/>
    <s v="ORD-234"/>
    <s v="USR-670434"/>
    <s v="ST-P-00505"/>
    <s v="PRD-284"/>
    <x v="109"/>
    <d v="2025-08-01T00:00:00"/>
    <d v="2025-08-02T00:00:00"/>
    <x v="0"/>
    <x v="2"/>
    <x v="1"/>
    <x v="4"/>
    <x v="7"/>
    <s v="Electronics"/>
    <s v="Storage"/>
    <n v="7"/>
    <n v="650"/>
    <n v="663"/>
    <n v="0.05"/>
    <x v="283"/>
    <n v="4550"/>
    <n v="-141.05000000000001"/>
    <n v="-3.1991744066047503E-2"/>
  </r>
  <r>
    <s v="ORD-272-2"/>
    <s v="ORD-272"/>
    <s v="USR-374839"/>
    <s v="ST-S-00422"/>
    <s v="PRD-273"/>
    <x v="251"/>
    <d v="2026-05-27T00:00:00"/>
    <d v="2026-05-30T00:00:00"/>
    <x v="0"/>
    <x v="1"/>
    <x v="0"/>
    <x v="3"/>
    <x v="4"/>
    <s v="Furniture"/>
    <s v="Chairs"/>
    <n v="6"/>
    <n v="1080"/>
    <n v="1112.4000000000001"/>
    <n v="0"/>
    <x v="284"/>
    <n v="6480"/>
    <n v="194.4"/>
    <n v="2.9126213592233E-2"/>
  </r>
  <r>
    <s v="ORD-160-3"/>
    <s v="ORD-160"/>
    <s v="USR-613512"/>
    <s v="ST-S-00238"/>
    <s v="PRD-273"/>
    <x v="252"/>
    <d v="2025-06-28T00:00:00"/>
    <d v="2025-06-30T00:00:00"/>
    <x v="0"/>
    <x v="4"/>
    <x v="0"/>
    <x v="1"/>
    <x v="4"/>
    <s v="Furniture"/>
    <s v="Chairs"/>
    <n v="6"/>
    <n v="1080"/>
    <n v="1112.4000000000001"/>
    <n v="0.02"/>
    <x v="285"/>
    <n v="6480"/>
    <n v="60.911999999999999"/>
    <n v="9.3124628492173601E-3"/>
  </r>
  <r>
    <s v="ORD-320-2"/>
    <s v="ORD-320"/>
    <s v="USR-473589"/>
    <s v="ST-S-00576"/>
    <s v="PRD-247"/>
    <x v="184"/>
    <d v="2025-04-15T00:00:00"/>
    <d v="2025-04-19T00:00:00"/>
    <x v="0"/>
    <x v="4"/>
    <x v="0"/>
    <x v="2"/>
    <x v="10"/>
    <s v="Furniture"/>
    <s v="Desks"/>
    <n v="9"/>
    <n v="1530"/>
    <n v="1790.1"/>
    <n v="0.03"/>
    <x v="286"/>
    <n v="13770"/>
    <n v="1857.5730000000001"/>
    <n v="0.118865098246542"/>
  </r>
  <r>
    <s v="ORD-266-2"/>
    <s v="ORD-266"/>
    <s v="USR-776922"/>
    <s v="ST-P-00220"/>
    <s v="PRD-643"/>
    <x v="253"/>
    <d v="2025-08-29T00:00:00"/>
    <d v="2025-09-01T00:00:00"/>
    <x v="0"/>
    <x v="2"/>
    <x v="1"/>
    <x v="1"/>
    <x v="5"/>
    <s v="Electronics"/>
    <s v="Laptops"/>
    <n v="11"/>
    <n v="3030"/>
    <n v="3211.8"/>
    <n v="0.1"/>
    <x v="196"/>
    <n v="33330"/>
    <n v="-1533.18"/>
    <n v="-4.8218029350104802E-2"/>
  </r>
  <r>
    <s v="ORD-218-2"/>
    <s v="ORD-218"/>
    <s v="USR-689416"/>
    <s v="ST-O-00434"/>
    <s v="PRD-778"/>
    <x v="254"/>
    <d v="2026-02-12T00:00:00"/>
    <d v="2026-02-16T00:00:00"/>
    <x v="1"/>
    <x v="3"/>
    <x v="2"/>
    <x v="4"/>
    <x v="19"/>
    <s v="Electronics"/>
    <s v="Laptops"/>
    <n v="4"/>
    <n v="3330"/>
    <n v="3629.7"/>
    <n v="0.1"/>
    <x v="287"/>
    <n v="13320"/>
    <n v="-253.08"/>
    <n v="-1.9367991845056099E-2"/>
  </r>
  <r>
    <s v="ORD-219-5"/>
    <s v="ORD-219"/>
    <s v="USR-501434"/>
    <s v="ST-S-00441"/>
    <s v="PRD-660"/>
    <x v="56"/>
    <d v="2025-05-19T00:00:00"/>
    <d v="2025-05-20T00:00:00"/>
    <x v="1"/>
    <x v="3"/>
    <x v="0"/>
    <x v="4"/>
    <x v="15"/>
    <s v="Accessories"/>
    <s v="Peripherals"/>
    <n v="2"/>
    <n v="350"/>
    <n v="364"/>
    <n v="0.05"/>
    <x v="288"/>
    <n v="700"/>
    <n v="-8.4"/>
    <n v="-1.21457489878543E-2"/>
  </r>
  <r>
    <s v="ORD-244-2"/>
    <s v="ORD-244"/>
    <s v="USR-431926"/>
    <s v="ST-S-00615"/>
    <s v="PRD-519"/>
    <x v="255"/>
    <d v="2024-06-12T00:00:00"/>
    <d v="2024-06-16T00:00:00"/>
    <x v="0"/>
    <x v="1"/>
    <x v="0"/>
    <x v="0"/>
    <x v="1"/>
    <s v="Accessories"/>
    <s v="Peripherals"/>
    <n v="5"/>
    <n v="210"/>
    <n v="222.6"/>
    <n v="7.0000000000000007E-2"/>
    <x v="289"/>
    <n v="1050"/>
    <n v="-14.91"/>
    <n v="-1.44045445323595E-2"/>
  </r>
  <r>
    <s v="ORD-363-1"/>
    <s v="ORD-363"/>
    <s v="USR-542921"/>
    <s v="ST-S-00357"/>
    <s v="PRD-592"/>
    <x v="256"/>
    <d v="2024-08-06T00:00:00"/>
    <d v="2024-08-07T00:00:00"/>
    <x v="1"/>
    <x v="4"/>
    <x v="0"/>
    <x v="2"/>
    <x v="12"/>
    <s v="Accessories"/>
    <s v="Connectivity"/>
    <n v="1"/>
    <n v="580"/>
    <n v="667"/>
    <n v="0.09"/>
    <x v="290"/>
    <n v="580"/>
    <n v="26.97"/>
    <n v="4.4433827042522703E-2"/>
  </r>
  <r>
    <s v="ORD-336-4"/>
    <s v="ORD-336"/>
    <s v="USR-873442"/>
    <s v="ST-S-00645"/>
    <s v="PRD-181"/>
    <x v="257"/>
    <d v="2026-03-28T00:00:00"/>
    <d v="2026-04-02T00:00:00"/>
    <x v="0"/>
    <x v="4"/>
    <x v="0"/>
    <x v="4"/>
    <x v="6"/>
    <s v="Accessories"/>
    <s v="Audio"/>
    <n v="5"/>
    <n v="250"/>
    <n v="270"/>
    <n v="0.08"/>
    <x v="291"/>
    <n v="1250"/>
    <n v="-8"/>
    <n v="-6.4412238325281803E-3"/>
  </r>
  <r>
    <s v="ORD-373-3"/>
    <s v="ORD-373"/>
    <s v="USR-792032"/>
    <s v="ST-O-00404"/>
    <s v="PRD-643"/>
    <x v="13"/>
    <d v="2025-08-26T00:00:00"/>
    <d v="2025-08-30T00:00:00"/>
    <x v="0"/>
    <x v="4"/>
    <x v="2"/>
    <x v="3"/>
    <x v="5"/>
    <s v="Electronics"/>
    <s v="Laptops"/>
    <n v="5"/>
    <n v="3030"/>
    <n v="3211.8"/>
    <n v="0.02"/>
    <x v="292"/>
    <n v="15150"/>
    <n v="587.82000000000005"/>
    <n v="3.73507893723527E-2"/>
  </r>
  <r>
    <s v="ORD-375-5"/>
    <s v="ORD-375"/>
    <s v="USR-758478"/>
    <s v="ST-S-00838"/>
    <s v="PRD-709"/>
    <x v="258"/>
    <d v="2024-03-08T00:00:00"/>
    <d v="2024-03-10T00:00:00"/>
    <x v="1"/>
    <x v="4"/>
    <x v="0"/>
    <x v="4"/>
    <x v="8"/>
    <s v="Furniture"/>
    <s v="Lighting"/>
    <n v="2"/>
    <n v="280"/>
    <n v="336"/>
    <n v="0.04"/>
    <x v="293"/>
    <n v="560"/>
    <n v="85.12"/>
    <n v="0.131944444444444"/>
  </r>
  <r>
    <s v="ORD-172-1"/>
    <s v="ORD-172"/>
    <s v="USR-889103"/>
    <s v="ST-P-00926"/>
    <s v="PRD-117"/>
    <x v="259"/>
    <d v="2025-03-17T00:00:00"/>
    <d v="2025-03-22T00:00:00"/>
    <x v="0"/>
    <x v="2"/>
    <x v="1"/>
    <x v="2"/>
    <x v="2"/>
    <s v="Electronics"/>
    <s v="Printers"/>
    <n v="15"/>
    <n v="1230"/>
    <n v="1328.4"/>
    <n v="0.04"/>
    <x v="294"/>
    <n v="18450"/>
    <n v="678.96"/>
    <n v="3.5493827160493797E-2"/>
  </r>
  <r>
    <s v="ORD-203-2"/>
    <s v="ORD-203"/>
    <s v="USR-315459"/>
    <s v="ST-P-00394"/>
    <s v="PRD-148"/>
    <x v="260"/>
    <d v="2024-04-05T00:00:00"/>
    <d v="2024-04-06T00:00:00"/>
    <x v="0"/>
    <x v="3"/>
    <x v="1"/>
    <x v="1"/>
    <x v="14"/>
    <s v="Accessories"/>
    <s v="Connectivity"/>
    <n v="9"/>
    <n v="170"/>
    <n v="188.7"/>
    <n v="0.06"/>
    <x v="295"/>
    <n v="1530"/>
    <n v="66.402000000000001"/>
    <n v="4.1594786275637299E-2"/>
  </r>
  <r>
    <s v="ORD-295-1"/>
    <s v="ORD-295"/>
    <s v="USR-842320"/>
    <s v="ST-S-00554"/>
    <s v="PRD-519"/>
    <x v="261"/>
    <d v="2025-09-28T00:00:00"/>
    <d v="2025-10-01T00:00:00"/>
    <x v="1"/>
    <x v="3"/>
    <x v="0"/>
    <x v="0"/>
    <x v="1"/>
    <s v="Accessories"/>
    <s v="Peripherals"/>
    <n v="1"/>
    <n v="210"/>
    <n v="222.6"/>
    <n v="0"/>
    <x v="296"/>
    <n v="210"/>
    <n v="12.6"/>
    <n v="5.6603773584905703E-2"/>
  </r>
  <r>
    <s v="ORD-345-1"/>
    <s v="ORD-345"/>
    <s v="USR-317250"/>
    <s v="ST-O-00112"/>
    <s v="PRD-811"/>
    <x v="262"/>
    <d v="2025-03-22T00:00:00"/>
    <d v="2025-03-25T00:00:00"/>
    <x v="0"/>
    <x v="4"/>
    <x v="2"/>
    <x v="3"/>
    <x v="9"/>
    <s v="Electronics"/>
    <s v="Cameras"/>
    <n v="7"/>
    <n v="430"/>
    <n v="455.8"/>
    <n v="0.01"/>
    <x v="297"/>
    <n v="3010"/>
    <n v="148.69399999999999"/>
    <n v="4.7074518772632003E-2"/>
  </r>
  <r>
    <s v="ORD-274-2"/>
    <s v="ORD-274"/>
    <s v="USR-427962"/>
    <s v="ST-S-00209"/>
    <s v="PRD-597"/>
    <x v="263"/>
    <d v="2025-03-24T00:00:00"/>
    <d v="2025-03-27T00:00:00"/>
    <x v="1"/>
    <x v="0"/>
    <x v="0"/>
    <x v="2"/>
    <x v="0"/>
    <s v="Furniture"/>
    <s v="Chairs"/>
    <n v="4"/>
    <n v="730"/>
    <n v="824.9"/>
    <n v="7.0000000000000007E-2"/>
    <x v="298"/>
    <n v="2920"/>
    <n v="148.62799999999999"/>
    <n v="4.8434675040441501E-2"/>
  </r>
  <r>
    <s v="ORD-291-3"/>
    <s v="ORD-291"/>
    <s v="USR-456700"/>
    <s v="ST-P-00252"/>
    <s v="PRD-181"/>
    <x v="264"/>
    <d v="2026-04-21T00:00:00"/>
    <d v="2026-04-25T00:00:00"/>
    <x v="0"/>
    <x v="4"/>
    <x v="1"/>
    <x v="1"/>
    <x v="6"/>
    <s v="Accessories"/>
    <s v="Audio"/>
    <n v="12"/>
    <n v="250"/>
    <n v="270"/>
    <n v="0.02"/>
    <x v="100"/>
    <n v="3000"/>
    <n v="175.2"/>
    <n v="5.5177626606198002E-2"/>
  </r>
  <r>
    <s v="ORD-299-2"/>
    <s v="ORD-299"/>
    <s v="USR-166917"/>
    <s v="ST-O-00673"/>
    <s v="PRD-117"/>
    <x v="265"/>
    <d v="2026-06-02T00:00:00"/>
    <d v="2026-06-05T00:00:00"/>
    <x v="1"/>
    <x v="0"/>
    <x v="2"/>
    <x v="4"/>
    <x v="2"/>
    <s v="Electronics"/>
    <s v="Printers"/>
    <n v="1"/>
    <n v="1230"/>
    <n v="1328.4"/>
    <n v="0.1"/>
    <x v="299"/>
    <n v="1230"/>
    <n v="-34.44"/>
    <n v="-2.8806584362139901E-2"/>
  </r>
  <r>
    <s v="ORD-373-4"/>
    <s v="ORD-373"/>
    <s v="USR-787744"/>
    <s v="ST-O-00238"/>
    <s v="PRD-519"/>
    <x v="226"/>
    <d v="2024-09-08T00:00:00"/>
    <d v="2024-09-12T00:00:00"/>
    <x v="0"/>
    <x v="1"/>
    <x v="2"/>
    <x v="2"/>
    <x v="1"/>
    <s v="Accessories"/>
    <s v="Peripherals"/>
    <n v="6"/>
    <n v="210"/>
    <n v="222.6"/>
    <n v="0.03"/>
    <x v="300"/>
    <n v="1260"/>
    <n v="35.531999999999996"/>
    <n v="2.74265707060883E-2"/>
  </r>
  <r>
    <s v="ORD-331-5"/>
    <s v="ORD-331"/>
    <s v="USR-822277"/>
    <s v="ST-O-00781"/>
    <s v="PRD-686"/>
    <x v="169"/>
    <d v="2025-10-08T00:00:00"/>
    <d v="2025-10-12T00:00:00"/>
    <x v="0"/>
    <x v="4"/>
    <x v="2"/>
    <x v="2"/>
    <x v="11"/>
    <s v="Electronics"/>
    <s v="Monitors"/>
    <n v="7"/>
    <n v="1630"/>
    <n v="1744.1"/>
    <n v="0.08"/>
    <x v="301"/>
    <n v="11410"/>
    <n v="-177.99600000000001"/>
    <n v="-1.5847216578626599E-2"/>
  </r>
  <r>
    <s v="ORD-164-4"/>
    <s v="ORD-164"/>
    <s v="USR-913407"/>
    <s v="ST-O-00762"/>
    <s v="PRD-284"/>
    <x v="96"/>
    <d v="2024-03-25T00:00:00"/>
    <d v="2024-03-28T00:00:00"/>
    <x v="0"/>
    <x v="0"/>
    <x v="2"/>
    <x v="4"/>
    <x v="7"/>
    <s v="Electronics"/>
    <s v="Storage"/>
    <n v="10"/>
    <n v="650"/>
    <n v="663"/>
    <n v="0.04"/>
    <x v="302"/>
    <n v="6500"/>
    <n v="-135.19999999999999"/>
    <n v="-2.1241830065359499E-2"/>
  </r>
  <r>
    <s v="ORD-162-3"/>
    <s v="ORD-162"/>
    <s v="USR-757583"/>
    <s v="ST-O-00916"/>
    <s v="PRD-709"/>
    <x v="266"/>
    <d v="2024-07-24T00:00:00"/>
    <d v="2024-07-28T00:00:00"/>
    <x v="0"/>
    <x v="2"/>
    <x v="2"/>
    <x v="0"/>
    <x v="8"/>
    <s v="Furniture"/>
    <s v="Lighting"/>
    <n v="8"/>
    <n v="280"/>
    <n v="336"/>
    <n v="0.1"/>
    <x v="303"/>
    <n v="2240"/>
    <n v="179.2"/>
    <n v="7.4074074074074098E-2"/>
  </r>
  <r>
    <s v="ORD-317-3"/>
    <s v="ORD-317"/>
    <s v="USR-597662"/>
    <s v="ST-S-00470"/>
    <s v="PRD-686"/>
    <x v="267"/>
    <d v="2026-06-14T00:00:00"/>
    <d v="2026-06-19T00:00:00"/>
    <x v="1"/>
    <x v="3"/>
    <x v="0"/>
    <x v="1"/>
    <x v="11"/>
    <s v="Electronics"/>
    <s v="Monitors"/>
    <n v="2"/>
    <n v="1630"/>
    <n v="1744.1"/>
    <n v="0.04"/>
    <x v="304"/>
    <n v="3260"/>
    <n v="88.671999999999997"/>
    <n v="2.6479750778816199E-2"/>
  </r>
  <r>
    <s v="ORD-268-4"/>
    <s v="ORD-268"/>
    <s v="USR-926361"/>
    <s v="ST-P-00658"/>
    <s v="PRD-181"/>
    <x v="4"/>
    <d v="2025-11-04T00:00:00"/>
    <d v="2025-11-07T00:00:00"/>
    <x v="0"/>
    <x v="0"/>
    <x v="1"/>
    <x v="1"/>
    <x v="6"/>
    <s v="Accessories"/>
    <s v="Audio"/>
    <n v="5"/>
    <n v="250"/>
    <n v="270"/>
    <n v="7.0000000000000007E-2"/>
    <x v="305"/>
    <n v="1250"/>
    <n v="5.5"/>
    <n v="4.3807248108323404E-3"/>
  </r>
  <r>
    <s v="ORD-318-5"/>
    <s v="ORD-318"/>
    <s v="USR-531553"/>
    <s v="ST-P-00256"/>
    <s v="PRD-597"/>
    <x v="140"/>
    <d v="2025-03-01T00:00:00"/>
    <d v="2025-03-04T00:00:00"/>
    <x v="0"/>
    <x v="4"/>
    <x v="1"/>
    <x v="4"/>
    <x v="0"/>
    <s v="Furniture"/>
    <s v="Chairs"/>
    <n v="14"/>
    <n v="730"/>
    <n v="824.9"/>
    <n v="0.06"/>
    <x v="306"/>
    <n v="10220"/>
    <n v="635.68399999999997"/>
    <n v="5.85577104123517E-2"/>
  </r>
  <r>
    <s v="ORD-150-2"/>
    <s v="ORD-150"/>
    <s v="USR-883814"/>
    <s v="ST-P-00255"/>
    <s v="PRD-686"/>
    <x v="206"/>
    <d v="2025-06-08T00:00:00"/>
    <d v="2025-06-10T00:00:00"/>
    <x v="0"/>
    <x v="1"/>
    <x v="1"/>
    <x v="4"/>
    <x v="11"/>
    <s v="Electronics"/>
    <s v="Monitors"/>
    <n v="15"/>
    <n v="1630"/>
    <n v="1744.1"/>
    <n v="0.1"/>
    <x v="307"/>
    <n v="24450"/>
    <n v="-904.65"/>
    <n v="-3.8421599169262702E-2"/>
  </r>
  <r>
    <s v="ORD-194-2"/>
    <s v="ORD-194"/>
    <s v="USR-789120"/>
    <s v="ST-O-00737"/>
    <s v="PRD-778"/>
    <x v="24"/>
    <d v="2026-01-27T00:00:00"/>
    <d v="2026-01-31T00:00:00"/>
    <x v="1"/>
    <x v="4"/>
    <x v="2"/>
    <x v="2"/>
    <x v="19"/>
    <s v="Electronics"/>
    <s v="Laptops"/>
    <n v="4"/>
    <n v="3330"/>
    <n v="3629.7"/>
    <n v="0.03"/>
    <x v="308"/>
    <n v="13320"/>
    <n v="763.23599999999999"/>
    <n v="5.4194646741700603E-2"/>
  </r>
  <r>
    <s v="ORD-233-2"/>
    <s v="ORD-233"/>
    <s v="USR-799855"/>
    <s v="ST-P-00704"/>
    <s v="PRD-517"/>
    <x v="119"/>
    <d v="2025-04-12T00:00:00"/>
    <d v="2025-04-16T00:00:00"/>
    <x v="0"/>
    <x v="4"/>
    <x v="1"/>
    <x v="4"/>
    <x v="3"/>
    <s v="Electronics"/>
    <s v="Monitors"/>
    <n v="8"/>
    <n v="1030"/>
    <n v="1174.2"/>
    <n v="0.05"/>
    <x v="309"/>
    <n v="8240"/>
    <n v="683.92"/>
    <n v="7.6638965835641698E-2"/>
  </r>
  <r>
    <s v="ORD-315-2"/>
    <s v="ORD-315"/>
    <s v="USR-520956"/>
    <s v="ST-S-00463"/>
    <s v="PRD-778"/>
    <x v="268"/>
    <d v="2025-03-28T00:00:00"/>
    <d v="2025-03-30T00:00:00"/>
    <x v="0"/>
    <x v="2"/>
    <x v="0"/>
    <x v="4"/>
    <x v="19"/>
    <s v="Electronics"/>
    <s v="Laptops"/>
    <n v="8"/>
    <n v="3330"/>
    <n v="3629.7"/>
    <n v="0.03"/>
    <x v="75"/>
    <n v="26640"/>
    <n v="1526.472"/>
    <n v="5.4194646741700603E-2"/>
  </r>
  <r>
    <s v="ORD-363-2"/>
    <s v="ORD-363"/>
    <s v="USR-880250"/>
    <s v="ST-O-00375"/>
    <s v="PRD-247"/>
    <x v="269"/>
    <d v="2025-05-15T00:00:00"/>
    <d v="2025-05-16T00:00:00"/>
    <x v="1"/>
    <x v="0"/>
    <x v="2"/>
    <x v="2"/>
    <x v="10"/>
    <s v="Furniture"/>
    <s v="Desks"/>
    <n v="4"/>
    <n v="1530"/>
    <n v="1790.1"/>
    <n v="0.01"/>
    <x v="310"/>
    <n v="6120"/>
    <n v="968.79600000000005"/>
    <n v="0.13666580333247"/>
  </r>
  <r>
    <s v="ORD-277-1"/>
    <s v="ORD-277"/>
    <s v="USR-954374"/>
    <s v="ST-P-00377"/>
    <s v="PRD-597"/>
    <x v="13"/>
    <d v="2025-08-27T00:00:00"/>
    <d v="2025-08-28T00:00:00"/>
    <x v="0"/>
    <x v="4"/>
    <x v="1"/>
    <x v="0"/>
    <x v="0"/>
    <s v="Furniture"/>
    <s v="Chairs"/>
    <n v="11"/>
    <n v="730"/>
    <n v="824.9"/>
    <n v="0"/>
    <x v="311"/>
    <n v="8030"/>
    <n v="1043.9000000000001"/>
    <n v="0.11504424778761101"/>
  </r>
  <r>
    <s v="ORD-160-4"/>
    <s v="ORD-160"/>
    <s v="USR-361947"/>
    <s v="ST-P-00507"/>
    <s v="PRD-117"/>
    <x v="270"/>
    <d v="2024-10-06T00:00:00"/>
    <d v="2024-10-09T00:00:00"/>
    <x v="0"/>
    <x v="3"/>
    <x v="1"/>
    <x v="3"/>
    <x v="2"/>
    <s v="Electronics"/>
    <s v="Printers"/>
    <n v="13"/>
    <n v="1230"/>
    <n v="1328.4"/>
    <n v="0.05"/>
    <x v="312"/>
    <n v="15990"/>
    <n v="415.74"/>
    <n v="2.5341130604288501E-2"/>
  </r>
  <r>
    <s v="ORD-150-3"/>
    <s v="ORD-150"/>
    <s v="USR-596883"/>
    <s v="ST-S-00921"/>
    <s v="PRD-361"/>
    <x v="111"/>
    <d v="2026-05-23T00:00:00"/>
    <d v="2026-05-27T00:00:00"/>
    <x v="0"/>
    <x v="2"/>
    <x v="0"/>
    <x v="4"/>
    <x v="13"/>
    <s v="Accessories"/>
    <s v="Audio"/>
    <n v="5"/>
    <n v="390"/>
    <n v="468"/>
    <n v="0.06"/>
    <x v="313"/>
    <n v="1950"/>
    <n v="249.6"/>
    <n v="0.11347517730496499"/>
  </r>
  <r>
    <s v="ORD-256-3"/>
    <s v="ORD-256"/>
    <s v="USR-334272"/>
    <s v="ST-S-00527"/>
    <s v="PRD-519"/>
    <x v="271"/>
    <d v="2024-10-01T00:00:00"/>
    <d v="2024-10-06T00:00:00"/>
    <x v="0"/>
    <x v="4"/>
    <x v="0"/>
    <x v="0"/>
    <x v="1"/>
    <s v="Accessories"/>
    <s v="Peripherals"/>
    <n v="6"/>
    <n v="210"/>
    <n v="222.6"/>
    <n v="0.09"/>
    <x v="314"/>
    <n v="1260"/>
    <n v="-44.603999999999999"/>
    <n v="-3.66991499066971E-2"/>
  </r>
  <r>
    <s v="ORD-262-3"/>
    <s v="ORD-262"/>
    <s v="USR-195712"/>
    <s v="ST-S-00615"/>
    <s v="PRD-112"/>
    <x v="272"/>
    <d v="2025-05-10T00:00:00"/>
    <d v="2025-05-11T00:00:00"/>
    <x v="0"/>
    <x v="3"/>
    <x v="0"/>
    <x v="4"/>
    <x v="17"/>
    <s v="Electronics"/>
    <s v="Laptops"/>
    <n v="9"/>
    <n v="3930"/>
    <n v="4362.3"/>
    <n v="0.02"/>
    <x v="315"/>
    <n v="35370"/>
    <n v="3105.4859999999999"/>
    <n v="8.0713366427652103E-2"/>
  </r>
  <r>
    <s v="ORD-239-2"/>
    <s v="ORD-239"/>
    <s v="USR-457824"/>
    <s v="ST-O-00340"/>
    <s v="PRD-517"/>
    <x v="273"/>
    <d v="2024-04-20T00:00:00"/>
    <d v="2024-04-25T00:00:00"/>
    <x v="1"/>
    <x v="0"/>
    <x v="2"/>
    <x v="3"/>
    <x v="3"/>
    <s v="Electronics"/>
    <s v="Monitors"/>
    <n v="3"/>
    <n v="1030"/>
    <n v="1174.2"/>
    <n v="0.09"/>
    <x v="62"/>
    <n v="3090"/>
    <n v="115.566"/>
    <n v="3.6051667630615E-2"/>
  </r>
  <r>
    <s v="ORD-334-2"/>
    <s v="ORD-334"/>
    <s v="USR-323176"/>
    <s v="ST-S-00443"/>
    <s v="PRD-900"/>
    <x v="269"/>
    <d v="2025-05-15T00:00:00"/>
    <d v="2025-05-16T00:00:00"/>
    <x v="1"/>
    <x v="3"/>
    <x v="0"/>
    <x v="0"/>
    <x v="16"/>
    <s v="Furniture"/>
    <s v="Desks"/>
    <n v="3"/>
    <n v="930"/>
    <n v="1078.8"/>
    <n v="0.05"/>
    <x v="316"/>
    <n v="2790"/>
    <n v="284.58"/>
    <n v="9.2558983666061703E-2"/>
  </r>
  <r>
    <s v="ORD-243-3"/>
    <s v="ORD-243"/>
    <s v="USR-530462"/>
    <s v="ST-S-00678"/>
    <s v="PRD-148"/>
    <x v="274"/>
    <d v="2025-05-01T00:00:00"/>
    <d v="2025-05-03T00:00:00"/>
    <x v="0"/>
    <x v="0"/>
    <x v="0"/>
    <x v="0"/>
    <x v="14"/>
    <s v="Accessories"/>
    <s v="Connectivity"/>
    <n v="8"/>
    <n v="170"/>
    <n v="188.7"/>
    <n v="0.03"/>
    <x v="317"/>
    <n v="1360"/>
    <n v="104.312"/>
    <n v="7.1236184638246505E-2"/>
  </r>
  <r>
    <s v="ORD-210-2"/>
    <s v="ORD-210"/>
    <s v="USR-832336"/>
    <s v="ST-P-00172"/>
    <s v="PRD-873"/>
    <x v="275"/>
    <d v="2024-04-21T00:00:00"/>
    <d v="2024-04-25T00:00:00"/>
    <x v="0"/>
    <x v="1"/>
    <x v="1"/>
    <x v="3"/>
    <x v="18"/>
    <s v="Electronics"/>
    <s v="Networking"/>
    <n v="10"/>
    <n v="480"/>
    <n v="513.6"/>
    <n v="0.04"/>
    <x v="318"/>
    <n v="4800"/>
    <n v="130.56"/>
    <n v="2.6479750778816199E-2"/>
  </r>
  <r>
    <s v="ORD-374-1"/>
    <s v="ORD-374"/>
    <s v="USR-830171"/>
    <s v="ST-S-00681"/>
    <s v="PRD-519"/>
    <x v="276"/>
    <d v="2024-10-07T00:00:00"/>
    <d v="2024-10-08T00:00:00"/>
    <x v="0"/>
    <x v="0"/>
    <x v="0"/>
    <x v="1"/>
    <x v="1"/>
    <s v="Accessories"/>
    <s v="Peripherals"/>
    <n v="8"/>
    <n v="210"/>
    <n v="222.6"/>
    <n v="0.1"/>
    <x v="319"/>
    <n v="1680"/>
    <n v="-77.28"/>
    <n v="-4.8218029350104802E-2"/>
  </r>
  <r>
    <s v="ORD-364-4"/>
    <s v="ORD-364"/>
    <s v="USR-157074"/>
    <s v="ST-P-00568"/>
    <s v="PRD-900"/>
    <x v="277"/>
    <d v="2025-01-06T00:00:00"/>
    <d v="2025-01-11T00:00:00"/>
    <x v="0"/>
    <x v="3"/>
    <x v="1"/>
    <x v="3"/>
    <x v="16"/>
    <s v="Furniture"/>
    <s v="Desks"/>
    <n v="12"/>
    <n v="930"/>
    <n v="1078.8"/>
    <n v="0.08"/>
    <x v="320"/>
    <n v="11160"/>
    <n v="749.952"/>
    <n v="6.2968515742129E-2"/>
  </r>
  <r>
    <s v="ORD-192-2"/>
    <s v="ORD-192"/>
    <s v="USR-912733"/>
    <s v="ST-S-00581"/>
    <s v="PRD-148"/>
    <x v="278"/>
    <d v="2025-07-28T00:00:00"/>
    <d v="2025-08-02T00:00:00"/>
    <x v="0"/>
    <x v="1"/>
    <x v="0"/>
    <x v="1"/>
    <x v="14"/>
    <s v="Accessories"/>
    <s v="Connectivity"/>
    <n v="10"/>
    <n v="170"/>
    <n v="188.7"/>
    <n v="0.1"/>
    <x v="321"/>
    <n v="1700"/>
    <n v="-1.7"/>
    <n v="-1.0010010010009999E-3"/>
  </r>
  <r>
    <s v="ORD-338-2"/>
    <s v="ORD-338"/>
    <s v="USR-534935"/>
    <s v="ST-O-00694"/>
    <s v="PRD-181"/>
    <x v="19"/>
    <d v="2025-11-21T00:00:00"/>
    <d v="2025-11-23T00:00:00"/>
    <x v="0"/>
    <x v="1"/>
    <x v="2"/>
    <x v="3"/>
    <x v="6"/>
    <s v="Accessories"/>
    <s v="Audio"/>
    <n v="10"/>
    <n v="250"/>
    <n v="270"/>
    <n v="0.06"/>
    <x v="322"/>
    <n v="2500"/>
    <n v="38"/>
    <n v="1.49724192277384E-2"/>
  </r>
  <r>
    <s v="ORD-372-3"/>
    <s v="ORD-372"/>
    <s v="USR-990826"/>
    <s v="ST-P-00452"/>
    <s v="PRD-592"/>
    <x v="99"/>
    <d v="2024-11-03T00:00:00"/>
    <d v="2024-11-08T00:00:00"/>
    <x v="0"/>
    <x v="4"/>
    <x v="1"/>
    <x v="0"/>
    <x v="12"/>
    <s v="Accessories"/>
    <s v="Connectivity"/>
    <n v="8"/>
    <n v="580"/>
    <n v="667"/>
    <n v="0.08"/>
    <x v="323"/>
    <n v="4640"/>
    <n v="269.12"/>
    <n v="5.4820415879017002E-2"/>
  </r>
  <r>
    <s v="ORD-260-2"/>
    <s v="ORD-260"/>
    <s v="USR-285975"/>
    <s v="ST-S-00816"/>
    <s v="PRD-660"/>
    <x v="170"/>
    <d v="2025-04-14T00:00:00"/>
    <d v="2025-04-17T00:00:00"/>
    <x v="0"/>
    <x v="3"/>
    <x v="0"/>
    <x v="2"/>
    <x v="15"/>
    <s v="Accessories"/>
    <s v="Peripherals"/>
    <n v="9"/>
    <n v="350"/>
    <n v="364"/>
    <n v="0.1"/>
    <x v="324"/>
    <n v="3150"/>
    <n v="-201.6"/>
    <n v="-6.8376068376068397E-2"/>
  </r>
  <r>
    <s v="ORD-362-2"/>
    <s v="ORD-362"/>
    <s v="USR-359494"/>
    <s v="ST-S-00652"/>
    <s v="PRD-117"/>
    <x v="279"/>
    <d v="2025-08-23T00:00:00"/>
    <d v="2025-08-26T00:00:00"/>
    <x v="0"/>
    <x v="1"/>
    <x v="0"/>
    <x v="1"/>
    <x v="2"/>
    <s v="Electronics"/>
    <s v="Printers"/>
    <n v="6"/>
    <n v="1230"/>
    <n v="1328.4"/>
    <n v="0.06"/>
    <x v="325"/>
    <n v="7380"/>
    <n v="112.176"/>
    <n v="1.49724192277384E-2"/>
  </r>
  <r>
    <s v="ORD-157-2"/>
    <s v="ORD-157"/>
    <s v="USR-589674"/>
    <s v="ST-P-00929"/>
    <s v="PRD-709"/>
    <x v="280"/>
    <d v="2025-02-24T00:00:00"/>
    <d v="2025-03-01T00:00:00"/>
    <x v="0"/>
    <x v="2"/>
    <x v="1"/>
    <x v="3"/>
    <x v="8"/>
    <s v="Furniture"/>
    <s v="Lighting"/>
    <n v="14"/>
    <n v="280"/>
    <n v="336"/>
    <n v="0.03"/>
    <x v="326"/>
    <n v="3920"/>
    <n v="642.88"/>
    <n v="0.14089347079037801"/>
  </r>
  <r>
    <s v="ORD-222-1"/>
    <s v="ORD-222"/>
    <s v="USR-187279"/>
    <s v="ST-O-00900"/>
    <s v="PRD-519"/>
    <x v="281"/>
    <d v="2025-07-06T00:00:00"/>
    <d v="2025-07-09T00:00:00"/>
    <x v="0"/>
    <x v="2"/>
    <x v="2"/>
    <x v="1"/>
    <x v="1"/>
    <s v="Accessories"/>
    <s v="Peripherals"/>
    <n v="5"/>
    <n v="210"/>
    <n v="222.6"/>
    <n v="0.05"/>
    <x v="327"/>
    <n v="1050"/>
    <n v="7.35"/>
    <n v="6.9513406156901702E-3"/>
  </r>
  <r>
    <s v="ORD-238-5"/>
    <s v="ORD-238"/>
    <s v="USR-963982"/>
    <s v="ST-P-00146"/>
    <s v="PRD-361"/>
    <x v="214"/>
    <d v="2026-04-17T00:00:00"/>
    <d v="2026-04-21T00:00:00"/>
    <x v="0"/>
    <x v="3"/>
    <x v="1"/>
    <x v="3"/>
    <x v="13"/>
    <s v="Accessories"/>
    <s v="Audio"/>
    <n v="15"/>
    <n v="390"/>
    <n v="468"/>
    <n v="0.03"/>
    <x v="328"/>
    <n v="5850"/>
    <n v="959.4"/>
    <n v="0.14089347079037801"/>
  </r>
  <r>
    <s v="ORD-207-3"/>
    <s v="ORD-207"/>
    <s v="USR-190572"/>
    <s v="ST-P-00628"/>
    <s v="PRD-778"/>
    <x v="282"/>
    <d v="2024-11-13T00:00:00"/>
    <d v="2024-11-14T00:00:00"/>
    <x v="0"/>
    <x v="1"/>
    <x v="1"/>
    <x v="0"/>
    <x v="19"/>
    <s v="Electronics"/>
    <s v="Laptops"/>
    <n v="7"/>
    <n v="3330"/>
    <n v="3629.7"/>
    <n v="0.05"/>
    <x v="329"/>
    <n v="23310"/>
    <n v="827.505"/>
    <n v="3.4282955094157401E-2"/>
  </r>
  <r>
    <s v="ORD-197-3"/>
    <s v="ORD-197"/>
    <s v="USR-386912"/>
    <s v="ST-S-00491"/>
    <s v="PRD-273"/>
    <x v="283"/>
    <d v="2024-10-27T00:00:00"/>
    <d v="2024-10-29T00:00:00"/>
    <x v="1"/>
    <x v="3"/>
    <x v="0"/>
    <x v="2"/>
    <x v="4"/>
    <s v="Furniture"/>
    <s v="Chairs"/>
    <n v="3"/>
    <n v="1080"/>
    <n v="1112.4000000000001"/>
    <n v="7.0000000000000007E-2"/>
    <x v="330"/>
    <n v="3240"/>
    <n v="-136.404"/>
    <n v="-4.3950307965340801E-2"/>
  </r>
  <r>
    <s v="ORD-283-1"/>
    <s v="ORD-283"/>
    <s v="USR-925433"/>
    <s v="ST-S-00370"/>
    <s v="PRD-660"/>
    <x v="284"/>
    <d v="2024-04-07T00:00:00"/>
    <d v="2024-04-10T00:00:00"/>
    <x v="0"/>
    <x v="0"/>
    <x v="0"/>
    <x v="2"/>
    <x v="15"/>
    <s v="Accessories"/>
    <s v="Peripherals"/>
    <n v="8"/>
    <n v="350"/>
    <n v="364"/>
    <n v="0.01"/>
    <x v="331"/>
    <n v="2800"/>
    <n v="82.88"/>
    <n v="2.87490287490287E-2"/>
  </r>
  <r>
    <s v="ORD-247-2"/>
    <s v="ORD-247"/>
    <s v="USR-121470"/>
    <s v="ST-S-00999"/>
    <s v="PRD-117"/>
    <x v="177"/>
    <d v="2024-12-19T00:00:00"/>
    <d v="2024-12-24T00:00:00"/>
    <x v="0"/>
    <x v="2"/>
    <x v="0"/>
    <x v="0"/>
    <x v="2"/>
    <s v="Electronics"/>
    <s v="Printers"/>
    <n v="6"/>
    <n v="1230"/>
    <n v="1328.4"/>
    <n v="0.02"/>
    <x v="332"/>
    <n v="7380"/>
    <n v="430.99200000000002"/>
    <n v="5.5177626606198002E-2"/>
  </r>
  <r>
    <s v="ORD-171-1"/>
    <s v="ORD-171"/>
    <s v="USR-254049"/>
    <s v="ST-O-00755"/>
    <s v="PRD-873"/>
    <x v="285"/>
    <d v="2026-04-24T00:00:00"/>
    <d v="2026-04-25T00:00:00"/>
    <x v="1"/>
    <x v="0"/>
    <x v="2"/>
    <x v="2"/>
    <x v="18"/>
    <s v="Electronics"/>
    <s v="Networking"/>
    <n v="3"/>
    <n v="480"/>
    <n v="513.6"/>
    <n v="0.05"/>
    <x v="333"/>
    <n v="1440"/>
    <n v="23.76"/>
    <n v="1.6232169208066902E-2"/>
  </r>
  <r>
    <s v="ORD-264-3"/>
    <s v="ORD-264"/>
    <s v="USR-163308"/>
    <s v="ST-O-00477"/>
    <s v="PRD-517"/>
    <x v="286"/>
    <d v="2024-05-31T00:00:00"/>
    <d v="2024-06-02T00:00:00"/>
    <x v="1"/>
    <x v="4"/>
    <x v="2"/>
    <x v="0"/>
    <x v="3"/>
    <s v="Electronics"/>
    <s v="Monitors"/>
    <n v="2"/>
    <n v="1030"/>
    <n v="1174.2"/>
    <n v="0.06"/>
    <x v="334"/>
    <n v="2060"/>
    <n v="147.49600000000001"/>
    <n v="6.6815976110489006E-2"/>
  </r>
  <r>
    <s v="ORD-343-5"/>
    <s v="ORD-343"/>
    <s v="USR-194103"/>
    <s v="ST-S-00919"/>
    <s v="PRD-181"/>
    <x v="287"/>
    <d v="2026-03-23T00:00:00"/>
    <d v="2026-03-27T00:00:00"/>
    <x v="1"/>
    <x v="4"/>
    <x v="0"/>
    <x v="0"/>
    <x v="6"/>
    <s v="Accessories"/>
    <s v="Audio"/>
    <n v="2"/>
    <n v="250"/>
    <n v="270"/>
    <n v="0"/>
    <x v="335"/>
    <n v="500"/>
    <n v="40"/>
    <n v="7.4074074074074098E-2"/>
  </r>
  <r>
    <s v="ORD-261-2"/>
    <s v="ORD-261"/>
    <s v="USR-125709"/>
    <s v="ST-P-00746"/>
    <s v="PRD-117"/>
    <x v="288"/>
    <d v="2024-08-17T00:00:00"/>
    <d v="2024-08-18T00:00:00"/>
    <x v="0"/>
    <x v="4"/>
    <x v="1"/>
    <x v="3"/>
    <x v="2"/>
    <s v="Electronics"/>
    <s v="Printers"/>
    <n v="8"/>
    <n v="1230"/>
    <n v="1328.4"/>
    <n v="0.08"/>
    <x v="336"/>
    <n v="9840"/>
    <n v="-62.975999999999999"/>
    <n v="-6.4412238325281803E-3"/>
  </r>
  <r>
    <s v="ORD-279-2"/>
    <s v="ORD-279"/>
    <s v="USR-776965"/>
    <s v="ST-P-00985"/>
    <s v="PRD-592"/>
    <x v="289"/>
    <d v="2025-12-06T00:00:00"/>
    <d v="2025-12-11T00:00:00"/>
    <x v="0"/>
    <x v="4"/>
    <x v="1"/>
    <x v="3"/>
    <x v="12"/>
    <s v="Accessories"/>
    <s v="Connectivity"/>
    <n v="10"/>
    <n v="580"/>
    <n v="667"/>
    <n v="0"/>
    <x v="337"/>
    <n v="5800"/>
    <n v="870"/>
    <n v="0.13043478260869601"/>
  </r>
  <r>
    <s v="ORD-371-3"/>
    <s v="ORD-371"/>
    <s v="USR-320917"/>
    <s v="ST-P-00674"/>
    <s v="PRD-361"/>
    <x v="290"/>
    <d v="2026-03-28T00:00:00"/>
    <d v="2026-03-30T00:00:00"/>
    <x v="0"/>
    <x v="1"/>
    <x v="1"/>
    <x v="2"/>
    <x v="13"/>
    <s v="Accessories"/>
    <s v="Audio"/>
    <n v="5"/>
    <n v="390"/>
    <n v="468"/>
    <n v="0"/>
    <x v="338"/>
    <n v="1950"/>
    <n v="390"/>
    <n v="0.16666666666666699"/>
  </r>
  <r>
    <s v="ORD-388-1"/>
    <s v="ORD-388"/>
    <s v="USR-602608"/>
    <s v="ST-P-00566"/>
    <s v="PRD-873"/>
    <x v="186"/>
    <d v="2024-10-14T00:00:00"/>
    <d v="2024-10-17T00:00:00"/>
    <x v="0"/>
    <x v="2"/>
    <x v="1"/>
    <x v="3"/>
    <x v="18"/>
    <s v="Electronics"/>
    <s v="Networking"/>
    <n v="7"/>
    <n v="480"/>
    <n v="513.6"/>
    <n v="0.08"/>
    <x v="339"/>
    <n v="3360"/>
    <n v="-52.415999999999997"/>
    <n v="-1.5847216578626599E-2"/>
  </r>
  <r>
    <s v="ORD-270-2"/>
    <s v="ORD-270"/>
    <s v="USR-657894"/>
    <s v="ST-S-00238"/>
    <s v="PRD-181"/>
    <x v="100"/>
    <d v="2024-09-13T00:00:00"/>
    <d v="2024-09-17T00:00:00"/>
    <x v="1"/>
    <x v="4"/>
    <x v="0"/>
    <x v="0"/>
    <x v="6"/>
    <s v="Accessories"/>
    <s v="Audio"/>
    <n v="3"/>
    <n v="250"/>
    <n v="270"/>
    <n v="0.01"/>
    <x v="340"/>
    <n v="750"/>
    <n v="51.9"/>
    <n v="6.4721286943509204E-2"/>
  </r>
  <r>
    <s v="ORD-292-2"/>
    <s v="ORD-292"/>
    <s v="USR-432538"/>
    <s v="ST-S-00191"/>
    <s v="PRD-592"/>
    <x v="291"/>
    <d v="2025-07-21T00:00:00"/>
    <d v="2025-07-25T00:00:00"/>
    <x v="1"/>
    <x v="3"/>
    <x v="0"/>
    <x v="3"/>
    <x v="12"/>
    <s v="Accessories"/>
    <s v="Connectivity"/>
    <n v="1"/>
    <n v="580"/>
    <n v="667"/>
    <n v="0"/>
    <x v="341"/>
    <n v="580"/>
    <n v="87"/>
    <n v="0.13043478260869601"/>
  </r>
  <r>
    <s v="ORD-349-1"/>
    <s v="ORD-349"/>
    <s v="USR-139747"/>
    <s v="ST-O-00385"/>
    <s v="PRD-181"/>
    <x v="292"/>
    <d v="2024-11-29T00:00:00"/>
    <d v="2024-12-01T00:00:00"/>
    <x v="1"/>
    <x v="2"/>
    <x v="2"/>
    <x v="2"/>
    <x v="6"/>
    <s v="Accessories"/>
    <s v="Audio"/>
    <n v="1"/>
    <n v="250"/>
    <n v="270"/>
    <n v="0"/>
    <x v="115"/>
    <n v="250"/>
    <n v="20"/>
    <n v="7.4074074074074098E-2"/>
  </r>
  <r>
    <s v="ORD-314-3"/>
    <s v="ORD-314"/>
    <s v="USR-893729"/>
    <s v="ST-S-00383"/>
    <s v="PRD-778"/>
    <x v="293"/>
    <d v="2025-07-13T00:00:00"/>
    <d v="2025-07-17T00:00:00"/>
    <x v="1"/>
    <x v="0"/>
    <x v="0"/>
    <x v="4"/>
    <x v="19"/>
    <s v="Electronics"/>
    <s v="Laptops"/>
    <n v="2"/>
    <n v="3330"/>
    <n v="3629.7"/>
    <n v="0.08"/>
    <x v="342"/>
    <n v="6660"/>
    <n v="18.648"/>
    <n v="2.7921818907060201E-3"/>
  </r>
  <r>
    <s v="ORD-151-3"/>
    <s v="ORD-151"/>
    <s v="USR-324100"/>
    <s v="ST-S-00610"/>
    <s v="PRD-709"/>
    <x v="256"/>
    <d v="2024-08-05T00:00:00"/>
    <d v="2024-08-09T00:00:00"/>
    <x v="0"/>
    <x v="1"/>
    <x v="0"/>
    <x v="3"/>
    <x v="8"/>
    <s v="Furniture"/>
    <s v="Lighting"/>
    <n v="5"/>
    <n v="280"/>
    <n v="336"/>
    <n v="0.03"/>
    <x v="343"/>
    <n v="1400"/>
    <n v="229.6"/>
    <n v="0.14089347079037801"/>
  </r>
  <r>
    <s v="ORD-341-2"/>
    <s v="ORD-341"/>
    <s v="USR-826449"/>
    <s v="ST-S-00904"/>
    <s v="PRD-709"/>
    <x v="294"/>
    <d v="2025-04-27T00:00:00"/>
    <d v="2025-04-30T00:00:00"/>
    <x v="0"/>
    <x v="1"/>
    <x v="0"/>
    <x v="3"/>
    <x v="8"/>
    <s v="Furniture"/>
    <s v="Lighting"/>
    <n v="10"/>
    <n v="280"/>
    <n v="336"/>
    <n v="0.06"/>
    <x v="344"/>
    <n v="2800"/>
    <n v="358.4"/>
    <n v="0.11347517730496499"/>
  </r>
  <r>
    <s v="ORD-217-1"/>
    <s v="ORD-217"/>
    <s v="USR-474064"/>
    <s v="ST-O-00259"/>
    <s v="PRD-273"/>
    <x v="295"/>
    <d v="2024-09-03T00:00:00"/>
    <d v="2024-09-08T00:00:00"/>
    <x v="1"/>
    <x v="4"/>
    <x v="2"/>
    <x v="2"/>
    <x v="4"/>
    <s v="Furniture"/>
    <s v="Chairs"/>
    <n v="3"/>
    <n v="1080"/>
    <n v="1112.4000000000001"/>
    <n v="0.01"/>
    <x v="345"/>
    <n v="3240"/>
    <n v="63.828000000000003"/>
    <n v="1.9319407668922199E-2"/>
  </r>
  <r>
    <s v="ORD-325-3"/>
    <s v="ORD-325"/>
    <s v="USR-549975"/>
    <s v="ST-O-00356"/>
    <s v="PRD-284"/>
    <x v="296"/>
    <d v="2024-02-08T00:00:00"/>
    <d v="2024-02-12T00:00:00"/>
    <x v="0"/>
    <x v="3"/>
    <x v="2"/>
    <x v="3"/>
    <x v="7"/>
    <s v="Electronics"/>
    <s v="Storage"/>
    <n v="10"/>
    <n v="650"/>
    <n v="663"/>
    <n v="0.1"/>
    <x v="346"/>
    <n v="6500"/>
    <n v="-533"/>
    <n v="-8.9324618736383393E-2"/>
  </r>
  <r>
    <s v="ORD-364-5"/>
    <s v="ORD-364"/>
    <s v="USR-950254"/>
    <s v="ST-P-00439"/>
    <s v="PRD-361"/>
    <x v="118"/>
    <d v="2025-05-01T00:00:00"/>
    <d v="2025-05-04T00:00:00"/>
    <x v="0"/>
    <x v="2"/>
    <x v="1"/>
    <x v="1"/>
    <x v="13"/>
    <s v="Accessories"/>
    <s v="Audio"/>
    <n v="12"/>
    <n v="390"/>
    <n v="468"/>
    <n v="0.02"/>
    <x v="347"/>
    <n v="4680"/>
    <n v="823.68"/>
    <n v="0.14965986394557801"/>
  </r>
  <r>
    <s v="ORD-171-2"/>
    <s v="ORD-171"/>
    <s v="USR-583684"/>
    <s v="ST-P-00480"/>
    <s v="PRD-873"/>
    <x v="297"/>
    <d v="2025-05-16T00:00:00"/>
    <d v="2025-05-20T00:00:00"/>
    <x v="0"/>
    <x v="1"/>
    <x v="1"/>
    <x v="3"/>
    <x v="18"/>
    <s v="Electronics"/>
    <s v="Networking"/>
    <n v="9"/>
    <n v="480"/>
    <n v="513.6"/>
    <n v="0.09"/>
    <x v="348"/>
    <n v="4320"/>
    <n v="-113.616"/>
    <n v="-2.7010372804765301E-2"/>
  </r>
  <r>
    <s v="ORD-381-2"/>
    <s v="ORD-381"/>
    <s v="USR-133969"/>
    <s v="ST-O-00432"/>
    <s v="PRD-112"/>
    <x v="298"/>
    <d v="2024-04-27T00:00:00"/>
    <d v="2024-04-28T00:00:00"/>
    <x v="0"/>
    <x v="3"/>
    <x v="2"/>
    <x v="0"/>
    <x v="17"/>
    <s v="Electronics"/>
    <s v="Laptops"/>
    <n v="7"/>
    <n v="3930"/>
    <n v="4362.3"/>
    <n v="0.02"/>
    <x v="349"/>
    <n v="27510"/>
    <n v="2415.3780000000002"/>
    <n v="8.0713366427652103E-2"/>
  </r>
  <r>
    <s v="ORD-223-2"/>
    <s v="ORD-223"/>
    <s v="USR-994423"/>
    <s v="ST-S-00596"/>
    <s v="PRD-686"/>
    <x v="66"/>
    <d v="2024-02-11T00:00:00"/>
    <d v="2024-02-16T00:00:00"/>
    <x v="1"/>
    <x v="0"/>
    <x v="0"/>
    <x v="3"/>
    <x v="11"/>
    <s v="Electronics"/>
    <s v="Monitors"/>
    <n v="4"/>
    <n v="1630"/>
    <n v="1744.1"/>
    <n v="0.05"/>
    <x v="350"/>
    <n v="6520"/>
    <n v="107.58"/>
    <n v="1.6232169208066902E-2"/>
  </r>
  <r>
    <s v="ORD-249-2"/>
    <s v="ORD-249"/>
    <s v="USR-186969"/>
    <s v="ST-O-00405"/>
    <s v="PRD-873"/>
    <x v="299"/>
    <d v="2024-08-03T00:00:00"/>
    <d v="2024-08-07T00:00:00"/>
    <x v="0"/>
    <x v="4"/>
    <x v="2"/>
    <x v="1"/>
    <x v="18"/>
    <s v="Electronics"/>
    <s v="Networking"/>
    <n v="5"/>
    <n v="480"/>
    <n v="513.6"/>
    <n v="0.03"/>
    <x v="351"/>
    <n v="2400"/>
    <n v="90.96"/>
    <n v="3.6516042007900602E-2"/>
  </r>
  <r>
    <s v="ORD-224-5"/>
    <s v="ORD-224"/>
    <s v="USR-827514"/>
    <s v="ST-O-00846"/>
    <s v="PRD-519"/>
    <x v="300"/>
    <d v="2025-05-08T00:00:00"/>
    <d v="2025-05-12T00:00:00"/>
    <x v="0"/>
    <x v="1"/>
    <x v="2"/>
    <x v="3"/>
    <x v="1"/>
    <s v="Accessories"/>
    <s v="Peripherals"/>
    <n v="10"/>
    <n v="210"/>
    <n v="222.6"/>
    <n v="0.1"/>
    <x v="352"/>
    <n v="2100"/>
    <n v="-96.6"/>
    <n v="-4.8218029350104802E-2"/>
  </r>
  <r>
    <s v="ORD-265-1"/>
    <s v="ORD-265"/>
    <s v="USR-444305"/>
    <s v="ST-S-00985"/>
    <s v="PRD-517"/>
    <x v="103"/>
    <d v="2024-12-29T00:00:00"/>
    <d v="2025-01-02T00:00:00"/>
    <x v="0"/>
    <x v="3"/>
    <x v="0"/>
    <x v="3"/>
    <x v="3"/>
    <s v="Electronics"/>
    <s v="Monitors"/>
    <n v="10"/>
    <n v="1030"/>
    <n v="1174.2"/>
    <n v="0.02"/>
    <x v="353"/>
    <n v="10300"/>
    <n v="1207.1600000000001"/>
    <n v="0.104905119942714"/>
  </r>
  <r>
    <s v="ORD-153-2"/>
    <s v="ORD-153"/>
    <s v="USR-267105"/>
    <s v="ST-S-00641"/>
    <s v="PRD-873"/>
    <x v="124"/>
    <d v="2025-11-13T00:00:00"/>
    <d v="2025-11-15T00:00:00"/>
    <x v="0"/>
    <x v="0"/>
    <x v="0"/>
    <x v="1"/>
    <x v="18"/>
    <s v="Electronics"/>
    <s v="Networking"/>
    <n v="6"/>
    <n v="480"/>
    <n v="513.6"/>
    <n v="0.01"/>
    <x v="354"/>
    <n v="2880"/>
    <n v="170.78399999999999"/>
    <n v="5.5980364391579301E-2"/>
  </r>
  <r>
    <s v="ORD-170-2"/>
    <s v="ORD-170"/>
    <s v="USR-679463"/>
    <s v="ST-P-00134"/>
    <s v="PRD-873"/>
    <x v="301"/>
    <d v="2026-05-15T00:00:00"/>
    <d v="2026-05-16T00:00:00"/>
    <x v="0"/>
    <x v="4"/>
    <x v="1"/>
    <x v="1"/>
    <x v="18"/>
    <s v="Electronics"/>
    <s v="Networking"/>
    <n v="13"/>
    <n v="480"/>
    <n v="513.6"/>
    <n v="0.05"/>
    <x v="355"/>
    <n v="6240"/>
    <n v="102.96"/>
    <n v="1.6232169208066902E-2"/>
  </r>
  <r>
    <s v="ORD-352-3"/>
    <s v="ORD-352"/>
    <s v="USR-168489"/>
    <s v="ST-O-00543"/>
    <s v="PRD-597"/>
    <x v="302"/>
    <d v="2024-03-01T00:00:00"/>
    <d v="2024-03-04T00:00:00"/>
    <x v="1"/>
    <x v="4"/>
    <x v="2"/>
    <x v="3"/>
    <x v="0"/>
    <s v="Furniture"/>
    <s v="Chairs"/>
    <n v="4"/>
    <n v="730"/>
    <n v="824.9"/>
    <n v="7.0000000000000007E-2"/>
    <x v="298"/>
    <n v="2920"/>
    <n v="148.62799999999999"/>
    <n v="4.8434675040441501E-2"/>
  </r>
  <r>
    <s v="ORD-194-3"/>
    <s v="ORD-194"/>
    <s v="USR-530096"/>
    <s v="ST-O-00641"/>
    <s v="PRD-592"/>
    <x v="303"/>
    <d v="2025-04-23T00:00:00"/>
    <d v="2025-04-27T00:00:00"/>
    <x v="0"/>
    <x v="2"/>
    <x v="2"/>
    <x v="0"/>
    <x v="12"/>
    <s v="Accessories"/>
    <s v="Connectivity"/>
    <n v="9"/>
    <n v="580"/>
    <n v="667"/>
    <n v="0.05"/>
    <x v="356"/>
    <n v="5220"/>
    <n v="482.85"/>
    <n v="8.4668192219679597E-2"/>
  </r>
  <r>
    <s v="ORD-324-1"/>
    <s v="ORD-324"/>
    <s v="USR-708398"/>
    <s v="ST-P-00233"/>
    <s v="PRD-517"/>
    <x v="304"/>
    <d v="2025-02-17T00:00:00"/>
    <d v="2025-02-21T00:00:00"/>
    <x v="0"/>
    <x v="0"/>
    <x v="1"/>
    <x v="4"/>
    <x v="3"/>
    <s v="Electronics"/>
    <s v="Monitors"/>
    <n v="7"/>
    <n v="1030"/>
    <n v="1174.2"/>
    <n v="0.04"/>
    <x v="357"/>
    <n v="7210"/>
    <n v="680.62400000000002"/>
    <n v="8.6257309941520505E-2"/>
  </r>
  <r>
    <s v="ORD-367-3"/>
    <s v="ORD-367"/>
    <s v="USR-871687"/>
    <s v="ST-S-00512"/>
    <s v="PRD-660"/>
    <x v="305"/>
    <d v="2024-07-20T00:00:00"/>
    <d v="2024-07-22T00:00:00"/>
    <x v="1"/>
    <x v="3"/>
    <x v="0"/>
    <x v="1"/>
    <x v="15"/>
    <s v="Accessories"/>
    <s v="Peripherals"/>
    <n v="4"/>
    <n v="350"/>
    <n v="364"/>
    <n v="0.01"/>
    <x v="358"/>
    <n v="1400"/>
    <n v="41.44"/>
    <n v="2.87490287490287E-2"/>
  </r>
  <r>
    <s v="ORD-381-3"/>
    <s v="ORD-381"/>
    <s v="USR-590912"/>
    <s v="ST-O-00207"/>
    <s v="PRD-597"/>
    <x v="241"/>
    <d v="2025-03-30T00:00:00"/>
    <d v="2025-04-03T00:00:00"/>
    <x v="0"/>
    <x v="2"/>
    <x v="2"/>
    <x v="1"/>
    <x v="0"/>
    <s v="Furniture"/>
    <s v="Chairs"/>
    <n v="6"/>
    <n v="730"/>
    <n v="824.9"/>
    <n v="0.04"/>
    <x v="359"/>
    <n v="4380"/>
    <n v="371.42399999999998"/>
    <n v="7.8171091445427707E-2"/>
  </r>
  <r>
    <s v="ORD-186-2"/>
    <s v="ORD-186"/>
    <s v="USR-127333"/>
    <s v="ST-S-00546"/>
    <s v="PRD-361"/>
    <x v="17"/>
    <d v="2026-01-28T00:00:00"/>
    <d v="2026-01-31T00:00:00"/>
    <x v="0"/>
    <x v="1"/>
    <x v="0"/>
    <x v="4"/>
    <x v="13"/>
    <s v="Accessories"/>
    <s v="Audio"/>
    <n v="7"/>
    <n v="390"/>
    <n v="468"/>
    <n v="0.04"/>
    <x v="360"/>
    <n v="2730"/>
    <n v="414.96"/>
    <n v="0.131944444444444"/>
  </r>
  <r>
    <s v="ORD-221-2"/>
    <s v="ORD-221"/>
    <s v="USR-661684"/>
    <s v="ST-O-00973"/>
    <s v="PRD-643"/>
    <x v="76"/>
    <d v="2026-03-10T00:00:00"/>
    <d v="2026-03-11T00:00:00"/>
    <x v="0"/>
    <x v="1"/>
    <x v="2"/>
    <x v="1"/>
    <x v="5"/>
    <s v="Electronics"/>
    <s v="Laptops"/>
    <n v="6"/>
    <n v="3030"/>
    <n v="3211.8"/>
    <n v="0.08"/>
    <x v="361"/>
    <n v="18180"/>
    <n v="-450.86399999999998"/>
    <n v="-2.5430680885972098E-2"/>
  </r>
  <r>
    <s v="ORD-270-3"/>
    <s v="ORD-270"/>
    <s v="USR-800512"/>
    <s v="ST-O-00382"/>
    <s v="PRD-811"/>
    <x v="229"/>
    <d v="2026-01-29T00:00:00"/>
    <d v="2026-02-03T00:00:00"/>
    <x v="1"/>
    <x v="3"/>
    <x v="2"/>
    <x v="2"/>
    <x v="9"/>
    <s v="Electronics"/>
    <s v="Cameras"/>
    <n v="1"/>
    <n v="430"/>
    <n v="455.8"/>
    <n v="0.03"/>
    <x v="362"/>
    <n v="430"/>
    <n v="12.125999999999999"/>
    <n v="2.74265707060883E-2"/>
  </r>
  <r>
    <s v="ORD-353-3"/>
    <s v="ORD-353"/>
    <s v="USR-628393"/>
    <s v="ST-O-00491"/>
    <s v="PRD-284"/>
    <x v="306"/>
    <d v="2025-07-27T00:00:00"/>
    <d v="2025-07-31T00:00:00"/>
    <x v="1"/>
    <x v="3"/>
    <x v="2"/>
    <x v="0"/>
    <x v="7"/>
    <s v="Electronics"/>
    <s v="Storage"/>
    <n v="3"/>
    <n v="650"/>
    <n v="663"/>
    <n v="0.05"/>
    <x v="363"/>
    <n v="1950"/>
    <n v="-60.45"/>
    <n v="-3.1991744066047503E-2"/>
  </r>
  <r>
    <s v="ORD-189-1"/>
    <s v="ORD-189"/>
    <s v="USR-970998"/>
    <s v="ST-P-00417"/>
    <s v="PRD-361"/>
    <x v="307"/>
    <d v="2026-01-26T00:00:00"/>
    <d v="2026-01-28T00:00:00"/>
    <x v="0"/>
    <x v="1"/>
    <x v="1"/>
    <x v="2"/>
    <x v="13"/>
    <s v="Accessories"/>
    <s v="Audio"/>
    <n v="11"/>
    <n v="390"/>
    <n v="468"/>
    <n v="0.04"/>
    <x v="364"/>
    <n v="4290"/>
    <n v="652.08000000000004"/>
    <n v="0.131944444444444"/>
  </r>
  <r>
    <s v="ORD-156-3"/>
    <s v="ORD-156"/>
    <s v="USR-195630"/>
    <s v="ST-O-00955"/>
    <s v="PRD-686"/>
    <x v="308"/>
    <d v="2025-06-18T00:00:00"/>
    <d v="2025-06-19T00:00:00"/>
    <x v="0"/>
    <x v="3"/>
    <x v="2"/>
    <x v="2"/>
    <x v="11"/>
    <s v="Electronics"/>
    <s v="Monitors"/>
    <n v="7"/>
    <n v="1630"/>
    <n v="1744.1"/>
    <n v="0.03"/>
    <x v="365"/>
    <n v="11410"/>
    <n v="432.43900000000002"/>
    <n v="3.6516042007900602E-2"/>
  </r>
  <r>
    <s v="ORD-305-3"/>
    <s v="ORD-305"/>
    <s v="USR-223906"/>
    <s v="ST-S-00665"/>
    <s v="PRD-273"/>
    <x v="309"/>
    <d v="2025-03-23T00:00:00"/>
    <d v="2025-03-28T00:00:00"/>
    <x v="0"/>
    <x v="1"/>
    <x v="0"/>
    <x v="1"/>
    <x v="4"/>
    <s v="Furniture"/>
    <s v="Chairs"/>
    <n v="6"/>
    <n v="1080"/>
    <n v="1112.4000000000001"/>
    <n v="0.06"/>
    <x v="277"/>
    <n v="6480"/>
    <n v="-206.06399999999999"/>
    <n v="-3.2844453625284001E-2"/>
  </r>
  <r>
    <s v="ORD-322-4"/>
    <s v="ORD-322"/>
    <s v="USR-408596"/>
    <s v="ST-S-00565"/>
    <s v="PRD-811"/>
    <x v="212"/>
    <d v="2025-09-25T00:00:00"/>
    <d v="2025-09-30T00:00:00"/>
    <x v="0"/>
    <x v="4"/>
    <x v="0"/>
    <x v="0"/>
    <x v="9"/>
    <s v="Electronics"/>
    <s v="Cameras"/>
    <n v="5"/>
    <n v="430"/>
    <n v="455.8"/>
    <n v="0.03"/>
    <x v="366"/>
    <n v="2150"/>
    <n v="60.63"/>
    <n v="2.74265707060883E-2"/>
  </r>
  <r>
    <s v="ORD-166-2"/>
    <s v="ORD-166"/>
    <s v="USR-445537"/>
    <s v="ST-S-00497"/>
    <s v="PRD-597"/>
    <x v="206"/>
    <d v="2025-06-08T00:00:00"/>
    <d v="2025-06-12T00:00:00"/>
    <x v="0"/>
    <x v="3"/>
    <x v="0"/>
    <x v="3"/>
    <x v="0"/>
    <s v="Furniture"/>
    <s v="Chairs"/>
    <n v="5"/>
    <n v="730"/>
    <n v="824.9"/>
    <n v="0.1"/>
    <x v="367"/>
    <n v="3650"/>
    <n v="62.05"/>
    <n v="1.6715830875122899E-2"/>
  </r>
  <r>
    <s v="ORD-251-2"/>
    <s v="ORD-251"/>
    <s v="USR-879187"/>
    <s v="ST-P-00783"/>
    <s v="PRD-643"/>
    <x v="254"/>
    <d v="2026-02-12T00:00:00"/>
    <d v="2026-02-14T00:00:00"/>
    <x v="0"/>
    <x v="1"/>
    <x v="1"/>
    <x v="1"/>
    <x v="5"/>
    <s v="Electronics"/>
    <s v="Laptops"/>
    <n v="11"/>
    <n v="3030"/>
    <n v="3211.8"/>
    <n v="0.08"/>
    <x v="368"/>
    <n v="33330"/>
    <n v="-826.58399999999995"/>
    <n v="-2.5430680885972098E-2"/>
  </r>
  <r>
    <s v="ORD-333-2"/>
    <s v="ORD-333"/>
    <s v="USR-869447"/>
    <s v="ST-O-00274"/>
    <s v="PRD-517"/>
    <x v="310"/>
    <d v="2025-03-15T00:00:00"/>
    <d v="2025-03-18T00:00:00"/>
    <x v="1"/>
    <x v="0"/>
    <x v="2"/>
    <x v="0"/>
    <x v="3"/>
    <s v="Electronics"/>
    <s v="Monitors"/>
    <n v="3"/>
    <n v="1030"/>
    <n v="1174.2"/>
    <n v="0.06"/>
    <x v="192"/>
    <n v="3090"/>
    <n v="221.244"/>
    <n v="6.6815976110489006E-2"/>
  </r>
  <r>
    <s v="ORD-199-4"/>
    <s v="ORD-199"/>
    <s v="USR-228912"/>
    <s v="ST-P-00669"/>
    <s v="PRD-900"/>
    <x v="311"/>
    <d v="2026-02-28T00:00:00"/>
    <d v="2026-03-05T00:00:00"/>
    <x v="0"/>
    <x v="2"/>
    <x v="1"/>
    <x v="1"/>
    <x v="16"/>
    <s v="Furniture"/>
    <s v="Desks"/>
    <n v="14"/>
    <n v="930"/>
    <n v="1078.8"/>
    <n v="0.01"/>
    <x v="369"/>
    <n v="13020"/>
    <n v="1932.1679999999999"/>
    <n v="0.12922326715430199"/>
  </r>
  <r>
    <s v="ORD-196-2"/>
    <s v="ORD-196"/>
    <s v="USR-375707"/>
    <s v="ST-S-00555"/>
    <s v="PRD-873"/>
    <x v="312"/>
    <d v="2024-08-01T00:00:00"/>
    <d v="2024-08-03T00:00:00"/>
    <x v="0"/>
    <x v="1"/>
    <x v="0"/>
    <x v="4"/>
    <x v="18"/>
    <s v="Electronics"/>
    <s v="Networking"/>
    <n v="6"/>
    <n v="480"/>
    <n v="513.6"/>
    <n v="0.08"/>
    <x v="370"/>
    <n v="2880"/>
    <n v="-44.927999999999997"/>
    <n v="-1.5847216578626599E-2"/>
  </r>
  <r>
    <s v="ORD-242-2"/>
    <s v="ORD-242"/>
    <s v="USR-332471"/>
    <s v="ST-S-00231"/>
    <s v="PRD-900"/>
    <x v="313"/>
    <d v="2025-04-22T00:00:00"/>
    <d v="2025-04-26T00:00:00"/>
    <x v="1"/>
    <x v="0"/>
    <x v="0"/>
    <x v="2"/>
    <x v="16"/>
    <s v="Furniture"/>
    <s v="Desks"/>
    <n v="1"/>
    <n v="930"/>
    <n v="1078.8"/>
    <n v="0"/>
    <x v="371"/>
    <n v="930"/>
    <n v="148.80000000000001"/>
    <n v="0.13793103448275901"/>
  </r>
  <r>
    <s v="ORD-246-1"/>
    <s v="ORD-246"/>
    <s v="USR-913404"/>
    <s v="ST-O-00356"/>
    <s v="PRD-660"/>
    <x v="314"/>
    <d v="2025-06-13T00:00:00"/>
    <d v="2025-06-15T00:00:00"/>
    <x v="0"/>
    <x v="4"/>
    <x v="2"/>
    <x v="3"/>
    <x v="15"/>
    <s v="Accessories"/>
    <s v="Peripherals"/>
    <n v="5"/>
    <n v="350"/>
    <n v="364"/>
    <n v="0.09"/>
    <x v="372"/>
    <n v="1750"/>
    <n v="-93.8"/>
    <n v="-5.6635672020287402E-2"/>
  </r>
  <r>
    <s v="ORD-298-1"/>
    <s v="ORD-298"/>
    <s v="USR-912104"/>
    <s v="ST-O-00232"/>
    <s v="PRD-284"/>
    <x v="315"/>
    <d v="2024-07-03T00:00:00"/>
    <d v="2024-07-06T00:00:00"/>
    <x v="1"/>
    <x v="0"/>
    <x v="2"/>
    <x v="3"/>
    <x v="7"/>
    <s v="Electronics"/>
    <s v="Storage"/>
    <n v="3"/>
    <n v="650"/>
    <n v="663"/>
    <n v="0.02"/>
    <x v="373"/>
    <n v="1950"/>
    <n v="-0.78"/>
    <n v="-4.0016006402561E-4"/>
  </r>
  <r>
    <s v="ORD-345-2"/>
    <s v="ORD-345"/>
    <s v="USR-365862"/>
    <s v="ST-P-00137"/>
    <s v="PRD-181"/>
    <x v="316"/>
    <d v="2024-04-01T00:00:00"/>
    <d v="2024-04-06T00:00:00"/>
    <x v="0"/>
    <x v="4"/>
    <x v="1"/>
    <x v="0"/>
    <x v="6"/>
    <s v="Accessories"/>
    <s v="Audio"/>
    <n v="13"/>
    <n v="250"/>
    <n v="270"/>
    <n v="0"/>
    <x v="374"/>
    <n v="3250"/>
    <n v="260"/>
    <n v="7.4074074074074098E-2"/>
  </r>
  <r>
    <s v="ORD-324-2"/>
    <s v="ORD-324"/>
    <s v="USR-884707"/>
    <s v="ST-O-00262"/>
    <s v="PRD-148"/>
    <x v="317"/>
    <d v="2026-05-26T00:00:00"/>
    <d v="2026-05-29T00:00:00"/>
    <x v="0"/>
    <x v="1"/>
    <x v="2"/>
    <x v="3"/>
    <x v="14"/>
    <s v="Accessories"/>
    <s v="Connectivity"/>
    <n v="6"/>
    <n v="170"/>
    <n v="188.7"/>
    <n v="0.05"/>
    <x v="375"/>
    <n v="1020"/>
    <n v="55.59"/>
    <n v="5.1683262209578001E-2"/>
  </r>
  <r>
    <s v="ORD-247-3"/>
    <s v="ORD-247"/>
    <s v="USR-611011"/>
    <s v="ST-O-00490"/>
    <s v="PRD-873"/>
    <x v="41"/>
    <d v="2024-05-17T00:00:00"/>
    <d v="2024-05-19T00:00:00"/>
    <x v="0"/>
    <x v="3"/>
    <x v="2"/>
    <x v="4"/>
    <x v="18"/>
    <s v="Electronics"/>
    <s v="Networking"/>
    <n v="9"/>
    <n v="480"/>
    <n v="513.6"/>
    <n v="0.04"/>
    <x v="376"/>
    <n v="4320"/>
    <n v="117.504"/>
    <n v="2.6479750778816199E-2"/>
  </r>
  <r>
    <s v="ORD-361-1"/>
    <s v="ORD-361"/>
    <s v="USR-375848"/>
    <s v="ST-P-00372"/>
    <s v="PRD-873"/>
    <x v="318"/>
    <d v="2025-08-19T00:00:00"/>
    <d v="2025-08-23T00:00:00"/>
    <x v="0"/>
    <x v="3"/>
    <x v="1"/>
    <x v="0"/>
    <x v="18"/>
    <s v="Electronics"/>
    <s v="Networking"/>
    <n v="5"/>
    <n v="480"/>
    <n v="513.6"/>
    <n v="0.09"/>
    <x v="377"/>
    <n v="2400"/>
    <n v="-63.12"/>
    <n v="-2.7010372804765301E-2"/>
  </r>
  <r>
    <s v="ORD-279-3"/>
    <s v="ORD-279"/>
    <s v="USR-735159"/>
    <s v="ST-S-00362"/>
    <s v="PRD-181"/>
    <x v="55"/>
    <d v="2025-11-12T00:00:00"/>
    <d v="2025-11-16T00:00:00"/>
    <x v="0"/>
    <x v="4"/>
    <x v="0"/>
    <x v="0"/>
    <x v="6"/>
    <s v="Accessories"/>
    <s v="Audio"/>
    <n v="8"/>
    <n v="250"/>
    <n v="270"/>
    <n v="0.06"/>
    <x v="378"/>
    <n v="2000"/>
    <n v="30.4"/>
    <n v="1.49724192277384E-2"/>
  </r>
  <r>
    <s v="ORD-188-5"/>
    <s v="ORD-188"/>
    <s v="USR-327427"/>
    <s v="ST-O-00159"/>
    <s v="PRD-273"/>
    <x v="116"/>
    <d v="2025-12-26T00:00:00"/>
    <d v="2025-12-29T00:00:00"/>
    <x v="0"/>
    <x v="0"/>
    <x v="2"/>
    <x v="3"/>
    <x v="4"/>
    <s v="Furniture"/>
    <s v="Chairs"/>
    <n v="8"/>
    <n v="1080"/>
    <n v="1112.4000000000001"/>
    <n v="0.08"/>
    <x v="379"/>
    <n v="8640"/>
    <n v="-452.73599999999999"/>
    <n v="-5.5297593921485901E-2"/>
  </r>
  <r>
    <s v="ORD-267-3"/>
    <s v="ORD-267"/>
    <s v="USR-538443"/>
    <s v="ST-P-00402"/>
    <s v="PRD-284"/>
    <x v="319"/>
    <d v="2024-08-10T00:00:00"/>
    <d v="2024-08-12T00:00:00"/>
    <x v="0"/>
    <x v="2"/>
    <x v="1"/>
    <x v="4"/>
    <x v="7"/>
    <s v="Electronics"/>
    <s v="Storage"/>
    <n v="13"/>
    <n v="650"/>
    <n v="663"/>
    <n v="0.05"/>
    <x v="380"/>
    <n v="8450"/>
    <n v="-261.95"/>
    <n v="-3.1991744066047503E-2"/>
  </r>
  <r>
    <s v="ORD-199-5"/>
    <s v="ORD-199"/>
    <s v="USR-532729"/>
    <s v="ST-S-00831"/>
    <s v="PRD-873"/>
    <x v="215"/>
    <d v="2025-11-25T00:00:00"/>
    <d v="2025-11-28T00:00:00"/>
    <x v="0"/>
    <x v="3"/>
    <x v="0"/>
    <x v="4"/>
    <x v="18"/>
    <s v="Electronics"/>
    <s v="Networking"/>
    <n v="6"/>
    <n v="480"/>
    <n v="513.6"/>
    <n v="0.03"/>
    <x v="381"/>
    <n v="2880"/>
    <n v="109.152"/>
    <n v="3.6516042007900602E-2"/>
  </r>
  <r>
    <s v="ORD-371-4"/>
    <s v="ORD-371"/>
    <s v="USR-387063"/>
    <s v="ST-O-00666"/>
    <s v="PRD-519"/>
    <x v="220"/>
    <d v="2024-04-17T00:00:00"/>
    <d v="2024-04-22T00:00:00"/>
    <x v="0"/>
    <x v="0"/>
    <x v="2"/>
    <x v="4"/>
    <x v="1"/>
    <s v="Accessories"/>
    <s v="Peripherals"/>
    <n v="6"/>
    <n v="210"/>
    <n v="222.6"/>
    <n v="7.0000000000000007E-2"/>
    <x v="382"/>
    <n v="1260"/>
    <n v="-17.891999999999999"/>
    <n v="-1.44045445323595E-2"/>
  </r>
  <r>
    <s v="ORD-223-3"/>
    <s v="ORD-223"/>
    <s v="USR-809522"/>
    <s v="ST-P-00317"/>
    <s v="PRD-709"/>
    <x v="55"/>
    <d v="2025-11-12T00:00:00"/>
    <d v="2025-11-14T00:00:00"/>
    <x v="0"/>
    <x v="3"/>
    <x v="1"/>
    <x v="3"/>
    <x v="8"/>
    <s v="Furniture"/>
    <s v="Lighting"/>
    <n v="5"/>
    <n v="280"/>
    <n v="336"/>
    <n v="0.01"/>
    <x v="383"/>
    <n v="1400"/>
    <n v="263.2"/>
    <n v="0.158249158249158"/>
  </r>
  <r>
    <s v="ORD-194-4"/>
    <s v="ORD-194"/>
    <s v="USR-331299"/>
    <s v="ST-P-00508"/>
    <s v="PRD-686"/>
    <x v="320"/>
    <d v="2026-03-23T00:00:00"/>
    <d v="2026-03-24T00:00:00"/>
    <x v="0"/>
    <x v="3"/>
    <x v="1"/>
    <x v="1"/>
    <x v="11"/>
    <s v="Electronics"/>
    <s v="Monitors"/>
    <n v="6"/>
    <n v="1630"/>
    <n v="1744.1"/>
    <n v="0.06"/>
    <x v="384"/>
    <n v="9780"/>
    <n v="56.723999999999997"/>
    <n v="5.7665539868761197E-3"/>
  </r>
  <r>
    <s v="ORD-361-2"/>
    <s v="ORD-361"/>
    <s v="USR-264561"/>
    <s v="ST-S-00330"/>
    <s v="PRD-660"/>
    <x v="321"/>
    <d v="2024-10-22T00:00:00"/>
    <d v="2024-10-25T00:00:00"/>
    <x v="1"/>
    <x v="0"/>
    <x v="0"/>
    <x v="3"/>
    <x v="15"/>
    <s v="Accessories"/>
    <s v="Peripherals"/>
    <n v="2"/>
    <n v="350"/>
    <n v="364"/>
    <n v="0.09"/>
    <x v="385"/>
    <n v="700"/>
    <n v="-37.520000000000003"/>
    <n v="-5.6635672020287402E-2"/>
  </r>
  <r>
    <s v="ORD-311-1"/>
    <s v="ORD-311"/>
    <s v="USR-793449"/>
    <s v="ST-P-00815"/>
    <s v="PRD-660"/>
    <x v="170"/>
    <d v="2025-04-14T00:00:00"/>
    <d v="2025-04-16T00:00:00"/>
    <x v="0"/>
    <x v="4"/>
    <x v="1"/>
    <x v="3"/>
    <x v="15"/>
    <s v="Accessories"/>
    <s v="Peripherals"/>
    <n v="5"/>
    <n v="350"/>
    <n v="364"/>
    <n v="0.09"/>
    <x v="372"/>
    <n v="1750"/>
    <n v="-93.8"/>
    <n v="-5.6635672020287402E-2"/>
  </r>
  <r>
    <s v="ORD-249-3"/>
    <s v="ORD-249"/>
    <s v="USR-684872"/>
    <s v="ST-O-00748"/>
    <s v="PRD-592"/>
    <x v="183"/>
    <d v="2025-05-05T00:00:00"/>
    <d v="2025-05-07T00:00:00"/>
    <x v="1"/>
    <x v="1"/>
    <x v="2"/>
    <x v="3"/>
    <x v="12"/>
    <s v="Accessories"/>
    <s v="Connectivity"/>
    <n v="1"/>
    <n v="580"/>
    <n v="667"/>
    <n v="0.08"/>
    <x v="386"/>
    <n v="580"/>
    <n v="33.64"/>
    <n v="5.4820415879017002E-2"/>
  </r>
  <r>
    <s v="ORD-200-1"/>
    <s v="ORD-200"/>
    <s v="USR-912781"/>
    <s v="ST-S-00632"/>
    <s v="PRD-900"/>
    <x v="322"/>
    <d v="2025-11-08T00:00:00"/>
    <d v="2025-11-11T00:00:00"/>
    <x v="0"/>
    <x v="2"/>
    <x v="0"/>
    <x v="4"/>
    <x v="16"/>
    <s v="Furniture"/>
    <s v="Desks"/>
    <n v="7"/>
    <n v="930"/>
    <n v="1078.8"/>
    <n v="0.03"/>
    <x v="387"/>
    <n v="6510"/>
    <n v="815.05200000000002"/>
    <n v="0.111269107714184"/>
  </r>
  <r>
    <s v="ORD-364-6"/>
    <s v="ORD-364"/>
    <s v="USR-841723"/>
    <s v="ST-S-00842"/>
    <s v="PRD-273"/>
    <x v="146"/>
    <d v="2024-02-01T00:00:00"/>
    <d v="2024-02-04T00:00:00"/>
    <x v="0"/>
    <x v="1"/>
    <x v="0"/>
    <x v="1"/>
    <x v="4"/>
    <s v="Furniture"/>
    <s v="Chairs"/>
    <n v="9"/>
    <n v="1080"/>
    <n v="1112.4000000000001"/>
    <n v="0.1"/>
    <x v="388"/>
    <n v="9720"/>
    <n v="-709.56"/>
    <n v="-7.8748651564185507E-2"/>
  </r>
  <r>
    <s v="ORD-377-4"/>
    <s v="ORD-377"/>
    <s v="USR-995074"/>
    <s v="ST-O-00475"/>
    <s v="PRD-148"/>
    <x v="285"/>
    <d v="2026-04-23T00:00:00"/>
    <d v="2026-04-27T00:00:00"/>
    <x v="1"/>
    <x v="4"/>
    <x v="2"/>
    <x v="3"/>
    <x v="14"/>
    <s v="Accessories"/>
    <s v="Connectivity"/>
    <n v="2"/>
    <n v="170"/>
    <n v="188.7"/>
    <n v="0.06"/>
    <x v="389"/>
    <n v="340"/>
    <n v="14.756"/>
    <n v="4.1594786275637299E-2"/>
  </r>
  <r>
    <s v="ORD-314-4"/>
    <s v="ORD-314"/>
    <s v="USR-359072"/>
    <s v="ST-P-00862"/>
    <s v="PRD-900"/>
    <x v="40"/>
    <d v="2025-03-12T00:00:00"/>
    <d v="2025-03-16T00:00:00"/>
    <x v="0"/>
    <x v="2"/>
    <x v="1"/>
    <x v="0"/>
    <x v="16"/>
    <s v="Furniture"/>
    <s v="Desks"/>
    <n v="12"/>
    <n v="930"/>
    <n v="1078.8"/>
    <n v="0.04"/>
    <x v="390"/>
    <n v="11160"/>
    <n v="1267.7760000000001"/>
    <n v="0.10201149425287399"/>
  </r>
  <r>
    <s v="ORD-256-4"/>
    <s v="ORD-256"/>
    <s v="USR-528675"/>
    <s v="ST-P-00661"/>
    <s v="PRD-519"/>
    <x v="323"/>
    <d v="2025-09-23T00:00:00"/>
    <d v="2025-09-26T00:00:00"/>
    <x v="0"/>
    <x v="1"/>
    <x v="1"/>
    <x v="2"/>
    <x v="1"/>
    <s v="Accessories"/>
    <s v="Peripherals"/>
    <n v="15"/>
    <n v="210"/>
    <n v="222.6"/>
    <n v="7.0000000000000007E-2"/>
    <x v="391"/>
    <n v="3150"/>
    <n v="-44.73"/>
    <n v="-1.44045445323595E-2"/>
  </r>
  <r>
    <s v="ORD-153-3"/>
    <s v="ORD-153"/>
    <s v="USR-784644"/>
    <s v="ST-O-00562"/>
    <s v="PRD-709"/>
    <x v="305"/>
    <d v="2024-07-19T00:00:00"/>
    <d v="2024-07-22T00:00:00"/>
    <x v="0"/>
    <x v="0"/>
    <x v="2"/>
    <x v="3"/>
    <x v="8"/>
    <s v="Furniture"/>
    <s v="Lighting"/>
    <n v="10"/>
    <n v="280"/>
    <n v="336"/>
    <n v="0.06"/>
    <x v="344"/>
    <n v="2800"/>
    <n v="358.4"/>
    <n v="0.11347517730496499"/>
  </r>
  <r>
    <s v="ORD-321-4"/>
    <s v="ORD-321"/>
    <s v="USR-619003"/>
    <s v="ST-P-00492"/>
    <s v="PRD-660"/>
    <x v="151"/>
    <d v="2024-04-02T00:00:00"/>
    <d v="2024-04-06T00:00:00"/>
    <x v="0"/>
    <x v="3"/>
    <x v="1"/>
    <x v="0"/>
    <x v="15"/>
    <s v="Accessories"/>
    <s v="Peripherals"/>
    <n v="12"/>
    <n v="350"/>
    <n v="364"/>
    <n v="0"/>
    <x v="392"/>
    <n v="4200"/>
    <n v="168"/>
    <n v="3.8461538461538498E-2"/>
  </r>
  <r>
    <s v="ORD-330-2"/>
    <s v="ORD-330"/>
    <s v="USR-730833"/>
    <s v="ST-S-00593"/>
    <s v="PRD-592"/>
    <x v="324"/>
    <d v="2026-01-13T00:00:00"/>
    <d v="2026-01-16T00:00:00"/>
    <x v="1"/>
    <x v="3"/>
    <x v="0"/>
    <x v="4"/>
    <x v="12"/>
    <s v="Accessories"/>
    <s v="Connectivity"/>
    <n v="3"/>
    <n v="580"/>
    <n v="667"/>
    <n v="0.08"/>
    <x v="393"/>
    <n v="1740"/>
    <n v="100.92"/>
    <n v="5.4820415879017002E-2"/>
  </r>
  <r>
    <s v="ORD-290-1"/>
    <s v="ORD-290"/>
    <s v="USR-519330"/>
    <s v="ST-O-00155"/>
    <s v="PRD-900"/>
    <x v="325"/>
    <d v="2024-05-03T00:00:00"/>
    <d v="2024-05-05T00:00:00"/>
    <x v="1"/>
    <x v="1"/>
    <x v="2"/>
    <x v="4"/>
    <x v="16"/>
    <s v="Furniture"/>
    <s v="Desks"/>
    <n v="2"/>
    <n v="930"/>
    <n v="1078.8"/>
    <n v="0"/>
    <x v="394"/>
    <n v="1860"/>
    <n v="297.60000000000002"/>
    <n v="0.13793103448275901"/>
  </r>
  <r>
    <s v="ORD-244-3"/>
    <s v="ORD-244"/>
    <s v="USR-220041"/>
    <s v="ST-P-00147"/>
    <s v="PRD-643"/>
    <x v="321"/>
    <d v="2024-10-21T00:00:00"/>
    <d v="2024-10-24T00:00:00"/>
    <x v="0"/>
    <x v="0"/>
    <x v="1"/>
    <x v="3"/>
    <x v="5"/>
    <s v="Electronics"/>
    <s v="Laptops"/>
    <n v="9"/>
    <n v="3030"/>
    <n v="3211.8"/>
    <n v="0.03"/>
    <x v="395"/>
    <n v="27270"/>
    <n v="769.01400000000001"/>
    <n v="2.74265707060883E-2"/>
  </r>
  <r>
    <s v="ORD-355-1"/>
    <s v="ORD-355"/>
    <s v="USR-729186"/>
    <s v="ST-S-00420"/>
    <s v="PRD-778"/>
    <x v="326"/>
    <d v="2026-04-10T00:00:00"/>
    <d v="2026-04-11T00:00:00"/>
    <x v="1"/>
    <x v="3"/>
    <x v="0"/>
    <x v="0"/>
    <x v="19"/>
    <s v="Electronics"/>
    <s v="Laptops"/>
    <n v="2"/>
    <n v="3330"/>
    <n v="3629.7"/>
    <n v="0.1"/>
    <x v="396"/>
    <n v="6660"/>
    <n v="-126.54"/>
    <n v="-1.9367991845056099E-2"/>
  </r>
  <r>
    <s v="ORD-253-4"/>
    <s v="ORD-253"/>
    <s v="USR-155577"/>
    <s v="ST-O-00961"/>
    <s v="PRD-517"/>
    <x v="327"/>
    <d v="2024-04-01T00:00:00"/>
    <d v="2024-04-05T00:00:00"/>
    <x v="1"/>
    <x v="4"/>
    <x v="2"/>
    <x v="3"/>
    <x v="3"/>
    <s v="Electronics"/>
    <s v="Monitors"/>
    <n v="2"/>
    <n v="1030"/>
    <n v="1174.2"/>
    <n v="0.08"/>
    <x v="397"/>
    <n v="2060"/>
    <n v="100.52800000000001"/>
    <n v="4.6529366895499601E-2"/>
  </r>
  <r>
    <s v="ORD-259-4"/>
    <s v="ORD-259"/>
    <s v="USR-898662"/>
    <s v="ST-P-00765"/>
    <s v="PRD-811"/>
    <x v="328"/>
    <d v="2025-02-09T00:00:00"/>
    <d v="2025-02-11T00:00:00"/>
    <x v="0"/>
    <x v="3"/>
    <x v="1"/>
    <x v="3"/>
    <x v="9"/>
    <s v="Electronics"/>
    <s v="Cameras"/>
    <n v="8"/>
    <n v="430"/>
    <n v="455.8"/>
    <n v="7.0000000000000007E-2"/>
    <x v="103"/>
    <n v="3440"/>
    <n v="-48.847999999999999"/>
    <n v="-1.44045445323595E-2"/>
  </r>
  <r>
    <s v="ORD-193-3"/>
    <s v="ORD-193"/>
    <s v="USR-706902"/>
    <s v="ST-S-00276"/>
    <s v="PRD-643"/>
    <x v="94"/>
    <d v="2025-12-13T00:00:00"/>
    <d v="2025-12-14T00:00:00"/>
    <x v="1"/>
    <x v="1"/>
    <x v="0"/>
    <x v="0"/>
    <x v="5"/>
    <s v="Electronics"/>
    <s v="Laptops"/>
    <n v="2"/>
    <n v="3030"/>
    <n v="3211.8"/>
    <n v="0"/>
    <x v="398"/>
    <n v="6060"/>
    <n v="363.6"/>
    <n v="5.6603773584905703E-2"/>
  </r>
  <r>
    <s v="ORD-368-1"/>
    <s v="ORD-368"/>
    <s v="USR-948355"/>
    <s v="ST-P-00522"/>
    <s v="PRD-112"/>
    <x v="329"/>
    <d v="2025-03-08T00:00:00"/>
    <d v="2025-03-10T00:00:00"/>
    <x v="0"/>
    <x v="2"/>
    <x v="1"/>
    <x v="0"/>
    <x v="17"/>
    <s v="Electronics"/>
    <s v="Laptops"/>
    <n v="11"/>
    <n v="3930"/>
    <n v="4362.3"/>
    <n v="0.05"/>
    <x v="399"/>
    <n v="43230"/>
    <n v="2356.0349999999999"/>
    <n v="5.1683262209578001E-2"/>
  </r>
  <r>
    <s v="ORD-203-3"/>
    <s v="ORD-203"/>
    <s v="USR-458205"/>
    <s v="ST-O-00583"/>
    <s v="PRD-148"/>
    <x v="330"/>
    <d v="2025-09-30T00:00:00"/>
    <d v="2025-10-02T00:00:00"/>
    <x v="1"/>
    <x v="1"/>
    <x v="2"/>
    <x v="2"/>
    <x v="14"/>
    <s v="Accessories"/>
    <s v="Connectivity"/>
    <n v="1"/>
    <n v="170"/>
    <n v="188.7"/>
    <n v="7.0000000000000007E-2"/>
    <x v="400"/>
    <n v="170"/>
    <n v="5.4909999999999997"/>
    <n v="3.1289353869999002E-2"/>
  </r>
  <r>
    <s v="ORD-180-1"/>
    <s v="ORD-180"/>
    <s v="USR-518665"/>
    <s v="ST-S-00419"/>
    <s v="PRD-597"/>
    <x v="331"/>
    <d v="2024-03-03T00:00:00"/>
    <d v="2024-03-06T00:00:00"/>
    <x v="0"/>
    <x v="3"/>
    <x v="0"/>
    <x v="0"/>
    <x v="0"/>
    <s v="Furniture"/>
    <s v="Chairs"/>
    <n v="5"/>
    <n v="730"/>
    <n v="824.9"/>
    <n v="0.04"/>
    <x v="401"/>
    <n v="3650"/>
    <n v="309.52"/>
    <n v="7.8171091445427707E-2"/>
  </r>
  <r>
    <s v="ORD-212-2"/>
    <s v="ORD-212"/>
    <s v="USR-385265"/>
    <s v="ST-P-00444"/>
    <s v="PRD-597"/>
    <x v="332"/>
    <d v="2025-12-23T00:00:00"/>
    <d v="2025-12-25T00:00:00"/>
    <x v="0"/>
    <x v="1"/>
    <x v="1"/>
    <x v="0"/>
    <x v="0"/>
    <s v="Furniture"/>
    <s v="Chairs"/>
    <n v="9"/>
    <n v="730"/>
    <n v="824.9"/>
    <n v="0.05"/>
    <x v="402"/>
    <n v="6570"/>
    <n v="482.89499999999998"/>
    <n v="6.8467629250116402E-2"/>
  </r>
  <r>
    <s v="ORD-357-2"/>
    <s v="ORD-357"/>
    <s v="USR-747655"/>
    <s v="ST-P-00234"/>
    <s v="PRD-873"/>
    <x v="45"/>
    <d v="2024-07-06T00:00:00"/>
    <d v="2024-07-09T00:00:00"/>
    <x v="0"/>
    <x v="0"/>
    <x v="1"/>
    <x v="0"/>
    <x v="18"/>
    <s v="Electronics"/>
    <s v="Networking"/>
    <n v="5"/>
    <n v="480"/>
    <n v="513.6"/>
    <n v="0.06"/>
    <x v="403"/>
    <n v="2400"/>
    <n v="13.92"/>
    <n v="5.7665539868761197E-3"/>
  </r>
  <r>
    <s v="ORD-205-4"/>
    <s v="ORD-205"/>
    <s v="USR-255289"/>
    <s v="ST-S-00713"/>
    <s v="PRD-592"/>
    <x v="333"/>
    <d v="2025-05-24T00:00:00"/>
    <d v="2025-05-25T00:00:00"/>
    <x v="0"/>
    <x v="0"/>
    <x v="0"/>
    <x v="4"/>
    <x v="12"/>
    <s v="Accessories"/>
    <s v="Connectivity"/>
    <n v="7"/>
    <n v="580"/>
    <n v="667"/>
    <n v="0.08"/>
    <x v="404"/>
    <n v="4060"/>
    <n v="235.48"/>
    <n v="5.4820415879017002E-2"/>
  </r>
  <r>
    <s v="ORD-375-6"/>
    <s v="ORD-375"/>
    <s v="USR-136848"/>
    <s v="ST-S-00857"/>
    <s v="PRD-778"/>
    <x v="225"/>
    <d v="2024-07-14T00:00:00"/>
    <d v="2024-07-16T00:00:00"/>
    <x v="0"/>
    <x v="3"/>
    <x v="0"/>
    <x v="4"/>
    <x v="19"/>
    <s v="Electronics"/>
    <s v="Laptops"/>
    <n v="9"/>
    <n v="3330"/>
    <n v="3629.7"/>
    <n v="0.02"/>
    <x v="169"/>
    <n v="29970"/>
    <n v="2043.954"/>
    <n v="6.3845721774948502E-2"/>
  </r>
  <r>
    <s v="ORD-283-2"/>
    <s v="ORD-283"/>
    <s v="USR-365739"/>
    <s v="ST-P-00627"/>
    <s v="PRD-597"/>
    <x v="334"/>
    <d v="2026-04-14T00:00:00"/>
    <d v="2026-04-18T00:00:00"/>
    <x v="0"/>
    <x v="0"/>
    <x v="1"/>
    <x v="3"/>
    <x v="0"/>
    <s v="Furniture"/>
    <s v="Chairs"/>
    <n v="7"/>
    <n v="730"/>
    <n v="824.9"/>
    <n v="0.02"/>
    <x v="405"/>
    <n v="5110"/>
    <n v="548.81399999999996"/>
    <n v="9.6983926313888399E-2"/>
  </r>
  <r>
    <s v="ORD-231-4"/>
    <s v="ORD-231"/>
    <s v="USR-880420"/>
    <s v="ST-S-00848"/>
    <s v="PRD-361"/>
    <x v="311"/>
    <d v="2026-02-28T00:00:00"/>
    <d v="2026-03-03T00:00:00"/>
    <x v="0"/>
    <x v="2"/>
    <x v="0"/>
    <x v="3"/>
    <x v="13"/>
    <s v="Accessories"/>
    <s v="Audio"/>
    <n v="8"/>
    <n v="390"/>
    <n v="468"/>
    <n v="0.09"/>
    <x v="406"/>
    <n v="3120"/>
    <n v="287.04000000000002"/>
    <n v="8.42490842490842E-2"/>
  </r>
  <r>
    <s v="ORD-291-4"/>
    <s v="ORD-291"/>
    <s v="USR-683054"/>
    <s v="ST-O-00339"/>
    <s v="PRD-148"/>
    <x v="335"/>
    <d v="2025-08-19T00:00:00"/>
    <d v="2025-08-24T00:00:00"/>
    <x v="0"/>
    <x v="0"/>
    <x v="2"/>
    <x v="0"/>
    <x v="14"/>
    <s v="Accessories"/>
    <s v="Connectivity"/>
    <n v="7"/>
    <n v="170"/>
    <n v="188.7"/>
    <n v="0.03"/>
    <x v="407"/>
    <n v="1190"/>
    <n v="91.272999999999996"/>
    <n v="7.1236184638246505E-2"/>
  </r>
  <r>
    <s v="ORD-272-3"/>
    <s v="ORD-272"/>
    <s v="USR-951937"/>
    <s v="ST-O-00947"/>
    <s v="PRD-873"/>
    <x v="202"/>
    <d v="2025-04-24T00:00:00"/>
    <d v="2025-04-29T00:00:00"/>
    <x v="0"/>
    <x v="3"/>
    <x v="2"/>
    <x v="2"/>
    <x v="18"/>
    <s v="Electronics"/>
    <s v="Networking"/>
    <n v="5"/>
    <n v="480"/>
    <n v="513.6"/>
    <n v="0.03"/>
    <x v="351"/>
    <n v="2400"/>
    <n v="90.96"/>
    <n v="3.6516042007900602E-2"/>
  </r>
  <r>
    <s v="ORD-348-2"/>
    <s v="ORD-348"/>
    <s v="USR-540844"/>
    <s v="ST-P-00445"/>
    <s v="PRD-597"/>
    <x v="336"/>
    <d v="2024-03-26T00:00:00"/>
    <d v="2024-03-31T00:00:00"/>
    <x v="0"/>
    <x v="1"/>
    <x v="1"/>
    <x v="0"/>
    <x v="0"/>
    <s v="Furniture"/>
    <s v="Chairs"/>
    <n v="5"/>
    <n v="730"/>
    <n v="824.9"/>
    <n v="0.04"/>
    <x v="401"/>
    <n v="3650"/>
    <n v="309.52"/>
    <n v="7.8171091445427707E-2"/>
  </r>
  <r>
    <s v="ORD-375-7"/>
    <s v="ORD-375"/>
    <s v="USR-522282"/>
    <s v="ST-P-00159"/>
    <s v="PRD-361"/>
    <x v="69"/>
    <d v="2026-04-14T00:00:00"/>
    <d v="2026-04-18T00:00:00"/>
    <x v="0"/>
    <x v="0"/>
    <x v="1"/>
    <x v="0"/>
    <x v="13"/>
    <s v="Accessories"/>
    <s v="Audio"/>
    <n v="10"/>
    <n v="390"/>
    <n v="468"/>
    <n v="0.04"/>
    <x v="408"/>
    <n v="3900"/>
    <n v="592.79999999999995"/>
    <n v="0.131944444444444"/>
  </r>
  <r>
    <s v="ORD-351-3"/>
    <s v="ORD-351"/>
    <s v="USR-736780"/>
    <s v="ST-O-00790"/>
    <s v="PRD-361"/>
    <x v="282"/>
    <d v="2024-11-12T00:00:00"/>
    <d v="2024-11-14T00:00:00"/>
    <x v="1"/>
    <x v="4"/>
    <x v="2"/>
    <x v="3"/>
    <x v="13"/>
    <s v="Accessories"/>
    <s v="Audio"/>
    <n v="1"/>
    <n v="390"/>
    <n v="468"/>
    <n v="0.01"/>
    <x v="409"/>
    <n v="390"/>
    <n v="73.319999999999993"/>
    <n v="0.158249158249158"/>
  </r>
  <r>
    <s v="ORD-291-5"/>
    <s v="ORD-291"/>
    <s v="USR-509937"/>
    <s v="ST-O-00853"/>
    <s v="PRD-597"/>
    <x v="337"/>
    <d v="2026-01-19T00:00:00"/>
    <d v="2026-01-22T00:00:00"/>
    <x v="1"/>
    <x v="0"/>
    <x v="2"/>
    <x v="4"/>
    <x v="0"/>
    <s v="Furniture"/>
    <s v="Chairs"/>
    <n v="3"/>
    <n v="730"/>
    <n v="824.9"/>
    <n v="0.08"/>
    <x v="410"/>
    <n v="2190"/>
    <n v="86.724000000000004"/>
    <n v="3.8091573682185499E-2"/>
  </r>
  <r>
    <s v="ORD-305-4"/>
    <s v="ORD-305"/>
    <s v="USR-287129"/>
    <s v="ST-S-00288"/>
    <s v="PRD-519"/>
    <x v="156"/>
    <d v="2024-12-12T00:00:00"/>
    <d v="2024-12-16T00:00:00"/>
    <x v="1"/>
    <x v="2"/>
    <x v="0"/>
    <x v="2"/>
    <x v="1"/>
    <s v="Accessories"/>
    <s v="Peripherals"/>
    <n v="1"/>
    <n v="210"/>
    <n v="222.6"/>
    <n v="0.02"/>
    <x v="411"/>
    <n v="210"/>
    <n v="8.1479999999999997"/>
    <n v="3.73507893723527E-2"/>
  </r>
  <r>
    <s v="ORD-246-2"/>
    <s v="ORD-246"/>
    <s v="USR-780269"/>
    <s v="ST-O-00292"/>
    <s v="PRD-284"/>
    <x v="87"/>
    <d v="2025-02-09T00:00:00"/>
    <d v="2025-02-13T00:00:00"/>
    <x v="0"/>
    <x v="0"/>
    <x v="2"/>
    <x v="3"/>
    <x v="7"/>
    <s v="Electronics"/>
    <s v="Storage"/>
    <n v="6"/>
    <n v="650"/>
    <n v="663"/>
    <n v="0.04"/>
    <x v="412"/>
    <n v="3900"/>
    <n v="-81.12"/>
    <n v="-2.1241830065359499E-2"/>
  </r>
  <r>
    <s v="ORD-178-6"/>
    <s v="ORD-178"/>
    <s v="USR-182033"/>
    <s v="ST-S-00438"/>
    <s v="PRD-273"/>
    <x v="265"/>
    <d v="2026-06-03T00:00:00"/>
    <d v="2026-06-05T00:00:00"/>
    <x v="1"/>
    <x v="0"/>
    <x v="0"/>
    <x v="0"/>
    <x v="4"/>
    <s v="Furniture"/>
    <s v="Chairs"/>
    <n v="4"/>
    <n v="1080"/>
    <n v="1112.4000000000001"/>
    <n v="0.01"/>
    <x v="413"/>
    <n v="4320"/>
    <n v="85.103999999999999"/>
    <n v="1.9319407668922199E-2"/>
  </r>
  <r>
    <s v="ORD-341-3"/>
    <s v="ORD-341"/>
    <s v="USR-492077"/>
    <s v="ST-S-00701"/>
    <s v="PRD-284"/>
    <x v="338"/>
    <d v="2025-03-03T00:00:00"/>
    <d v="2025-03-07T00:00:00"/>
    <x v="1"/>
    <x v="3"/>
    <x v="0"/>
    <x v="0"/>
    <x v="7"/>
    <s v="Electronics"/>
    <s v="Storage"/>
    <n v="3"/>
    <n v="650"/>
    <n v="663"/>
    <n v="0.03"/>
    <x v="414"/>
    <n v="1950"/>
    <n v="-20.67"/>
    <n v="-1.07135637760259E-2"/>
  </r>
  <r>
    <s v="ORD-248-3"/>
    <s v="ORD-248"/>
    <s v="USR-676409"/>
    <s v="ST-S-00288"/>
    <s v="PRD-273"/>
    <x v="339"/>
    <d v="2025-05-09T00:00:00"/>
    <d v="2025-05-11T00:00:00"/>
    <x v="0"/>
    <x v="3"/>
    <x v="0"/>
    <x v="1"/>
    <x v="4"/>
    <s v="Furniture"/>
    <s v="Chairs"/>
    <n v="7"/>
    <n v="1080"/>
    <n v="1112.4000000000001"/>
    <n v="0"/>
    <x v="139"/>
    <n v="7560"/>
    <n v="226.8"/>
    <n v="2.9126213592233E-2"/>
  </r>
  <r>
    <s v="ORD-212-3"/>
    <s v="ORD-212"/>
    <s v="USR-599137"/>
    <s v="ST-O-00374"/>
    <s v="PRD-778"/>
    <x v="194"/>
    <d v="2025-07-13T00:00:00"/>
    <d v="2025-07-17T00:00:00"/>
    <x v="1"/>
    <x v="3"/>
    <x v="2"/>
    <x v="0"/>
    <x v="19"/>
    <s v="Electronics"/>
    <s v="Laptops"/>
    <n v="3"/>
    <n v="3330"/>
    <n v="3629.7"/>
    <n v="0.02"/>
    <x v="415"/>
    <n v="9990"/>
    <n v="681.31799999999998"/>
    <n v="6.3845721774948502E-2"/>
  </r>
  <r>
    <s v="ORD-258-3"/>
    <s v="ORD-258"/>
    <s v="USR-673517"/>
    <s v="ST-O-00608"/>
    <s v="PRD-112"/>
    <x v="340"/>
    <d v="2026-01-10T00:00:00"/>
    <d v="2026-01-12T00:00:00"/>
    <x v="1"/>
    <x v="0"/>
    <x v="2"/>
    <x v="3"/>
    <x v="17"/>
    <s v="Electronics"/>
    <s v="Laptops"/>
    <n v="2"/>
    <n v="3930"/>
    <n v="4362.3"/>
    <n v="0.05"/>
    <x v="416"/>
    <n v="7860"/>
    <n v="428.37"/>
    <n v="5.1683262209578001E-2"/>
  </r>
  <r>
    <s v="ORD-238-6"/>
    <s v="ORD-238"/>
    <s v="USR-932583"/>
    <s v="ST-P-00551"/>
    <s v="PRD-873"/>
    <x v="341"/>
    <d v="2025-12-28T00:00:00"/>
    <d v="2025-12-30T00:00:00"/>
    <x v="0"/>
    <x v="1"/>
    <x v="1"/>
    <x v="1"/>
    <x v="18"/>
    <s v="Electronics"/>
    <s v="Networking"/>
    <n v="13"/>
    <n v="480"/>
    <n v="513.6"/>
    <n v="7.0000000000000007E-2"/>
    <x v="417"/>
    <n v="6240"/>
    <n v="-30.576000000000001"/>
    <n v="-4.9241282283187596E-3"/>
  </r>
  <r>
    <s v="ORD-381-4"/>
    <s v="ORD-381"/>
    <s v="USR-413771"/>
    <s v="ST-O-00484"/>
    <s v="PRD-778"/>
    <x v="342"/>
    <d v="2024-10-18T00:00:00"/>
    <d v="2024-10-21T00:00:00"/>
    <x v="1"/>
    <x v="0"/>
    <x v="2"/>
    <x v="3"/>
    <x v="19"/>
    <s v="Electronics"/>
    <s v="Laptops"/>
    <n v="3"/>
    <n v="3330"/>
    <n v="3629.7"/>
    <n v="0.04"/>
    <x v="418"/>
    <n v="9990"/>
    <n v="463.536"/>
    <n v="4.4342507645259897E-2"/>
  </r>
  <r>
    <s v="ORD-388-2"/>
    <s v="ORD-388"/>
    <s v="USR-994597"/>
    <s v="ST-S-00483"/>
    <s v="PRD-273"/>
    <x v="343"/>
    <d v="2025-06-23T00:00:00"/>
    <d v="2025-06-24T00:00:00"/>
    <x v="1"/>
    <x v="1"/>
    <x v="0"/>
    <x v="4"/>
    <x v="4"/>
    <s v="Furniture"/>
    <s v="Chairs"/>
    <n v="4"/>
    <n v="1080"/>
    <n v="1112.4000000000001"/>
    <n v="0.09"/>
    <x v="419"/>
    <n v="4320"/>
    <n v="-270.86399999999998"/>
    <n v="-6.6894270777765899E-2"/>
  </r>
  <r>
    <s v="ORD-389-3"/>
    <s v="ORD-389"/>
    <s v="USR-758988"/>
    <s v="ST-O-00714"/>
    <s v="PRD-517"/>
    <x v="344"/>
    <d v="2025-06-04T00:00:00"/>
    <d v="2025-06-08T00:00:00"/>
    <x v="1"/>
    <x v="3"/>
    <x v="2"/>
    <x v="1"/>
    <x v="3"/>
    <s v="Electronics"/>
    <s v="Monitors"/>
    <n v="4"/>
    <n v="1030"/>
    <n v="1174.2"/>
    <n v="0.03"/>
    <x v="420"/>
    <n v="4120"/>
    <n v="435.89600000000002"/>
    <n v="9.5677337674082097E-2"/>
  </r>
  <r>
    <s v="ORD-353-4"/>
    <s v="ORD-353"/>
    <s v="USR-668621"/>
    <s v="ST-P-00544"/>
    <s v="PRD-247"/>
    <x v="345"/>
    <d v="2024-06-04T00:00:00"/>
    <d v="2024-06-07T00:00:00"/>
    <x v="0"/>
    <x v="1"/>
    <x v="1"/>
    <x v="1"/>
    <x v="10"/>
    <s v="Furniture"/>
    <s v="Desks"/>
    <n v="9"/>
    <n v="1530"/>
    <n v="1790.1"/>
    <n v="0.01"/>
    <x v="421"/>
    <n v="13770"/>
    <n v="2179.7910000000002"/>
    <n v="0.13666580333247"/>
  </r>
  <r>
    <s v="ORD-273-2"/>
    <s v="ORD-273"/>
    <s v="USR-912630"/>
    <s v="ST-S-00579"/>
    <s v="PRD-117"/>
    <x v="316"/>
    <d v="2024-04-01T00:00:00"/>
    <d v="2024-04-06T00:00:00"/>
    <x v="1"/>
    <x v="0"/>
    <x v="0"/>
    <x v="0"/>
    <x v="2"/>
    <s v="Electronics"/>
    <s v="Printers"/>
    <n v="2"/>
    <n v="1230"/>
    <n v="1328.4"/>
    <n v="0.06"/>
    <x v="422"/>
    <n v="2460"/>
    <n v="37.392000000000003"/>
    <n v="1.49724192277384E-2"/>
  </r>
  <r>
    <s v="ORD-228-3"/>
    <s v="ORD-228"/>
    <s v="USR-540373"/>
    <s v="ST-P-00686"/>
    <s v="PRD-686"/>
    <x v="346"/>
    <d v="2024-08-08T00:00:00"/>
    <d v="2024-08-12T00:00:00"/>
    <x v="0"/>
    <x v="2"/>
    <x v="1"/>
    <x v="2"/>
    <x v="11"/>
    <s v="Electronics"/>
    <s v="Monitors"/>
    <n v="11"/>
    <n v="1630"/>
    <n v="1744.1"/>
    <n v="0.1"/>
    <x v="423"/>
    <n v="17930"/>
    <n v="-663.41"/>
    <n v="-3.8421599169262702E-2"/>
  </r>
  <r>
    <s v="ORD-369-1"/>
    <s v="ORD-369"/>
    <s v="USR-906031"/>
    <s v="ST-O-00920"/>
    <s v="PRD-811"/>
    <x v="228"/>
    <d v="2026-05-29T00:00:00"/>
    <d v="2026-06-01T00:00:00"/>
    <x v="0"/>
    <x v="2"/>
    <x v="2"/>
    <x v="3"/>
    <x v="9"/>
    <s v="Electronics"/>
    <s v="Cameras"/>
    <n v="6"/>
    <n v="430"/>
    <n v="455.8"/>
    <n v="0"/>
    <x v="424"/>
    <n v="2580"/>
    <n v="154.80000000000001"/>
    <n v="5.6603773584905703E-2"/>
  </r>
  <r>
    <s v="ORD-377-5"/>
    <s v="ORD-377"/>
    <s v="USR-381191"/>
    <s v="ST-O-00512"/>
    <s v="PRD-519"/>
    <x v="185"/>
    <d v="2024-11-27T00:00:00"/>
    <d v="2024-12-02T00:00:00"/>
    <x v="1"/>
    <x v="4"/>
    <x v="2"/>
    <x v="4"/>
    <x v="1"/>
    <s v="Accessories"/>
    <s v="Peripherals"/>
    <n v="2"/>
    <n v="210"/>
    <n v="222.6"/>
    <n v="0"/>
    <x v="425"/>
    <n v="420"/>
    <n v="25.2"/>
    <n v="5.6603773584905703E-2"/>
  </r>
  <r>
    <s v="ORD-252-3"/>
    <s v="ORD-252"/>
    <s v="USR-629398"/>
    <s v="ST-O-00247"/>
    <s v="PRD-361"/>
    <x v="347"/>
    <d v="2026-04-09T00:00:00"/>
    <d v="2026-04-11T00:00:00"/>
    <x v="1"/>
    <x v="4"/>
    <x v="2"/>
    <x v="0"/>
    <x v="13"/>
    <s v="Accessories"/>
    <s v="Audio"/>
    <n v="4"/>
    <n v="390"/>
    <n v="468"/>
    <n v="0.06"/>
    <x v="426"/>
    <n v="1560"/>
    <n v="199.68"/>
    <n v="0.11347517730496499"/>
  </r>
  <r>
    <s v="ORD-171-3"/>
    <s v="ORD-171"/>
    <s v="USR-714909"/>
    <s v="ST-S-00513"/>
    <s v="PRD-519"/>
    <x v="348"/>
    <d v="2026-04-05T00:00:00"/>
    <d v="2026-04-09T00:00:00"/>
    <x v="0"/>
    <x v="4"/>
    <x v="0"/>
    <x v="3"/>
    <x v="1"/>
    <s v="Accessories"/>
    <s v="Peripherals"/>
    <n v="10"/>
    <n v="210"/>
    <n v="222.6"/>
    <n v="7.0000000000000007E-2"/>
    <x v="427"/>
    <n v="2100"/>
    <n v="-29.82"/>
    <n v="-1.44045445323595E-2"/>
  </r>
  <r>
    <s v="ORD-290-2"/>
    <s v="ORD-290"/>
    <s v="USR-308482"/>
    <s v="ST-P-00137"/>
    <s v="PRD-643"/>
    <x v="349"/>
    <d v="2025-06-15T00:00:00"/>
    <d v="2025-06-18T00:00:00"/>
    <x v="0"/>
    <x v="3"/>
    <x v="1"/>
    <x v="0"/>
    <x v="5"/>
    <s v="Electronics"/>
    <s v="Laptops"/>
    <n v="13"/>
    <n v="3030"/>
    <n v="3211.8"/>
    <n v="0.03"/>
    <x v="428"/>
    <n v="39390"/>
    <n v="1110.798"/>
    <n v="2.74265707060883E-2"/>
  </r>
  <r>
    <s v="ORD-270-4"/>
    <s v="ORD-270"/>
    <s v="USR-648078"/>
    <s v="ST-S-00957"/>
    <s v="PRD-597"/>
    <x v="350"/>
    <d v="2024-08-16T00:00:00"/>
    <d v="2024-08-18T00:00:00"/>
    <x v="0"/>
    <x v="3"/>
    <x v="0"/>
    <x v="4"/>
    <x v="0"/>
    <s v="Furniture"/>
    <s v="Chairs"/>
    <n v="7"/>
    <n v="730"/>
    <n v="824.9"/>
    <n v="0.01"/>
    <x v="429"/>
    <n v="5110"/>
    <n v="606.55700000000002"/>
    <n v="0.106105300795566"/>
  </r>
  <r>
    <s v="ORD-243-4"/>
    <s v="ORD-243"/>
    <s v="USR-758063"/>
    <s v="ST-P-00859"/>
    <s v="PRD-597"/>
    <x v="351"/>
    <d v="2024-07-28T00:00:00"/>
    <d v="2024-08-01T00:00:00"/>
    <x v="0"/>
    <x v="1"/>
    <x v="1"/>
    <x v="3"/>
    <x v="0"/>
    <s v="Furniture"/>
    <s v="Chairs"/>
    <n v="5"/>
    <n v="730"/>
    <n v="824.9"/>
    <n v="0.04"/>
    <x v="401"/>
    <n v="3650"/>
    <n v="309.52"/>
    <n v="7.8171091445427707E-2"/>
  </r>
  <r>
    <s v="ORD-382-1"/>
    <s v="ORD-382"/>
    <s v="USR-638725"/>
    <s v="ST-O-00391"/>
    <s v="PRD-273"/>
    <x v="352"/>
    <d v="2024-08-12T00:00:00"/>
    <d v="2024-08-16T00:00:00"/>
    <x v="0"/>
    <x v="2"/>
    <x v="2"/>
    <x v="0"/>
    <x v="4"/>
    <s v="Furniture"/>
    <s v="Chairs"/>
    <n v="10"/>
    <n v="1080"/>
    <n v="1112.4000000000001"/>
    <n v="0.05"/>
    <x v="430"/>
    <n v="10800"/>
    <n v="-232.2"/>
    <n v="-2.1972406745017901E-2"/>
  </r>
  <r>
    <s v="ORD-186-3"/>
    <s v="ORD-186"/>
    <s v="USR-883552"/>
    <s v="ST-P-00469"/>
    <s v="PRD-660"/>
    <x v="353"/>
    <d v="2024-11-26T00:00:00"/>
    <d v="2024-11-29T00:00:00"/>
    <x v="0"/>
    <x v="2"/>
    <x v="1"/>
    <x v="0"/>
    <x v="15"/>
    <s v="Accessories"/>
    <s v="Peripherals"/>
    <n v="6"/>
    <n v="350"/>
    <n v="364"/>
    <n v="0.04"/>
    <x v="431"/>
    <n v="2100"/>
    <n v="-3.36"/>
    <n v="-1.6025641025640999E-3"/>
  </r>
  <r>
    <s v="ORD-286-1"/>
    <s v="ORD-286"/>
    <s v="USR-577665"/>
    <s v="ST-S-00819"/>
    <s v="PRD-247"/>
    <x v="143"/>
    <d v="2025-08-25T00:00:00"/>
    <d v="2025-08-28T00:00:00"/>
    <x v="0"/>
    <x v="3"/>
    <x v="0"/>
    <x v="2"/>
    <x v="10"/>
    <s v="Furniture"/>
    <s v="Desks"/>
    <n v="10"/>
    <n v="1530"/>
    <n v="1790.1"/>
    <n v="0.01"/>
    <x v="432"/>
    <n v="15300"/>
    <n v="2421.9899999999998"/>
    <n v="0.13666580333247"/>
  </r>
  <r>
    <s v="ORD-201-2"/>
    <s v="ORD-201"/>
    <s v="USR-170038"/>
    <s v="ST-S-00931"/>
    <s v="PRD-592"/>
    <x v="354"/>
    <d v="2024-12-07T00:00:00"/>
    <d v="2024-12-11T00:00:00"/>
    <x v="0"/>
    <x v="1"/>
    <x v="0"/>
    <x v="3"/>
    <x v="12"/>
    <s v="Accessories"/>
    <s v="Connectivity"/>
    <n v="7"/>
    <n v="580"/>
    <n v="667"/>
    <n v="0.1"/>
    <x v="433"/>
    <n v="4060"/>
    <n v="142.1"/>
    <n v="3.3816425120772903E-2"/>
  </r>
  <r>
    <s v="ORD-385-3"/>
    <s v="ORD-385"/>
    <s v="USR-522562"/>
    <s v="ST-O-00912"/>
    <s v="PRD-517"/>
    <x v="355"/>
    <d v="2025-09-22T00:00:00"/>
    <d v="2025-09-25T00:00:00"/>
    <x v="0"/>
    <x v="4"/>
    <x v="2"/>
    <x v="0"/>
    <x v="3"/>
    <s v="Electronics"/>
    <s v="Monitors"/>
    <n v="10"/>
    <n v="1030"/>
    <n v="1174.2"/>
    <n v="0.06"/>
    <x v="434"/>
    <n v="10300"/>
    <n v="737.48"/>
    <n v="6.6815976110489006E-2"/>
  </r>
  <r>
    <s v="ORD-186-4"/>
    <s v="ORD-186"/>
    <s v="USR-719084"/>
    <s v="ST-P-00650"/>
    <s v="PRD-811"/>
    <x v="93"/>
    <d v="2024-01-07T00:00:00"/>
    <d v="2024-01-11T00:00:00"/>
    <x v="0"/>
    <x v="2"/>
    <x v="1"/>
    <x v="4"/>
    <x v="9"/>
    <s v="Electronics"/>
    <s v="Cameras"/>
    <n v="5"/>
    <n v="430"/>
    <n v="455.8"/>
    <n v="7.0000000000000007E-2"/>
    <x v="435"/>
    <n v="2150"/>
    <n v="-30.53"/>
    <n v="-1.44045445323595E-2"/>
  </r>
  <r>
    <s v="ORD-330-3"/>
    <s v="ORD-330"/>
    <s v="USR-878518"/>
    <s v="ST-S-00444"/>
    <s v="PRD-660"/>
    <x v="356"/>
    <d v="2024-07-26T00:00:00"/>
    <d v="2024-07-29T00:00:00"/>
    <x v="1"/>
    <x v="3"/>
    <x v="0"/>
    <x v="0"/>
    <x v="15"/>
    <s v="Accessories"/>
    <s v="Peripherals"/>
    <n v="4"/>
    <n v="350"/>
    <n v="364"/>
    <n v="0.04"/>
    <x v="436"/>
    <n v="1400"/>
    <n v="-2.2400000000000002"/>
    <n v="-1.6025641025640999E-3"/>
  </r>
  <r>
    <s v="ORD-340-1"/>
    <s v="ORD-340"/>
    <s v="USR-656064"/>
    <s v="ST-S-00822"/>
    <s v="PRD-517"/>
    <x v="297"/>
    <d v="2025-05-17T00:00:00"/>
    <d v="2025-05-19T00:00:00"/>
    <x v="0"/>
    <x v="4"/>
    <x v="0"/>
    <x v="0"/>
    <x v="3"/>
    <s v="Electronics"/>
    <s v="Monitors"/>
    <n v="7"/>
    <n v="1030"/>
    <n v="1174.2"/>
    <n v="0.03"/>
    <x v="261"/>
    <n v="7210"/>
    <n v="762.81799999999998"/>
    <n v="9.5677337674082097E-2"/>
  </r>
  <r>
    <s v="ORD-315-3"/>
    <s v="ORD-315"/>
    <s v="USR-425132"/>
    <s v="ST-P-00605"/>
    <s v="PRD-873"/>
    <x v="357"/>
    <d v="2025-01-21T00:00:00"/>
    <d v="2025-01-25T00:00:00"/>
    <x v="0"/>
    <x v="4"/>
    <x v="1"/>
    <x v="0"/>
    <x v="18"/>
    <s v="Electronics"/>
    <s v="Networking"/>
    <n v="9"/>
    <n v="480"/>
    <n v="513.6"/>
    <n v="0.03"/>
    <x v="437"/>
    <n v="4320"/>
    <n v="163.72800000000001"/>
    <n v="3.6516042007900602E-2"/>
  </r>
  <r>
    <s v="ORD-282-1"/>
    <s v="ORD-282"/>
    <s v="USR-550049"/>
    <s v="ST-S-00594"/>
    <s v="PRD-117"/>
    <x v="358"/>
    <d v="2025-09-14T00:00:00"/>
    <d v="2025-09-18T00:00:00"/>
    <x v="1"/>
    <x v="3"/>
    <x v="0"/>
    <x v="1"/>
    <x v="2"/>
    <s v="Electronics"/>
    <s v="Printers"/>
    <n v="4"/>
    <n v="1230"/>
    <n v="1328.4"/>
    <n v="0.1"/>
    <x v="57"/>
    <n v="4920"/>
    <n v="-137.76"/>
    <n v="-2.8806584362139901E-2"/>
  </r>
  <r>
    <s v="ORD-367-4"/>
    <s v="ORD-367"/>
    <s v="USR-819180"/>
    <s v="ST-P-00777"/>
    <s v="PRD-148"/>
    <x v="301"/>
    <d v="2026-05-15T00:00:00"/>
    <d v="2026-05-19T00:00:00"/>
    <x v="0"/>
    <x v="4"/>
    <x v="1"/>
    <x v="3"/>
    <x v="14"/>
    <s v="Accessories"/>
    <s v="Connectivity"/>
    <n v="5"/>
    <n v="170"/>
    <n v="188.7"/>
    <n v="0.03"/>
    <x v="83"/>
    <n v="850"/>
    <n v="65.194999999999993"/>
    <n v="7.1236184638246505E-2"/>
  </r>
  <r>
    <s v="ORD-156-4"/>
    <s v="ORD-156"/>
    <s v="USR-659570"/>
    <s v="ST-S-00967"/>
    <s v="PRD-112"/>
    <x v="248"/>
    <d v="2024-10-24T00:00:00"/>
    <d v="2024-10-26T00:00:00"/>
    <x v="0"/>
    <x v="4"/>
    <x v="0"/>
    <x v="4"/>
    <x v="17"/>
    <s v="Electronics"/>
    <s v="Laptops"/>
    <n v="8"/>
    <n v="3930"/>
    <n v="4362.3"/>
    <n v="0.1"/>
    <x v="33"/>
    <n v="31440"/>
    <n v="-31.44"/>
    <n v="-1.0010010010009999E-3"/>
  </r>
  <r>
    <s v="ORD-328-3"/>
    <s v="ORD-328"/>
    <s v="USR-362818"/>
    <s v="ST-O-00417"/>
    <s v="PRD-660"/>
    <x v="359"/>
    <d v="2026-03-22T00:00:00"/>
    <d v="2026-03-25T00:00:00"/>
    <x v="1"/>
    <x v="2"/>
    <x v="2"/>
    <x v="3"/>
    <x v="15"/>
    <s v="Accessories"/>
    <s v="Peripherals"/>
    <n v="4"/>
    <n v="350"/>
    <n v="364"/>
    <n v="0.01"/>
    <x v="358"/>
    <n v="1400"/>
    <n v="41.44"/>
    <n v="2.87490287490287E-2"/>
  </r>
  <r>
    <s v="ORD-283-3"/>
    <s v="ORD-283"/>
    <s v="USR-626221"/>
    <s v="ST-S-00505"/>
    <s v="PRD-592"/>
    <x v="329"/>
    <d v="2025-03-08T00:00:00"/>
    <d v="2025-03-13T00:00:00"/>
    <x v="1"/>
    <x v="2"/>
    <x v="0"/>
    <x v="4"/>
    <x v="12"/>
    <s v="Accessories"/>
    <s v="Connectivity"/>
    <n v="2"/>
    <n v="580"/>
    <n v="667"/>
    <n v="0"/>
    <x v="438"/>
    <n v="1160"/>
    <n v="174"/>
    <n v="0.13043478260869601"/>
  </r>
  <r>
    <s v="ORD-152-3"/>
    <s v="ORD-152"/>
    <s v="USR-519314"/>
    <s v="ST-S-00964"/>
    <s v="PRD-900"/>
    <x v="360"/>
    <d v="2024-03-08T00:00:00"/>
    <d v="2024-03-10T00:00:00"/>
    <x v="1"/>
    <x v="3"/>
    <x v="0"/>
    <x v="0"/>
    <x v="16"/>
    <s v="Furniture"/>
    <s v="Desks"/>
    <n v="3"/>
    <n v="930"/>
    <n v="1078.8"/>
    <n v="0.06"/>
    <x v="439"/>
    <n v="2790"/>
    <n v="252.21600000000001"/>
    <n v="8.2905355832722002E-2"/>
  </r>
  <r>
    <s v="ORD-291-6"/>
    <s v="ORD-291"/>
    <s v="USR-491707"/>
    <s v="ST-O-00341"/>
    <s v="PRD-247"/>
    <x v="119"/>
    <d v="2025-04-13T00:00:00"/>
    <d v="2025-04-16T00:00:00"/>
    <x v="1"/>
    <x v="1"/>
    <x v="2"/>
    <x v="0"/>
    <x v="10"/>
    <s v="Furniture"/>
    <s v="Desks"/>
    <n v="1"/>
    <n v="1530"/>
    <n v="1790.1"/>
    <n v="0.06"/>
    <x v="440"/>
    <n v="1530"/>
    <n v="152.69399999999999"/>
    <n v="9.0743771594835404E-2"/>
  </r>
  <r>
    <s v="ORD-310-1"/>
    <s v="ORD-310"/>
    <s v="USR-228326"/>
    <s v="ST-O-00570"/>
    <s v="PRD-361"/>
    <x v="349"/>
    <d v="2025-06-14T00:00:00"/>
    <d v="2025-06-16T00:00:00"/>
    <x v="1"/>
    <x v="2"/>
    <x v="2"/>
    <x v="3"/>
    <x v="13"/>
    <s v="Accessories"/>
    <s v="Audio"/>
    <n v="2"/>
    <n v="390"/>
    <n v="468"/>
    <n v="0"/>
    <x v="441"/>
    <n v="780"/>
    <n v="156"/>
    <n v="0.16666666666666699"/>
  </r>
  <r>
    <s v="ORD-181-2"/>
    <s v="ORD-181"/>
    <s v="USR-771974"/>
    <s v="ST-S-00153"/>
    <s v="PRD-148"/>
    <x v="361"/>
    <d v="2024-02-04T00:00:00"/>
    <d v="2024-02-08T00:00:00"/>
    <x v="0"/>
    <x v="4"/>
    <x v="0"/>
    <x v="0"/>
    <x v="14"/>
    <s v="Accessories"/>
    <s v="Connectivity"/>
    <n v="10"/>
    <n v="170"/>
    <n v="188.7"/>
    <n v="0.02"/>
    <x v="442"/>
    <n v="1700"/>
    <n v="149.26"/>
    <n v="8.0713366427652103E-2"/>
  </r>
  <r>
    <s v="ORD-282-2"/>
    <s v="ORD-282"/>
    <s v="USR-967168"/>
    <s v="ST-P-00196"/>
    <s v="PRD-811"/>
    <x v="362"/>
    <d v="2025-07-10T00:00:00"/>
    <d v="2025-07-13T00:00:00"/>
    <x v="0"/>
    <x v="0"/>
    <x v="1"/>
    <x v="2"/>
    <x v="9"/>
    <s v="Electronics"/>
    <s v="Cameras"/>
    <n v="11"/>
    <n v="430"/>
    <n v="455.8"/>
    <n v="7.0000000000000007E-2"/>
    <x v="443"/>
    <n v="4730"/>
    <n v="-67.165999999999997"/>
    <n v="-1.44045445323595E-2"/>
  </r>
  <r>
    <s v="ORD-305-5"/>
    <s v="ORD-305"/>
    <s v="USR-516701"/>
    <s v="ST-O-00297"/>
    <s v="PRD-148"/>
    <x v="363"/>
    <d v="2025-04-06T00:00:00"/>
    <d v="2025-04-10T00:00:00"/>
    <x v="0"/>
    <x v="2"/>
    <x v="2"/>
    <x v="2"/>
    <x v="14"/>
    <s v="Accessories"/>
    <s v="Connectivity"/>
    <n v="5"/>
    <n v="170"/>
    <n v="188.7"/>
    <n v="0"/>
    <x v="444"/>
    <n v="850"/>
    <n v="93.5"/>
    <n v="9.90990990990991E-2"/>
  </r>
  <r>
    <s v="ORD-270-5"/>
    <s v="ORD-270"/>
    <s v="USR-765248"/>
    <s v="ST-P-00659"/>
    <s v="PRD-247"/>
    <x v="364"/>
    <d v="2024-05-12T00:00:00"/>
    <d v="2024-05-16T00:00:00"/>
    <x v="0"/>
    <x v="3"/>
    <x v="1"/>
    <x v="4"/>
    <x v="10"/>
    <s v="Furniture"/>
    <s v="Desks"/>
    <n v="9"/>
    <n v="1530"/>
    <n v="1790.1"/>
    <n v="0.06"/>
    <x v="445"/>
    <n v="13770"/>
    <n v="1374.2460000000001"/>
    <n v="9.0743771594835404E-2"/>
  </r>
  <r>
    <s v="ORD-347-2"/>
    <s v="ORD-347"/>
    <s v="USR-715401"/>
    <s v="ST-S-00622"/>
    <s v="PRD-660"/>
    <x v="25"/>
    <d v="2026-05-12T00:00:00"/>
    <d v="2026-05-14T00:00:00"/>
    <x v="0"/>
    <x v="4"/>
    <x v="0"/>
    <x v="1"/>
    <x v="15"/>
    <s v="Accessories"/>
    <s v="Peripherals"/>
    <n v="5"/>
    <n v="350"/>
    <n v="364"/>
    <n v="0"/>
    <x v="446"/>
    <n v="1750"/>
    <n v="70"/>
    <n v="3.8461538461538498E-2"/>
  </r>
  <r>
    <s v="ORD-176-1"/>
    <s v="ORD-176"/>
    <s v="USR-117692"/>
    <s v="ST-P-00743"/>
    <s v="PRD-592"/>
    <x v="365"/>
    <d v="2024-06-25T00:00:00"/>
    <d v="2024-06-26T00:00:00"/>
    <x v="0"/>
    <x v="4"/>
    <x v="1"/>
    <x v="1"/>
    <x v="12"/>
    <s v="Accessories"/>
    <s v="Connectivity"/>
    <n v="15"/>
    <n v="580"/>
    <n v="667"/>
    <n v="0"/>
    <x v="447"/>
    <n v="8700"/>
    <n v="1305"/>
    <n v="0.13043478260869601"/>
  </r>
  <r>
    <s v="ORD-361-3"/>
    <s v="ORD-361"/>
    <s v="USR-406099"/>
    <s v="ST-O-00514"/>
    <s v="PRD-643"/>
    <x v="96"/>
    <d v="2024-03-24T00:00:00"/>
    <d v="2024-03-28T00:00:00"/>
    <x v="0"/>
    <x v="4"/>
    <x v="2"/>
    <x v="3"/>
    <x v="5"/>
    <s v="Electronics"/>
    <s v="Laptops"/>
    <n v="5"/>
    <n v="3030"/>
    <n v="3211.8"/>
    <n v="0.1"/>
    <x v="448"/>
    <n v="15150"/>
    <n v="-696.9"/>
    <n v="-4.8218029350104802E-2"/>
  </r>
  <r>
    <s v="ORD-279-4"/>
    <s v="ORD-279"/>
    <s v="USR-122330"/>
    <s v="ST-O-00646"/>
    <s v="PRD-686"/>
    <x v="166"/>
    <d v="2026-02-02T00:00:00"/>
    <d v="2026-02-04T00:00:00"/>
    <x v="1"/>
    <x v="1"/>
    <x v="2"/>
    <x v="4"/>
    <x v="11"/>
    <s v="Electronics"/>
    <s v="Monitors"/>
    <n v="2"/>
    <n v="1630"/>
    <n v="1744.1"/>
    <n v="0.03"/>
    <x v="449"/>
    <n v="3260"/>
    <n v="123.554"/>
    <n v="3.6516042007900602E-2"/>
  </r>
  <r>
    <s v="ORD-348-3"/>
    <s v="ORD-348"/>
    <s v="USR-724519"/>
    <s v="ST-P-00364"/>
    <s v="PRD-811"/>
    <x v="11"/>
    <d v="2024-07-19T00:00:00"/>
    <d v="2024-07-21T00:00:00"/>
    <x v="0"/>
    <x v="2"/>
    <x v="1"/>
    <x v="1"/>
    <x v="9"/>
    <s v="Electronics"/>
    <s v="Cameras"/>
    <n v="13"/>
    <n v="430"/>
    <n v="455.8"/>
    <n v="0.03"/>
    <x v="450"/>
    <n v="5590"/>
    <n v="157.63800000000001"/>
    <n v="2.74265707060883E-2"/>
  </r>
  <r>
    <s v="ORD-319-2"/>
    <s v="ORD-319"/>
    <s v="USR-761871"/>
    <s v="ST-O-00163"/>
    <s v="PRD-361"/>
    <x v="366"/>
    <d v="2024-04-13T00:00:00"/>
    <d v="2024-04-15T00:00:00"/>
    <x v="0"/>
    <x v="1"/>
    <x v="2"/>
    <x v="3"/>
    <x v="13"/>
    <s v="Accessories"/>
    <s v="Audio"/>
    <n v="10"/>
    <n v="390"/>
    <n v="468"/>
    <n v="0.09"/>
    <x v="147"/>
    <n v="3900"/>
    <n v="358.8"/>
    <n v="8.42490842490842E-2"/>
  </r>
  <r>
    <s v="ORD-233-3"/>
    <s v="ORD-233"/>
    <s v="USR-541785"/>
    <s v="ST-P-00377"/>
    <s v="PRD-361"/>
    <x v="340"/>
    <d v="2026-01-09T00:00:00"/>
    <d v="2026-01-14T00:00:00"/>
    <x v="0"/>
    <x v="1"/>
    <x v="1"/>
    <x v="3"/>
    <x v="13"/>
    <s v="Accessories"/>
    <s v="Audio"/>
    <n v="12"/>
    <n v="390"/>
    <n v="468"/>
    <n v="7.0000000000000007E-2"/>
    <x v="451"/>
    <n v="4680"/>
    <n v="542.88"/>
    <n v="0.103942652329749"/>
  </r>
  <r>
    <s v="ORD-222-2"/>
    <s v="ORD-222"/>
    <s v="USR-139405"/>
    <s v="ST-P-00998"/>
    <s v="PRD-686"/>
    <x v="60"/>
    <d v="2025-10-24T00:00:00"/>
    <d v="2025-10-25T00:00:00"/>
    <x v="0"/>
    <x v="4"/>
    <x v="1"/>
    <x v="0"/>
    <x v="11"/>
    <s v="Electronics"/>
    <s v="Monitors"/>
    <n v="14"/>
    <n v="1630"/>
    <n v="1744.1"/>
    <n v="0.04"/>
    <x v="452"/>
    <n v="22820"/>
    <n v="620.70399999999995"/>
    <n v="2.6479750778816199E-2"/>
  </r>
  <r>
    <s v="ORD-205-5"/>
    <s v="ORD-205"/>
    <s v="USR-987334"/>
    <s v="ST-P-00460"/>
    <s v="PRD-686"/>
    <x v="150"/>
    <d v="2025-12-24T00:00:00"/>
    <d v="2025-12-29T00:00:00"/>
    <x v="0"/>
    <x v="1"/>
    <x v="1"/>
    <x v="1"/>
    <x v="11"/>
    <s v="Electronics"/>
    <s v="Monitors"/>
    <n v="6"/>
    <n v="1630"/>
    <n v="1744.1"/>
    <n v="0.01"/>
    <x v="453"/>
    <n v="9780"/>
    <n v="579.95399999999995"/>
    <n v="5.5980364391579301E-2"/>
  </r>
  <r>
    <s v="ORD-334-3"/>
    <s v="ORD-334"/>
    <s v="USR-707312"/>
    <s v="ST-S-00551"/>
    <s v="PRD-284"/>
    <x v="46"/>
    <d v="2025-04-21T00:00:00"/>
    <d v="2025-04-23T00:00:00"/>
    <x v="1"/>
    <x v="2"/>
    <x v="0"/>
    <x v="1"/>
    <x v="7"/>
    <s v="Electronics"/>
    <s v="Storage"/>
    <n v="1"/>
    <n v="650"/>
    <n v="663"/>
    <n v="0.09"/>
    <x v="454"/>
    <n v="650"/>
    <n v="-46.67"/>
    <n v="-7.7354018530489094E-2"/>
  </r>
  <r>
    <s v="ORD-283-4"/>
    <s v="ORD-283"/>
    <s v="USR-708970"/>
    <s v="ST-O-00324"/>
    <s v="PRD-148"/>
    <x v="219"/>
    <d v="2025-01-19T00:00:00"/>
    <d v="2025-01-23T00:00:00"/>
    <x v="1"/>
    <x v="4"/>
    <x v="2"/>
    <x v="2"/>
    <x v="14"/>
    <s v="Accessories"/>
    <s v="Connectivity"/>
    <n v="2"/>
    <n v="170"/>
    <n v="188.7"/>
    <n v="0.1"/>
    <x v="455"/>
    <n v="340"/>
    <n v="-0.34"/>
    <n v="-1.0010010010009999E-3"/>
  </r>
  <r>
    <s v="ORD-236-1"/>
    <s v="ORD-236"/>
    <s v="USR-396661"/>
    <s v="ST-P-00523"/>
    <s v="PRD-686"/>
    <x v="249"/>
    <d v="2024-04-16T00:00:00"/>
    <d v="2024-04-19T00:00:00"/>
    <x v="0"/>
    <x v="0"/>
    <x v="1"/>
    <x v="2"/>
    <x v="11"/>
    <s v="Electronics"/>
    <s v="Monitors"/>
    <n v="9"/>
    <n v="1630"/>
    <n v="1744.1"/>
    <n v="0"/>
    <x v="456"/>
    <n v="14670"/>
    <n v="1026.9000000000001"/>
    <n v="6.54205607476636E-2"/>
  </r>
  <r>
    <s v="ORD-169-2"/>
    <s v="ORD-169"/>
    <s v="USR-927639"/>
    <s v="ST-S-00391"/>
    <s v="PRD-519"/>
    <x v="276"/>
    <d v="2024-10-07T00:00:00"/>
    <d v="2024-10-10T00:00:00"/>
    <x v="0"/>
    <x v="1"/>
    <x v="0"/>
    <x v="1"/>
    <x v="1"/>
    <s v="Accessories"/>
    <s v="Peripherals"/>
    <n v="7"/>
    <n v="210"/>
    <n v="222.6"/>
    <n v="7.0000000000000007E-2"/>
    <x v="457"/>
    <n v="1470"/>
    <n v="-20.873999999999999"/>
    <n v="-1.44045445323595E-2"/>
  </r>
  <r>
    <s v="ORD-193-4"/>
    <s v="ORD-193"/>
    <s v="USR-375128"/>
    <s v="ST-O-00842"/>
    <s v="PRD-273"/>
    <x v="367"/>
    <d v="2026-06-16T00:00:00"/>
    <d v="2026-06-21T00:00:00"/>
    <x v="1"/>
    <x v="2"/>
    <x v="2"/>
    <x v="4"/>
    <x v="4"/>
    <s v="Furniture"/>
    <s v="Chairs"/>
    <n v="1"/>
    <n v="1080"/>
    <n v="1112.4000000000001"/>
    <n v="0.08"/>
    <x v="458"/>
    <n v="1080"/>
    <n v="-56.591999999999999"/>
    <n v="-5.5297593921485901E-2"/>
  </r>
  <r>
    <s v="ORD-275-4"/>
    <s v="ORD-275"/>
    <s v="USR-896691"/>
    <s v="ST-O-00279"/>
    <s v="PRD-361"/>
    <x v="368"/>
    <d v="2024-09-25T00:00:00"/>
    <d v="2024-09-27T00:00:00"/>
    <x v="0"/>
    <x v="0"/>
    <x v="2"/>
    <x v="1"/>
    <x v="13"/>
    <s v="Accessories"/>
    <s v="Audio"/>
    <n v="9"/>
    <n v="390"/>
    <n v="468"/>
    <n v="0.04"/>
    <x v="459"/>
    <n v="3510"/>
    <n v="533.52"/>
    <n v="0.131944444444444"/>
  </r>
  <r>
    <s v="ORD-181-3"/>
    <s v="ORD-181"/>
    <s v="USR-242870"/>
    <s v="ST-P-00608"/>
    <s v="PRD-900"/>
    <x v="369"/>
    <d v="2025-10-15T00:00:00"/>
    <d v="2025-10-18T00:00:00"/>
    <x v="0"/>
    <x v="4"/>
    <x v="1"/>
    <x v="0"/>
    <x v="16"/>
    <s v="Furniture"/>
    <s v="Desks"/>
    <n v="11"/>
    <n v="930"/>
    <n v="1078.8"/>
    <n v="0.09"/>
    <x v="460"/>
    <n v="10230"/>
    <n v="568.78800000000001"/>
    <n v="5.2671466464569897E-2"/>
  </r>
  <r>
    <s v="ORD-213-4"/>
    <s v="ORD-213"/>
    <s v="USR-549011"/>
    <s v="ST-S-00848"/>
    <s v="PRD-361"/>
    <x v="348"/>
    <d v="2026-04-04T00:00:00"/>
    <d v="2026-04-09T00:00:00"/>
    <x v="0"/>
    <x v="0"/>
    <x v="0"/>
    <x v="2"/>
    <x v="13"/>
    <s v="Accessories"/>
    <s v="Audio"/>
    <n v="10"/>
    <n v="390"/>
    <n v="468"/>
    <n v="0.03"/>
    <x v="461"/>
    <n v="3900"/>
    <n v="639.6"/>
    <n v="0.14089347079037801"/>
  </r>
  <r>
    <s v="ORD-196-3"/>
    <s v="ORD-196"/>
    <s v="USR-584572"/>
    <s v="ST-O-00315"/>
    <s v="PRD-811"/>
    <x v="370"/>
    <d v="2026-03-14T00:00:00"/>
    <d v="2026-03-18T00:00:00"/>
    <x v="0"/>
    <x v="1"/>
    <x v="2"/>
    <x v="3"/>
    <x v="9"/>
    <s v="Electronics"/>
    <s v="Cameras"/>
    <n v="7"/>
    <n v="430"/>
    <n v="455.8"/>
    <n v="0.03"/>
    <x v="462"/>
    <n v="3010"/>
    <n v="84.882000000000005"/>
    <n v="2.74265707060883E-2"/>
  </r>
  <r>
    <s v="ORD-355-2"/>
    <s v="ORD-355"/>
    <s v="USR-520861"/>
    <s v="ST-S-00336"/>
    <s v="PRD-686"/>
    <x v="371"/>
    <d v="2025-08-25T00:00:00"/>
    <d v="2025-08-27T00:00:00"/>
    <x v="0"/>
    <x v="1"/>
    <x v="0"/>
    <x v="2"/>
    <x v="11"/>
    <s v="Electronics"/>
    <s v="Monitors"/>
    <n v="6"/>
    <n v="1630"/>
    <n v="1744.1"/>
    <n v="0.06"/>
    <x v="384"/>
    <n v="9780"/>
    <n v="56.723999999999997"/>
    <n v="5.7665539868761197E-3"/>
  </r>
  <r>
    <s v="ORD-333-3"/>
    <s v="ORD-333"/>
    <s v="USR-603702"/>
    <s v="ST-S-00766"/>
    <s v="PRD-247"/>
    <x v="149"/>
    <d v="2025-12-31T00:00:00"/>
    <d v="2026-01-03T00:00:00"/>
    <x v="1"/>
    <x v="3"/>
    <x v="0"/>
    <x v="4"/>
    <x v="10"/>
    <s v="Furniture"/>
    <s v="Desks"/>
    <n v="2"/>
    <n v="1530"/>
    <n v="1790.1"/>
    <n v="0.04"/>
    <x v="463"/>
    <n v="3060"/>
    <n v="376.99200000000002"/>
    <n v="0.10968660968661"/>
  </r>
  <r>
    <s v="ORD-175-1"/>
    <s v="ORD-175"/>
    <s v="USR-725832"/>
    <s v="ST-S-00202"/>
    <s v="PRD-284"/>
    <x v="372"/>
    <d v="2024-12-30T00:00:00"/>
    <d v="2025-01-01T00:00:00"/>
    <x v="0"/>
    <x v="4"/>
    <x v="0"/>
    <x v="1"/>
    <x v="7"/>
    <s v="Electronics"/>
    <s v="Storage"/>
    <n v="9"/>
    <n v="650"/>
    <n v="663"/>
    <n v="7.0000000000000007E-2"/>
    <x v="120"/>
    <n v="5850"/>
    <n v="-300.69"/>
    <n v="-5.4185114906177501E-2"/>
  </r>
  <r>
    <s v="ORD-390-2"/>
    <s v="ORD-390"/>
    <s v="USR-186235"/>
    <s v="ST-S-00127"/>
    <s v="PRD-686"/>
    <x v="373"/>
    <d v="2026-04-07T00:00:00"/>
    <d v="2026-04-09T00:00:00"/>
    <x v="0"/>
    <x v="4"/>
    <x v="0"/>
    <x v="2"/>
    <x v="11"/>
    <s v="Electronics"/>
    <s v="Monitors"/>
    <n v="6"/>
    <n v="1630"/>
    <n v="1744.1"/>
    <n v="0.05"/>
    <x v="464"/>
    <n v="9780"/>
    <n v="161.37"/>
    <n v="1.6232169208066902E-2"/>
  </r>
  <r>
    <s v="ORD-166-3"/>
    <s v="ORD-166"/>
    <s v="USR-302218"/>
    <s v="ST-P-00835"/>
    <s v="PRD-117"/>
    <x v="319"/>
    <d v="2024-08-09T00:00:00"/>
    <d v="2024-08-12T00:00:00"/>
    <x v="0"/>
    <x v="2"/>
    <x v="1"/>
    <x v="4"/>
    <x v="2"/>
    <s v="Electronics"/>
    <s v="Printers"/>
    <n v="6"/>
    <n v="1230"/>
    <n v="1328.4"/>
    <n v="0.04"/>
    <x v="465"/>
    <n v="7380"/>
    <n v="271.584"/>
    <n v="3.5493827160493797E-2"/>
  </r>
  <r>
    <s v="ORD-307-1"/>
    <s v="ORD-307"/>
    <s v="USR-250750"/>
    <s v="ST-S-00720"/>
    <s v="PRD-519"/>
    <x v="240"/>
    <d v="2024-03-16T00:00:00"/>
    <d v="2024-03-17T00:00:00"/>
    <x v="0"/>
    <x v="4"/>
    <x v="0"/>
    <x v="1"/>
    <x v="1"/>
    <s v="Accessories"/>
    <s v="Peripherals"/>
    <n v="6"/>
    <n v="210"/>
    <n v="222.6"/>
    <n v="7.0000000000000007E-2"/>
    <x v="382"/>
    <n v="1260"/>
    <n v="-17.891999999999999"/>
    <n v="-1.44045445323595E-2"/>
  </r>
  <r>
    <s v="ORD-158-1"/>
    <s v="ORD-158"/>
    <s v="USR-695412"/>
    <s v="ST-P-00338"/>
    <s v="PRD-778"/>
    <x v="223"/>
    <d v="2025-11-17T00:00:00"/>
    <d v="2025-11-21T00:00:00"/>
    <x v="0"/>
    <x v="3"/>
    <x v="1"/>
    <x v="2"/>
    <x v="19"/>
    <s v="Electronics"/>
    <s v="Laptops"/>
    <n v="15"/>
    <n v="3330"/>
    <n v="3629.7"/>
    <n v="0.01"/>
    <x v="466"/>
    <n v="49950"/>
    <n v="3951.0450000000001"/>
    <n v="7.3301825595403602E-2"/>
  </r>
  <r>
    <s v="ORD-286-2"/>
    <s v="ORD-286"/>
    <s v="USR-498196"/>
    <s v="ST-S-00437"/>
    <s v="PRD-181"/>
    <x v="366"/>
    <d v="2024-04-13T00:00:00"/>
    <d v="2024-04-15T00:00:00"/>
    <x v="0"/>
    <x v="2"/>
    <x v="0"/>
    <x v="4"/>
    <x v="6"/>
    <s v="Accessories"/>
    <s v="Audio"/>
    <n v="10"/>
    <n v="250"/>
    <n v="270"/>
    <n v="0.01"/>
    <x v="467"/>
    <n v="2500"/>
    <n v="173"/>
    <n v="6.4721286943509204E-2"/>
  </r>
  <r>
    <s v="ORD-261-3"/>
    <s v="ORD-261"/>
    <s v="USR-617408"/>
    <s v="ST-S-00979"/>
    <s v="PRD-361"/>
    <x v="374"/>
    <d v="2024-07-04T00:00:00"/>
    <d v="2024-07-08T00:00:00"/>
    <x v="0"/>
    <x v="4"/>
    <x v="0"/>
    <x v="0"/>
    <x v="13"/>
    <s v="Accessories"/>
    <s v="Audio"/>
    <n v="6"/>
    <n v="390"/>
    <n v="468"/>
    <n v="0.05"/>
    <x v="468"/>
    <n v="2340"/>
    <n v="327.60000000000002"/>
    <n v="0.12280701754386"/>
  </r>
  <r>
    <s v="ORD-256-5"/>
    <s v="ORD-256"/>
    <s v="USR-918481"/>
    <s v="ST-P-00866"/>
    <s v="PRD-517"/>
    <x v="375"/>
    <d v="2024-06-15T00:00:00"/>
    <d v="2024-06-19T00:00:00"/>
    <x v="0"/>
    <x v="0"/>
    <x v="1"/>
    <x v="3"/>
    <x v="3"/>
    <s v="Electronics"/>
    <s v="Monitors"/>
    <n v="14"/>
    <n v="1030"/>
    <n v="1174.2"/>
    <n v="0.04"/>
    <x v="469"/>
    <n v="14420"/>
    <n v="1361.248"/>
    <n v="8.6257309941520505E-2"/>
  </r>
  <r>
    <s v="ORD-265-2"/>
    <s v="ORD-265"/>
    <s v="USR-450237"/>
    <s v="ST-O-00312"/>
    <s v="PRD-686"/>
    <x v="376"/>
    <d v="2024-04-26T00:00:00"/>
    <d v="2024-04-27T00:00:00"/>
    <x v="0"/>
    <x v="2"/>
    <x v="2"/>
    <x v="0"/>
    <x v="11"/>
    <s v="Electronics"/>
    <s v="Monitors"/>
    <n v="7"/>
    <n v="1630"/>
    <n v="1744.1"/>
    <n v="0.03"/>
    <x v="365"/>
    <n v="11410"/>
    <n v="432.43900000000002"/>
    <n v="3.6516042007900602E-2"/>
  </r>
  <r>
    <s v="ORD-307-2"/>
    <s v="ORD-307"/>
    <s v="USR-587391"/>
    <s v="ST-O-00622"/>
    <s v="PRD-709"/>
    <x v="377"/>
    <d v="2025-06-10T00:00:00"/>
    <d v="2025-06-11T00:00:00"/>
    <x v="1"/>
    <x v="2"/>
    <x v="2"/>
    <x v="4"/>
    <x v="8"/>
    <s v="Furniture"/>
    <s v="Lighting"/>
    <n v="1"/>
    <n v="280"/>
    <n v="336"/>
    <n v="0.05"/>
    <x v="470"/>
    <n v="280"/>
    <n v="39.200000000000003"/>
    <n v="0.12280701754386"/>
  </r>
  <r>
    <s v="ORD-164-5"/>
    <s v="ORD-164"/>
    <s v="USR-710960"/>
    <s v="ST-P-00395"/>
    <s v="PRD-811"/>
    <x v="350"/>
    <d v="2024-08-16T00:00:00"/>
    <d v="2024-08-20T00:00:00"/>
    <x v="0"/>
    <x v="2"/>
    <x v="1"/>
    <x v="0"/>
    <x v="9"/>
    <s v="Electronics"/>
    <s v="Cameras"/>
    <n v="10"/>
    <n v="430"/>
    <n v="455.8"/>
    <n v="0.05"/>
    <x v="471"/>
    <n v="4300"/>
    <n v="30.1"/>
    <n v="6.9513406156901702E-3"/>
  </r>
  <r>
    <s v="ORD-303-2"/>
    <s v="ORD-303"/>
    <s v="USR-525635"/>
    <s v="ST-O-00306"/>
    <s v="PRD-247"/>
    <x v="378"/>
    <d v="2025-06-02T00:00:00"/>
    <d v="2025-06-06T00:00:00"/>
    <x v="1"/>
    <x v="4"/>
    <x v="2"/>
    <x v="1"/>
    <x v="10"/>
    <s v="Furniture"/>
    <s v="Desks"/>
    <n v="2"/>
    <n v="1530"/>
    <n v="1790.1"/>
    <n v="0.06"/>
    <x v="166"/>
    <n v="3060"/>
    <n v="305.38799999999998"/>
    <n v="9.0743771594835404E-2"/>
  </r>
  <r>
    <s v="ORD-197-4"/>
    <s v="ORD-197"/>
    <s v="USR-445480"/>
    <s v="ST-S-00697"/>
    <s v="PRD-597"/>
    <x v="379"/>
    <d v="2024-01-22T00:00:00"/>
    <d v="2024-01-24T00:00:00"/>
    <x v="1"/>
    <x v="0"/>
    <x v="0"/>
    <x v="4"/>
    <x v="0"/>
    <s v="Furniture"/>
    <s v="Chairs"/>
    <n v="3"/>
    <n v="730"/>
    <n v="824.9"/>
    <n v="0.09"/>
    <x v="472"/>
    <n v="2190"/>
    <n v="61.976999999999997"/>
    <n v="2.7521151414956702E-2"/>
  </r>
  <r>
    <s v="ORD-382-2"/>
    <s v="ORD-382"/>
    <s v="USR-444486"/>
    <s v="ST-P-00879"/>
    <s v="PRD-709"/>
    <x v="380"/>
    <d v="2024-03-11T00:00:00"/>
    <d v="2024-03-14T00:00:00"/>
    <x v="0"/>
    <x v="4"/>
    <x v="1"/>
    <x v="1"/>
    <x v="8"/>
    <s v="Furniture"/>
    <s v="Lighting"/>
    <n v="13"/>
    <n v="280"/>
    <n v="336"/>
    <n v="7.0000000000000007E-2"/>
    <x v="473"/>
    <n v="3640"/>
    <n v="422.24"/>
    <n v="0.103942652329749"/>
  </r>
  <r>
    <s v="ORD-175-2"/>
    <s v="ORD-175"/>
    <s v="USR-111355"/>
    <s v="ST-O-00291"/>
    <s v="PRD-660"/>
    <x v="381"/>
    <d v="2025-09-12T00:00:00"/>
    <d v="2025-09-15T00:00:00"/>
    <x v="0"/>
    <x v="3"/>
    <x v="2"/>
    <x v="2"/>
    <x v="15"/>
    <s v="Accessories"/>
    <s v="Peripherals"/>
    <n v="5"/>
    <n v="350"/>
    <n v="364"/>
    <n v="0.1"/>
    <x v="474"/>
    <n v="1750"/>
    <n v="-112"/>
    <n v="-6.8376068376068397E-2"/>
  </r>
  <r>
    <s v="ORD-260-3"/>
    <s v="ORD-260"/>
    <s v="USR-671393"/>
    <s v="ST-O-00718"/>
    <s v="PRD-181"/>
    <x v="382"/>
    <d v="2025-10-30T00:00:00"/>
    <d v="2025-11-02T00:00:00"/>
    <x v="0"/>
    <x v="4"/>
    <x v="2"/>
    <x v="3"/>
    <x v="6"/>
    <s v="Accessories"/>
    <s v="Audio"/>
    <n v="6"/>
    <n v="250"/>
    <n v="270"/>
    <n v="0.06"/>
    <x v="475"/>
    <n v="1500"/>
    <n v="22.8"/>
    <n v="1.49724192277384E-2"/>
  </r>
  <r>
    <s v="ORD-189-2"/>
    <s v="ORD-189"/>
    <s v="USR-210015"/>
    <s v="ST-S-00801"/>
    <s v="PRD-519"/>
    <x v="383"/>
    <d v="2024-07-21T00:00:00"/>
    <d v="2024-07-24T00:00:00"/>
    <x v="0"/>
    <x v="1"/>
    <x v="0"/>
    <x v="1"/>
    <x v="1"/>
    <s v="Accessories"/>
    <s v="Peripherals"/>
    <n v="9"/>
    <n v="210"/>
    <n v="222.6"/>
    <n v="0.03"/>
    <x v="476"/>
    <n v="1890"/>
    <n v="53.298000000000002"/>
    <n v="2.74265707060883E-2"/>
  </r>
  <r>
    <s v="ORD-369-2"/>
    <s v="ORD-369"/>
    <s v="USR-402425"/>
    <s v="ST-S-00800"/>
    <s v="PRD-597"/>
    <x v="88"/>
    <d v="2024-05-07T00:00:00"/>
    <d v="2024-05-10T00:00:00"/>
    <x v="0"/>
    <x v="1"/>
    <x v="0"/>
    <x v="2"/>
    <x v="0"/>
    <s v="Furniture"/>
    <s v="Chairs"/>
    <n v="6"/>
    <n v="730"/>
    <n v="824.9"/>
    <n v="0"/>
    <x v="477"/>
    <n v="4380"/>
    <n v="569.4"/>
    <n v="0.11504424778761101"/>
  </r>
  <r>
    <s v="ORD-380-3"/>
    <s v="ORD-380"/>
    <s v="USR-815145"/>
    <s v="ST-S-00372"/>
    <s v="PRD-517"/>
    <x v="384"/>
    <d v="2024-12-27T00:00:00"/>
    <d v="2024-12-31T00:00:00"/>
    <x v="0"/>
    <x v="0"/>
    <x v="0"/>
    <x v="3"/>
    <x v="3"/>
    <s v="Electronics"/>
    <s v="Monitors"/>
    <n v="5"/>
    <n v="1030"/>
    <n v="1174.2"/>
    <n v="0.09"/>
    <x v="478"/>
    <n v="5150"/>
    <n v="192.61"/>
    <n v="3.6051667630615E-2"/>
  </r>
  <r>
    <s v="ORD-273-3"/>
    <s v="ORD-273"/>
    <s v="USR-696634"/>
    <s v="ST-P-00362"/>
    <s v="PRD-284"/>
    <x v="13"/>
    <d v="2025-08-26T00:00:00"/>
    <d v="2025-08-29T00:00:00"/>
    <x v="0"/>
    <x v="4"/>
    <x v="1"/>
    <x v="2"/>
    <x v="7"/>
    <s v="Electronics"/>
    <s v="Storage"/>
    <n v="9"/>
    <n v="650"/>
    <n v="663"/>
    <n v="0.03"/>
    <x v="479"/>
    <n v="5850"/>
    <n v="-62.01"/>
    <n v="-1.07135637760259E-2"/>
  </r>
  <r>
    <s v="ORD-271-1"/>
    <s v="ORD-271"/>
    <s v="USR-333869"/>
    <s v="ST-S-00968"/>
    <s v="PRD-517"/>
    <x v="385"/>
    <d v="2024-02-07T00:00:00"/>
    <d v="2024-02-12T00:00:00"/>
    <x v="1"/>
    <x v="0"/>
    <x v="0"/>
    <x v="4"/>
    <x v="3"/>
    <s v="Electronics"/>
    <s v="Monitors"/>
    <n v="4"/>
    <n v="1030"/>
    <n v="1174.2"/>
    <n v="0.08"/>
    <x v="480"/>
    <n v="4120"/>
    <n v="201.05600000000001"/>
    <n v="4.6529366895499601E-2"/>
  </r>
  <r>
    <s v="ORD-299-3"/>
    <s v="ORD-299"/>
    <s v="USR-878609"/>
    <s v="ST-O-00581"/>
    <s v="PRD-686"/>
    <x v="225"/>
    <d v="2024-07-14T00:00:00"/>
    <d v="2024-07-15T00:00:00"/>
    <x v="0"/>
    <x v="3"/>
    <x v="2"/>
    <x v="3"/>
    <x v="11"/>
    <s v="Electronics"/>
    <s v="Monitors"/>
    <n v="9"/>
    <n v="1630"/>
    <n v="1744.1"/>
    <n v="0"/>
    <x v="456"/>
    <n v="14670"/>
    <n v="1026.9000000000001"/>
    <n v="6.54205607476636E-2"/>
  </r>
  <r>
    <s v="ORD-364-7"/>
    <s v="ORD-364"/>
    <s v="USR-981825"/>
    <s v="ST-O-00984"/>
    <s v="PRD-686"/>
    <x v="386"/>
    <d v="2025-08-22T00:00:00"/>
    <d v="2025-08-24T00:00:00"/>
    <x v="0"/>
    <x v="4"/>
    <x v="2"/>
    <x v="3"/>
    <x v="11"/>
    <s v="Electronics"/>
    <s v="Monitors"/>
    <n v="10"/>
    <n v="1630"/>
    <n v="1744.1"/>
    <n v="0.06"/>
    <x v="481"/>
    <n v="16300"/>
    <n v="94.54"/>
    <n v="5.7665539868761197E-3"/>
  </r>
  <r>
    <s v="ORD-202-4"/>
    <s v="ORD-202"/>
    <s v="USR-372597"/>
    <s v="ST-P-00112"/>
    <s v="PRD-361"/>
    <x v="369"/>
    <d v="2025-10-14T00:00:00"/>
    <d v="2025-10-16T00:00:00"/>
    <x v="0"/>
    <x v="0"/>
    <x v="1"/>
    <x v="1"/>
    <x v="13"/>
    <s v="Accessories"/>
    <s v="Audio"/>
    <n v="15"/>
    <n v="390"/>
    <n v="468"/>
    <n v="0"/>
    <x v="482"/>
    <n v="5850"/>
    <n v="1170"/>
    <n v="0.16666666666666699"/>
  </r>
  <r>
    <s v="ORD-273-4"/>
    <s v="ORD-273"/>
    <s v="USR-519216"/>
    <s v="ST-S-00284"/>
    <s v="PRD-517"/>
    <x v="91"/>
    <d v="2026-04-25T00:00:00"/>
    <d v="2026-04-29T00:00:00"/>
    <x v="1"/>
    <x v="3"/>
    <x v="0"/>
    <x v="2"/>
    <x v="3"/>
    <s v="Electronics"/>
    <s v="Monitors"/>
    <n v="4"/>
    <n v="1030"/>
    <n v="1174.2"/>
    <n v="0.03"/>
    <x v="420"/>
    <n v="4120"/>
    <n v="435.89600000000002"/>
    <n v="9.5677337674082097E-2"/>
  </r>
  <r>
    <s v="ORD-282-3"/>
    <s v="ORD-282"/>
    <s v="USR-685691"/>
    <s v="ST-S-00793"/>
    <s v="PRD-709"/>
    <x v="387"/>
    <d v="2024-02-29T00:00:00"/>
    <d v="2024-03-04T00:00:00"/>
    <x v="1"/>
    <x v="0"/>
    <x v="0"/>
    <x v="1"/>
    <x v="8"/>
    <s v="Furniture"/>
    <s v="Lighting"/>
    <n v="3"/>
    <n v="280"/>
    <n v="336"/>
    <n v="0.08"/>
    <x v="483"/>
    <n v="840"/>
    <n v="87.36"/>
    <n v="9.4202898550724598E-2"/>
  </r>
  <r>
    <s v="ORD-313-2"/>
    <s v="ORD-313"/>
    <s v="USR-318350"/>
    <s v="ST-P-00705"/>
    <s v="PRD-709"/>
    <x v="308"/>
    <d v="2025-06-17T00:00:00"/>
    <d v="2025-06-21T00:00:00"/>
    <x v="0"/>
    <x v="1"/>
    <x v="1"/>
    <x v="3"/>
    <x v="8"/>
    <s v="Furniture"/>
    <s v="Lighting"/>
    <n v="7"/>
    <n v="280"/>
    <n v="336"/>
    <n v="0.08"/>
    <x v="227"/>
    <n v="1960"/>
    <n v="203.84"/>
    <n v="9.4202898550724598E-2"/>
  </r>
  <r>
    <s v="ORD-292-3"/>
    <s v="ORD-292"/>
    <s v="USR-327592"/>
    <s v="ST-P-00627"/>
    <s v="PRD-117"/>
    <x v="103"/>
    <d v="2024-12-30T00:00:00"/>
    <d v="2025-01-02T00:00:00"/>
    <x v="0"/>
    <x v="0"/>
    <x v="1"/>
    <x v="1"/>
    <x v="2"/>
    <s v="Electronics"/>
    <s v="Printers"/>
    <n v="11"/>
    <n v="1230"/>
    <n v="1328.4"/>
    <n v="0.03"/>
    <x v="484"/>
    <n v="13530"/>
    <n v="644.02800000000002"/>
    <n v="4.5437189767086703E-2"/>
  </r>
  <r>
    <s v="ORD-231-5"/>
    <s v="ORD-231"/>
    <s v="USR-367440"/>
    <s v="ST-P-00654"/>
    <s v="PRD-660"/>
    <x v="388"/>
    <d v="2024-12-15T00:00:00"/>
    <d v="2024-12-20T00:00:00"/>
    <x v="0"/>
    <x v="4"/>
    <x v="1"/>
    <x v="2"/>
    <x v="15"/>
    <s v="Accessories"/>
    <s v="Peripherals"/>
    <n v="8"/>
    <n v="350"/>
    <n v="364"/>
    <n v="0.05"/>
    <x v="485"/>
    <n v="2800"/>
    <n v="-33.6"/>
    <n v="-1.21457489878543E-2"/>
  </r>
  <r>
    <s v="ORD-167-2"/>
    <s v="ORD-167"/>
    <s v="USR-395339"/>
    <s v="ST-P-00803"/>
    <s v="PRD-181"/>
    <x v="389"/>
    <d v="2024-08-22T00:00:00"/>
    <d v="2024-08-23T00:00:00"/>
    <x v="0"/>
    <x v="4"/>
    <x v="1"/>
    <x v="2"/>
    <x v="6"/>
    <s v="Accessories"/>
    <s v="Audio"/>
    <n v="9"/>
    <n v="250"/>
    <n v="270"/>
    <n v="0.04"/>
    <x v="199"/>
    <n v="2250"/>
    <n v="82.8"/>
    <n v="3.5493827160493797E-2"/>
  </r>
  <r>
    <s v="ORD-361-4"/>
    <s v="ORD-361"/>
    <s v="USR-568320"/>
    <s v="ST-O-00408"/>
    <s v="PRD-873"/>
    <x v="330"/>
    <d v="2025-09-30T00:00:00"/>
    <d v="2025-10-04T00:00:00"/>
    <x v="0"/>
    <x v="1"/>
    <x v="2"/>
    <x v="1"/>
    <x v="18"/>
    <s v="Electronics"/>
    <s v="Networking"/>
    <n v="9"/>
    <n v="480"/>
    <n v="513.6"/>
    <n v="0"/>
    <x v="486"/>
    <n v="4320"/>
    <n v="302.39999999999998"/>
    <n v="6.54205607476636E-2"/>
  </r>
  <r>
    <s v="ORD-320-3"/>
    <s v="ORD-320"/>
    <s v="USR-616238"/>
    <s v="ST-O-00215"/>
    <s v="PRD-686"/>
    <x v="222"/>
    <d v="2025-01-31T00:00:00"/>
    <d v="2025-02-05T00:00:00"/>
    <x v="0"/>
    <x v="2"/>
    <x v="2"/>
    <x v="2"/>
    <x v="11"/>
    <s v="Electronics"/>
    <s v="Monitors"/>
    <n v="10"/>
    <n v="1630"/>
    <n v="1744.1"/>
    <n v="0.02"/>
    <x v="487"/>
    <n v="16300"/>
    <n v="792.18"/>
    <n v="4.6347510967003597E-2"/>
  </r>
  <r>
    <s v="ORD-389-4"/>
    <s v="ORD-389"/>
    <s v="USR-469831"/>
    <s v="ST-S-00167"/>
    <s v="PRD-597"/>
    <x v="390"/>
    <d v="2024-09-18T00:00:00"/>
    <d v="2024-09-20T00:00:00"/>
    <x v="1"/>
    <x v="0"/>
    <x v="0"/>
    <x v="3"/>
    <x v="0"/>
    <s v="Furniture"/>
    <s v="Chairs"/>
    <n v="2"/>
    <n v="730"/>
    <n v="824.9"/>
    <n v="0.09"/>
    <x v="488"/>
    <n v="1460"/>
    <n v="41.317999999999998"/>
    <n v="2.7521151414956702E-2"/>
  </r>
  <r>
    <s v="ORD-268-5"/>
    <s v="ORD-268"/>
    <s v="USR-940941"/>
    <s v="ST-O-00230"/>
    <s v="PRD-361"/>
    <x v="187"/>
    <d v="2024-04-22T00:00:00"/>
    <d v="2024-04-27T00:00:00"/>
    <x v="1"/>
    <x v="3"/>
    <x v="2"/>
    <x v="4"/>
    <x v="13"/>
    <s v="Accessories"/>
    <s v="Audio"/>
    <n v="3"/>
    <n v="390"/>
    <n v="468"/>
    <n v="0.01"/>
    <x v="489"/>
    <n v="1170"/>
    <n v="219.96"/>
    <n v="0.158249158249158"/>
  </r>
  <r>
    <s v="ORD-316-1"/>
    <s v="ORD-316"/>
    <s v="USR-930869"/>
    <s v="ST-O-00904"/>
    <s v="PRD-519"/>
    <x v="391"/>
    <d v="2025-10-18T00:00:00"/>
    <d v="2025-10-22T00:00:00"/>
    <x v="1"/>
    <x v="0"/>
    <x v="2"/>
    <x v="3"/>
    <x v="1"/>
    <s v="Accessories"/>
    <s v="Peripherals"/>
    <n v="2"/>
    <n v="210"/>
    <n v="222.6"/>
    <n v="0.04"/>
    <x v="490"/>
    <n v="420"/>
    <n v="7.3920000000000003"/>
    <n v="1.7295597484276701E-2"/>
  </r>
  <r>
    <s v="ORD-388-3"/>
    <s v="ORD-388"/>
    <s v="USR-635220"/>
    <s v="ST-P-00764"/>
    <s v="PRD-117"/>
    <x v="392"/>
    <d v="2026-03-15T00:00:00"/>
    <d v="2026-03-17T00:00:00"/>
    <x v="0"/>
    <x v="4"/>
    <x v="1"/>
    <x v="1"/>
    <x v="2"/>
    <s v="Electronics"/>
    <s v="Printers"/>
    <n v="13"/>
    <n v="1230"/>
    <n v="1328.4"/>
    <n v="0.01"/>
    <x v="491"/>
    <n v="15990"/>
    <n v="1106.508"/>
    <n v="6.4721286943509204E-2"/>
  </r>
  <r>
    <s v="ORD-165-3"/>
    <s v="ORD-165"/>
    <s v="USR-480719"/>
    <s v="ST-S-00203"/>
    <s v="PRD-811"/>
    <x v="245"/>
    <d v="2025-04-15T00:00:00"/>
    <d v="2025-04-18T00:00:00"/>
    <x v="0"/>
    <x v="1"/>
    <x v="0"/>
    <x v="4"/>
    <x v="9"/>
    <s v="Electronics"/>
    <s v="Cameras"/>
    <n v="9"/>
    <n v="430"/>
    <n v="455.8"/>
    <n v="0.08"/>
    <x v="492"/>
    <n v="3870"/>
    <n v="-95.975999999999999"/>
    <n v="-2.5430680885972098E-2"/>
  </r>
  <r>
    <s v="ORD-259-5"/>
    <s v="ORD-259"/>
    <s v="USR-297100"/>
    <s v="ST-P-00428"/>
    <s v="PRD-117"/>
    <x v="6"/>
    <d v="2026-04-15T00:00:00"/>
    <d v="2026-04-19T00:00:00"/>
    <x v="0"/>
    <x v="4"/>
    <x v="1"/>
    <x v="3"/>
    <x v="2"/>
    <s v="Electronics"/>
    <s v="Printers"/>
    <n v="8"/>
    <n v="1230"/>
    <n v="1328.4"/>
    <n v="0.04"/>
    <x v="232"/>
    <n v="9840"/>
    <n v="362.11200000000002"/>
    <n v="3.5493827160493797E-2"/>
  </r>
  <r>
    <s v="ORD-272-4"/>
    <s v="ORD-272"/>
    <s v="USR-983350"/>
    <s v="ST-S-00674"/>
    <s v="PRD-660"/>
    <x v="393"/>
    <d v="2026-06-11T00:00:00"/>
    <d v="2026-06-13T00:00:00"/>
    <x v="0"/>
    <x v="2"/>
    <x v="0"/>
    <x v="0"/>
    <x v="15"/>
    <s v="Accessories"/>
    <s v="Peripherals"/>
    <n v="9"/>
    <n v="350"/>
    <n v="364"/>
    <n v="0.01"/>
    <x v="493"/>
    <n v="3150"/>
    <n v="93.24"/>
    <n v="2.87490287490288E-2"/>
  </r>
  <r>
    <s v="ORD-386-3"/>
    <s v="ORD-386"/>
    <s v="USR-603194"/>
    <s v="ST-S-00694"/>
    <s v="PRD-686"/>
    <x v="394"/>
    <d v="2024-01-25T00:00:00"/>
    <d v="2024-01-29T00:00:00"/>
    <x v="0"/>
    <x v="2"/>
    <x v="0"/>
    <x v="1"/>
    <x v="11"/>
    <s v="Electronics"/>
    <s v="Monitors"/>
    <n v="5"/>
    <n v="1630"/>
    <n v="1744.1"/>
    <n v="0.01"/>
    <x v="494"/>
    <n v="8150"/>
    <n v="483.29500000000002"/>
    <n v="5.5980364391579301E-2"/>
  </r>
  <r>
    <s v="ORD-192-3"/>
    <s v="ORD-192"/>
    <s v="USR-490747"/>
    <s v="ST-S-00233"/>
    <s v="PRD-519"/>
    <x v="159"/>
    <d v="2025-01-03T00:00:00"/>
    <d v="2025-01-08T00:00:00"/>
    <x v="1"/>
    <x v="1"/>
    <x v="0"/>
    <x v="0"/>
    <x v="1"/>
    <s v="Accessories"/>
    <s v="Peripherals"/>
    <n v="4"/>
    <n v="210"/>
    <n v="222.6"/>
    <n v="0.01"/>
    <x v="495"/>
    <n v="840"/>
    <n v="41.496000000000002"/>
    <n v="4.7074518772632003E-2"/>
  </r>
  <r>
    <s v="ORD-358-6"/>
    <s v="ORD-358"/>
    <s v="USR-792871"/>
    <s v="ST-P-00862"/>
    <s v="PRD-517"/>
    <x v="54"/>
    <d v="2025-07-15T00:00:00"/>
    <d v="2025-07-19T00:00:00"/>
    <x v="0"/>
    <x v="0"/>
    <x v="1"/>
    <x v="4"/>
    <x v="3"/>
    <s v="Electronics"/>
    <s v="Monitors"/>
    <n v="15"/>
    <n v="1030"/>
    <n v="1174.2"/>
    <n v="0.03"/>
    <x v="496"/>
    <n v="15450"/>
    <n v="1634.61"/>
    <n v="9.5677337674082097E-2"/>
  </r>
  <r>
    <s v="ORD-178-7"/>
    <s v="ORD-178"/>
    <s v="USR-173871"/>
    <s v="ST-O-00287"/>
    <s v="PRD-643"/>
    <x v="395"/>
    <d v="2024-04-27T00:00:00"/>
    <d v="2024-04-30T00:00:00"/>
    <x v="0"/>
    <x v="1"/>
    <x v="2"/>
    <x v="0"/>
    <x v="5"/>
    <s v="Electronics"/>
    <s v="Laptops"/>
    <n v="10"/>
    <n v="3030"/>
    <n v="3211.8"/>
    <n v="0.02"/>
    <x v="497"/>
    <n v="30300"/>
    <n v="1175.6400000000001"/>
    <n v="3.73507893723527E-2"/>
  </r>
  <r>
    <s v="ORD-273-5"/>
    <s v="ORD-273"/>
    <s v="USR-397386"/>
    <s v="ST-O-00147"/>
    <s v="PRD-148"/>
    <x v="396"/>
    <d v="2025-03-14T00:00:00"/>
    <d v="2025-03-16T00:00:00"/>
    <x v="1"/>
    <x v="2"/>
    <x v="2"/>
    <x v="0"/>
    <x v="14"/>
    <s v="Accessories"/>
    <s v="Connectivity"/>
    <n v="4"/>
    <n v="170"/>
    <n v="188.7"/>
    <n v="0.04"/>
    <x v="498"/>
    <n v="680"/>
    <n v="44.607999999999997"/>
    <n v="6.1561561561561597E-2"/>
  </r>
  <r>
    <s v="ORD-320-4"/>
    <s v="ORD-320"/>
    <s v="USR-778258"/>
    <s v="ST-S-00564"/>
    <s v="PRD-686"/>
    <x v="397"/>
    <d v="2025-10-28T00:00:00"/>
    <d v="2025-11-01T00:00:00"/>
    <x v="1"/>
    <x v="4"/>
    <x v="0"/>
    <x v="1"/>
    <x v="11"/>
    <s v="Electronics"/>
    <s v="Monitors"/>
    <n v="4"/>
    <n v="1630"/>
    <n v="1744.1"/>
    <n v="0.06"/>
    <x v="499"/>
    <n v="6520"/>
    <n v="37.816000000000003"/>
    <n v="5.7665539868761197E-3"/>
  </r>
  <r>
    <s v="ORD-207-4"/>
    <s v="ORD-207"/>
    <s v="USR-510609"/>
    <s v="ST-S-00294"/>
    <s v="PRD-273"/>
    <x v="398"/>
    <d v="2025-03-25T00:00:00"/>
    <d v="2025-03-27T00:00:00"/>
    <x v="0"/>
    <x v="2"/>
    <x v="0"/>
    <x v="4"/>
    <x v="4"/>
    <s v="Furniture"/>
    <s v="Chairs"/>
    <n v="5"/>
    <n v="1080"/>
    <n v="1112.4000000000001"/>
    <n v="0.03"/>
    <x v="250"/>
    <n v="5400"/>
    <n v="-4.8600000000000003"/>
    <n v="-9.0081072965669101E-4"/>
  </r>
  <r>
    <s v="ORD-226-2"/>
    <s v="ORD-226"/>
    <s v="USR-947297"/>
    <s v="ST-O-00861"/>
    <s v="PRD-709"/>
    <x v="399"/>
    <d v="2025-10-08T00:00:00"/>
    <d v="2025-10-12T00:00:00"/>
    <x v="1"/>
    <x v="3"/>
    <x v="2"/>
    <x v="2"/>
    <x v="8"/>
    <s v="Furniture"/>
    <s v="Lighting"/>
    <n v="2"/>
    <n v="280"/>
    <n v="336"/>
    <n v="0.03"/>
    <x v="500"/>
    <n v="560"/>
    <n v="91.84"/>
    <n v="0.14089347079037801"/>
  </r>
  <r>
    <s v="ORD-352-4"/>
    <s v="ORD-352"/>
    <s v="USR-657922"/>
    <s v="ST-S-00940"/>
    <s v="PRD-643"/>
    <x v="193"/>
    <d v="2024-09-20T00:00:00"/>
    <d v="2024-09-24T00:00:00"/>
    <x v="0"/>
    <x v="2"/>
    <x v="0"/>
    <x v="4"/>
    <x v="5"/>
    <s v="Electronics"/>
    <s v="Laptops"/>
    <n v="5"/>
    <n v="3030"/>
    <n v="3211.8"/>
    <n v="0"/>
    <x v="501"/>
    <n v="15150"/>
    <n v="909"/>
    <n v="5.6603773584905703E-2"/>
  </r>
  <r>
    <s v="ORD-373-5"/>
    <s v="ORD-373"/>
    <s v="USR-712821"/>
    <s v="ST-O-00366"/>
    <s v="PRD-273"/>
    <x v="400"/>
    <d v="2024-07-25T00:00:00"/>
    <d v="2024-07-27T00:00:00"/>
    <x v="1"/>
    <x v="0"/>
    <x v="2"/>
    <x v="4"/>
    <x v="4"/>
    <s v="Furniture"/>
    <s v="Chairs"/>
    <n v="2"/>
    <n v="1080"/>
    <n v="1112.4000000000001"/>
    <n v="0.05"/>
    <x v="502"/>
    <n v="2160"/>
    <n v="-46.44"/>
    <n v="-2.1972406745017901E-2"/>
  </r>
  <r>
    <s v="ORD-172-2"/>
    <s v="ORD-172"/>
    <s v="USR-657887"/>
    <s v="ST-O-00441"/>
    <s v="PRD-517"/>
    <x v="355"/>
    <d v="2025-09-21T00:00:00"/>
    <d v="2025-09-26T00:00:00"/>
    <x v="1"/>
    <x v="1"/>
    <x v="2"/>
    <x v="3"/>
    <x v="3"/>
    <s v="Electronics"/>
    <s v="Monitors"/>
    <n v="1"/>
    <n v="1030"/>
    <n v="1174.2"/>
    <n v="0.08"/>
    <x v="503"/>
    <n v="1030"/>
    <n v="50.264000000000003"/>
    <n v="4.6529366895499601E-2"/>
  </r>
  <r>
    <s v="ORD-164-6"/>
    <s v="ORD-164"/>
    <s v="USR-620313"/>
    <s v="ST-O-00629"/>
    <s v="PRD-686"/>
    <x v="387"/>
    <d v="2024-03-01T00:00:00"/>
    <d v="2024-03-04T00:00:00"/>
    <x v="1"/>
    <x v="0"/>
    <x v="2"/>
    <x v="1"/>
    <x v="11"/>
    <s v="Electronics"/>
    <s v="Monitors"/>
    <n v="3"/>
    <n v="1630"/>
    <n v="1744.1"/>
    <n v="0.09"/>
    <x v="504"/>
    <n v="4890"/>
    <n v="-128.607"/>
    <n v="-2.7010372804765301E-2"/>
  </r>
  <r>
    <s v="ORD-249-4"/>
    <s v="ORD-249"/>
    <s v="USR-965193"/>
    <s v="ST-S-00991"/>
    <s v="PRD-643"/>
    <x v="401"/>
    <d v="2025-08-15T00:00:00"/>
    <d v="2025-08-18T00:00:00"/>
    <x v="1"/>
    <x v="4"/>
    <x v="0"/>
    <x v="4"/>
    <x v="5"/>
    <s v="Electronics"/>
    <s v="Laptops"/>
    <n v="2"/>
    <n v="3030"/>
    <n v="3211.8"/>
    <n v="0.1"/>
    <x v="146"/>
    <n v="6060"/>
    <n v="-278.76"/>
    <n v="-4.8218029350104802E-2"/>
  </r>
  <r>
    <s v="ORD-277-2"/>
    <s v="ORD-277"/>
    <s v="USR-335058"/>
    <s v="ST-S-00792"/>
    <s v="PRD-284"/>
    <x v="164"/>
    <d v="2024-01-06T00:00:00"/>
    <d v="2024-01-07T00:00:00"/>
    <x v="0"/>
    <x v="4"/>
    <x v="0"/>
    <x v="1"/>
    <x v="7"/>
    <s v="Electronics"/>
    <s v="Storage"/>
    <n v="5"/>
    <n v="650"/>
    <n v="663"/>
    <n v="0.02"/>
    <x v="505"/>
    <n v="3250"/>
    <n v="-1.3"/>
    <n v="-4.0016006402561E-4"/>
  </r>
  <r>
    <s v="ORD-375-8"/>
    <s v="ORD-375"/>
    <s v="USR-430877"/>
    <s v="ST-S-00958"/>
    <s v="PRD-284"/>
    <x v="402"/>
    <d v="2024-11-08T00:00:00"/>
    <d v="2024-11-13T00:00:00"/>
    <x v="0"/>
    <x v="0"/>
    <x v="0"/>
    <x v="0"/>
    <x v="7"/>
    <s v="Electronics"/>
    <s v="Storage"/>
    <n v="5"/>
    <n v="650"/>
    <n v="663"/>
    <n v="0.09"/>
    <x v="84"/>
    <n v="3250"/>
    <n v="-233.35"/>
    <n v="-7.7354018530489094E-2"/>
  </r>
  <r>
    <s v="ORD-253-5"/>
    <s v="ORD-253"/>
    <s v="USR-400559"/>
    <s v="ST-O-00639"/>
    <s v="PRD-117"/>
    <x v="392"/>
    <d v="2026-03-16T00:00:00"/>
    <d v="2026-03-18T00:00:00"/>
    <x v="1"/>
    <x v="2"/>
    <x v="2"/>
    <x v="0"/>
    <x v="2"/>
    <s v="Electronics"/>
    <s v="Printers"/>
    <n v="1"/>
    <n v="1230"/>
    <n v="1328.4"/>
    <n v="0.02"/>
    <x v="506"/>
    <n v="1230"/>
    <n v="71.831999999999994"/>
    <n v="5.5177626606198002E-2"/>
  </r>
  <r>
    <s v="ORD-234-2"/>
    <s v="ORD-234"/>
    <s v="USR-123008"/>
    <s v="ST-P-00609"/>
    <s v="PRD-247"/>
    <x v="269"/>
    <d v="2025-05-15T00:00:00"/>
    <d v="2025-05-19T00:00:00"/>
    <x v="0"/>
    <x v="0"/>
    <x v="1"/>
    <x v="1"/>
    <x v="10"/>
    <s v="Furniture"/>
    <s v="Desks"/>
    <n v="5"/>
    <n v="1530"/>
    <n v="1790.1"/>
    <n v="0.1"/>
    <x v="507"/>
    <n v="7650"/>
    <n v="405.45"/>
    <n v="5.0332383665716997E-2"/>
  </r>
  <r>
    <s v="ORD-358-7"/>
    <s v="ORD-358"/>
    <s v="USR-204151"/>
    <s v="ST-P-00769"/>
    <s v="PRD-117"/>
    <x v="296"/>
    <d v="2024-02-08T00:00:00"/>
    <d v="2024-02-10T00:00:00"/>
    <x v="0"/>
    <x v="4"/>
    <x v="1"/>
    <x v="2"/>
    <x v="2"/>
    <s v="Electronics"/>
    <s v="Printers"/>
    <n v="12"/>
    <n v="1230"/>
    <n v="1328.4"/>
    <n v="0.09"/>
    <x v="508"/>
    <n v="14760"/>
    <n v="-253.87200000000001"/>
    <n v="-1.7501017501017499E-2"/>
  </r>
  <r>
    <s v="ORD-156-5"/>
    <s v="ORD-156"/>
    <s v="USR-839893"/>
    <s v="ST-O-00942"/>
    <s v="PRD-811"/>
    <x v="403"/>
    <d v="2025-01-08T00:00:00"/>
    <d v="2025-01-12T00:00:00"/>
    <x v="0"/>
    <x v="2"/>
    <x v="2"/>
    <x v="4"/>
    <x v="9"/>
    <s v="Electronics"/>
    <s v="Cameras"/>
    <n v="8"/>
    <n v="430"/>
    <n v="455.8"/>
    <n v="0.08"/>
    <x v="509"/>
    <n v="3440"/>
    <n v="-85.311999999999998"/>
    <n v="-2.5430680885972098E-2"/>
  </r>
  <r>
    <s v="ORD-248-4"/>
    <s v="ORD-248"/>
    <s v="USR-631644"/>
    <s v="ST-S-00468"/>
    <s v="PRD-112"/>
    <x v="404"/>
    <d v="2024-06-26T00:00:00"/>
    <d v="2024-06-27T00:00:00"/>
    <x v="0"/>
    <x v="2"/>
    <x v="0"/>
    <x v="3"/>
    <x v="17"/>
    <s v="Electronics"/>
    <s v="Laptops"/>
    <n v="8"/>
    <n v="3930"/>
    <n v="4362.3"/>
    <n v="7.0000000000000007E-2"/>
    <x v="141"/>
    <n v="31440"/>
    <n v="1015.5119999999999"/>
    <n v="3.1289353869999002E-2"/>
  </r>
  <r>
    <s v="ORD-354-1"/>
    <s v="ORD-354"/>
    <s v="USR-447025"/>
    <s v="ST-P-00203"/>
    <s v="PRD-686"/>
    <x v="405"/>
    <d v="2025-01-22T00:00:00"/>
    <d v="2025-01-27T00:00:00"/>
    <x v="0"/>
    <x v="1"/>
    <x v="1"/>
    <x v="4"/>
    <x v="11"/>
    <s v="Electronics"/>
    <s v="Monitors"/>
    <n v="15"/>
    <n v="1630"/>
    <n v="1744.1"/>
    <n v="0.02"/>
    <x v="510"/>
    <n v="24450"/>
    <n v="1188.27"/>
    <n v="4.6347510967003597E-2"/>
  </r>
  <r>
    <s v="ORD-363-3"/>
    <s v="ORD-363"/>
    <s v="USR-761471"/>
    <s v="ST-S-00166"/>
    <s v="PRD-900"/>
    <x v="33"/>
    <d v="2025-09-02T00:00:00"/>
    <d v="2025-09-03T00:00:00"/>
    <x v="1"/>
    <x v="4"/>
    <x v="0"/>
    <x v="4"/>
    <x v="16"/>
    <s v="Furniture"/>
    <s v="Desks"/>
    <n v="2"/>
    <n v="930"/>
    <n v="1078.8"/>
    <n v="0.1"/>
    <x v="511"/>
    <n v="1860"/>
    <n v="81.84"/>
    <n v="4.2145593869731802E-2"/>
  </r>
  <r>
    <s v="ORD-378-3"/>
    <s v="ORD-378"/>
    <s v="USR-523563"/>
    <s v="ST-S-00688"/>
    <s v="PRD-361"/>
    <x v="125"/>
    <d v="2026-02-05T00:00:00"/>
    <d v="2026-02-09T00:00:00"/>
    <x v="0"/>
    <x v="0"/>
    <x v="0"/>
    <x v="0"/>
    <x v="13"/>
    <s v="Accessories"/>
    <s v="Audio"/>
    <n v="9"/>
    <n v="390"/>
    <n v="468"/>
    <n v="0.03"/>
    <x v="512"/>
    <n v="3510"/>
    <n v="575.64"/>
    <n v="0.14089347079037801"/>
  </r>
  <r>
    <s v="ORD-182-2"/>
    <s v="ORD-182"/>
    <s v="USR-703455"/>
    <s v="ST-P-00898"/>
    <s v="PRD-284"/>
    <x v="406"/>
    <d v="2025-08-09T00:00:00"/>
    <d v="2025-08-10T00:00:00"/>
    <x v="0"/>
    <x v="3"/>
    <x v="1"/>
    <x v="2"/>
    <x v="7"/>
    <s v="Electronics"/>
    <s v="Storage"/>
    <n v="12"/>
    <n v="650"/>
    <n v="663"/>
    <n v="0.05"/>
    <x v="513"/>
    <n v="7800"/>
    <n v="-241.8"/>
    <n v="-3.1991744066047503E-2"/>
  </r>
  <r>
    <s v="ORD-184-2"/>
    <s v="ORD-184"/>
    <s v="USR-180966"/>
    <s v="ST-O-00241"/>
    <s v="PRD-900"/>
    <x v="407"/>
    <d v="2025-12-08T00:00:00"/>
    <d v="2025-12-09T00:00:00"/>
    <x v="1"/>
    <x v="0"/>
    <x v="2"/>
    <x v="0"/>
    <x v="16"/>
    <s v="Furniture"/>
    <s v="Desks"/>
    <n v="3"/>
    <n v="930"/>
    <n v="1078.8"/>
    <n v="0"/>
    <x v="514"/>
    <n v="2790"/>
    <n v="446.4"/>
    <n v="0.13793103448275901"/>
  </r>
  <r>
    <s v="ORD-219-6"/>
    <s v="ORD-219"/>
    <s v="USR-752513"/>
    <s v="ST-P-00139"/>
    <s v="PRD-117"/>
    <x v="408"/>
    <d v="2024-02-19T00:00:00"/>
    <d v="2024-02-23T00:00:00"/>
    <x v="0"/>
    <x v="0"/>
    <x v="1"/>
    <x v="2"/>
    <x v="2"/>
    <s v="Electronics"/>
    <s v="Printers"/>
    <n v="14"/>
    <n v="1230"/>
    <n v="1328.4"/>
    <n v="0.04"/>
    <x v="515"/>
    <n v="17220"/>
    <n v="633.69600000000003"/>
    <n v="3.5493827160493797E-2"/>
  </r>
  <r>
    <s v="ORD-185-1"/>
    <s v="ORD-185"/>
    <s v="USR-346448"/>
    <s v="ST-P-00936"/>
    <s v="PRD-181"/>
    <x v="304"/>
    <d v="2025-02-17T00:00:00"/>
    <d v="2025-02-21T00:00:00"/>
    <x v="0"/>
    <x v="3"/>
    <x v="1"/>
    <x v="3"/>
    <x v="6"/>
    <s v="Accessories"/>
    <s v="Audio"/>
    <n v="10"/>
    <n v="250"/>
    <n v="270"/>
    <n v="0.09"/>
    <x v="516"/>
    <n v="2500"/>
    <n v="-43"/>
    <n v="-1.7501017501017499E-2"/>
  </r>
  <r>
    <s v="ORD-350-3"/>
    <s v="ORD-350"/>
    <s v="USR-603945"/>
    <s v="ST-S-00481"/>
    <s v="PRD-900"/>
    <x v="409"/>
    <d v="2025-07-25T00:00:00"/>
    <d v="2025-07-27T00:00:00"/>
    <x v="0"/>
    <x v="2"/>
    <x v="0"/>
    <x v="1"/>
    <x v="16"/>
    <s v="Furniture"/>
    <s v="Desks"/>
    <n v="7"/>
    <n v="930"/>
    <n v="1078.8"/>
    <n v="0.01"/>
    <x v="517"/>
    <n v="6510"/>
    <n v="966.08399999999995"/>
    <n v="0.12922326715430199"/>
  </r>
  <r>
    <s v="ORD-320-5"/>
    <s v="ORD-320"/>
    <s v="USR-429666"/>
    <s v="ST-S-00761"/>
    <s v="PRD-660"/>
    <x v="218"/>
    <d v="2026-01-17T00:00:00"/>
    <d v="2026-01-20T00:00:00"/>
    <x v="0"/>
    <x v="0"/>
    <x v="0"/>
    <x v="2"/>
    <x v="15"/>
    <s v="Accessories"/>
    <s v="Peripherals"/>
    <n v="6"/>
    <n v="350"/>
    <n v="364"/>
    <n v="0.05"/>
    <x v="518"/>
    <n v="2100"/>
    <n v="-25.2"/>
    <n v="-1.2145748987854201E-2"/>
  </r>
  <r>
    <s v="ORD-229-3"/>
    <s v="ORD-229"/>
    <s v="USR-981862"/>
    <s v="ST-S-00205"/>
    <s v="PRD-519"/>
    <x v="278"/>
    <d v="2025-07-28T00:00:00"/>
    <d v="2025-07-31T00:00:00"/>
    <x v="0"/>
    <x v="3"/>
    <x v="0"/>
    <x v="0"/>
    <x v="1"/>
    <s v="Accessories"/>
    <s v="Peripherals"/>
    <n v="7"/>
    <n v="210"/>
    <n v="222.6"/>
    <n v="0.1"/>
    <x v="519"/>
    <n v="1470"/>
    <n v="-67.62"/>
    <n v="-4.8218029350104802E-2"/>
  </r>
  <r>
    <s v="ORD-316-2"/>
    <s v="ORD-316"/>
    <s v="USR-580874"/>
    <s v="ST-P-00717"/>
    <s v="PRD-361"/>
    <x v="410"/>
    <d v="2024-12-09T00:00:00"/>
    <d v="2024-12-12T00:00:00"/>
    <x v="0"/>
    <x v="1"/>
    <x v="1"/>
    <x v="4"/>
    <x v="13"/>
    <s v="Accessories"/>
    <s v="Audio"/>
    <n v="5"/>
    <n v="390"/>
    <n v="468"/>
    <n v="0.1"/>
    <x v="520"/>
    <n v="1950"/>
    <n v="156"/>
    <n v="7.4074074074074098E-2"/>
  </r>
  <r>
    <s v="ORD-308-1"/>
    <s v="ORD-308"/>
    <s v="USR-823392"/>
    <s v="ST-P-00556"/>
    <s v="PRD-273"/>
    <x v="24"/>
    <d v="2026-01-27T00:00:00"/>
    <d v="2026-01-29T00:00:00"/>
    <x v="0"/>
    <x v="1"/>
    <x v="1"/>
    <x v="0"/>
    <x v="4"/>
    <s v="Furniture"/>
    <s v="Chairs"/>
    <n v="8"/>
    <n v="1080"/>
    <n v="1112.4000000000001"/>
    <n v="0.01"/>
    <x v="521"/>
    <n v="8640"/>
    <n v="170.208"/>
    <n v="1.9319407668922199E-2"/>
  </r>
  <r>
    <s v="ORD-270-6"/>
    <s v="ORD-270"/>
    <s v="USR-411372"/>
    <s v="ST-O-00849"/>
    <s v="PRD-873"/>
    <x v="411"/>
    <d v="2024-06-14T00:00:00"/>
    <d v="2024-06-18T00:00:00"/>
    <x v="0"/>
    <x v="3"/>
    <x v="2"/>
    <x v="1"/>
    <x v="18"/>
    <s v="Electronics"/>
    <s v="Networking"/>
    <n v="6"/>
    <n v="480"/>
    <n v="513.6"/>
    <n v="0.04"/>
    <x v="114"/>
    <n v="2880"/>
    <n v="78.335999999999999"/>
    <n v="2.6479750778816199E-2"/>
  </r>
  <r>
    <s v="ORD-349-2"/>
    <s v="ORD-349"/>
    <s v="USR-575810"/>
    <s v="ST-P-00552"/>
    <s v="PRD-597"/>
    <x v="412"/>
    <d v="2025-09-07T00:00:00"/>
    <d v="2025-09-08T00:00:00"/>
    <x v="0"/>
    <x v="1"/>
    <x v="1"/>
    <x v="0"/>
    <x v="0"/>
    <s v="Furniture"/>
    <s v="Chairs"/>
    <n v="9"/>
    <n v="730"/>
    <n v="824.9"/>
    <n v="0.03"/>
    <x v="181"/>
    <n v="6570"/>
    <n v="631.37699999999995"/>
    <n v="8.7674482255268693E-2"/>
  </r>
  <r>
    <s v="ORD-285-1"/>
    <s v="ORD-285"/>
    <s v="USR-229722"/>
    <s v="ST-P-00770"/>
    <s v="PRD-900"/>
    <x v="413"/>
    <d v="2024-10-27T00:00:00"/>
    <d v="2024-11-01T00:00:00"/>
    <x v="0"/>
    <x v="1"/>
    <x v="1"/>
    <x v="4"/>
    <x v="16"/>
    <s v="Furniture"/>
    <s v="Desks"/>
    <n v="13"/>
    <n v="930"/>
    <n v="1078.8"/>
    <n v="0.03"/>
    <x v="522"/>
    <n v="12090"/>
    <n v="1513.6679999999999"/>
    <n v="0.111269107714184"/>
  </r>
  <r>
    <s v="ORD-283-5"/>
    <s v="ORD-283"/>
    <s v="USR-558389"/>
    <s v="ST-P-00363"/>
    <s v="PRD-873"/>
    <x v="414"/>
    <d v="2025-12-19T00:00:00"/>
    <d v="2025-12-22T00:00:00"/>
    <x v="0"/>
    <x v="0"/>
    <x v="1"/>
    <x v="0"/>
    <x v="18"/>
    <s v="Electronics"/>
    <s v="Networking"/>
    <n v="10"/>
    <n v="480"/>
    <n v="513.6"/>
    <n v="0.06"/>
    <x v="523"/>
    <n v="4800"/>
    <n v="27.84"/>
    <n v="5.7665539868761197E-3"/>
  </r>
  <r>
    <s v="ORD-236-2"/>
    <s v="ORD-236"/>
    <s v="USR-881558"/>
    <s v="ST-P-00615"/>
    <s v="PRD-643"/>
    <x v="415"/>
    <d v="2026-04-07T00:00:00"/>
    <d v="2026-04-11T00:00:00"/>
    <x v="0"/>
    <x v="1"/>
    <x v="1"/>
    <x v="2"/>
    <x v="5"/>
    <s v="Electronics"/>
    <s v="Laptops"/>
    <n v="13"/>
    <n v="3030"/>
    <n v="3211.8"/>
    <n v="0.09"/>
    <x v="524"/>
    <n v="39390"/>
    <n v="-1394.4059999999999"/>
    <n v="-3.66991499066971E-2"/>
  </r>
  <r>
    <s v="ORD-267-4"/>
    <s v="ORD-267"/>
    <s v="USR-444895"/>
    <s v="ST-S-00452"/>
    <s v="PRD-709"/>
    <x v="416"/>
    <d v="2025-03-05T00:00:00"/>
    <d v="2025-03-06T00:00:00"/>
    <x v="0"/>
    <x v="2"/>
    <x v="0"/>
    <x v="4"/>
    <x v="8"/>
    <s v="Furniture"/>
    <s v="Lighting"/>
    <n v="5"/>
    <n v="280"/>
    <n v="336"/>
    <n v="0.09"/>
    <x v="525"/>
    <n v="1400"/>
    <n v="128.80000000000001"/>
    <n v="8.42490842490842E-2"/>
  </r>
  <r>
    <s v="ORD-249-5"/>
    <s v="ORD-249"/>
    <s v="USR-914563"/>
    <s v="ST-P-00585"/>
    <s v="PRD-361"/>
    <x v="235"/>
    <d v="2024-12-04T00:00:00"/>
    <d v="2024-12-08T00:00:00"/>
    <x v="0"/>
    <x v="4"/>
    <x v="1"/>
    <x v="4"/>
    <x v="13"/>
    <s v="Accessories"/>
    <s v="Audio"/>
    <n v="9"/>
    <n v="390"/>
    <n v="468"/>
    <n v="0.03"/>
    <x v="512"/>
    <n v="3510"/>
    <n v="575.64"/>
    <n v="0.14089347079037801"/>
  </r>
  <r>
    <s v="ORD-181-4"/>
    <s v="ORD-181"/>
    <s v="USR-798455"/>
    <s v="ST-S-00606"/>
    <s v="PRD-709"/>
    <x v="178"/>
    <d v="2025-02-25T00:00:00"/>
    <d v="2025-03-02T00:00:00"/>
    <x v="1"/>
    <x v="3"/>
    <x v="0"/>
    <x v="0"/>
    <x v="8"/>
    <s v="Furniture"/>
    <s v="Lighting"/>
    <n v="4"/>
    <n v="280"/>
    <n v="336"/>
    <n v="0.04"/>
    <x v="526"/>
    <n v="1120"/>
    <n v="170.24"/>
    <n v="0.131944444444444"/>
  </r>
  <r>
    <s v="ORD-349-3"/>
    <s v="ORD-349"/>
    <s v="USR-620813"/>
    <s v="ST-O-00808"/>
    <s v="PRD-643"/>
    <x v="53"/>
    <d v="2024-01-02T00:00:00"/>
    <d v="2024-01-06T00:00:00"/>
    <x v="0"/>
    <x v="3"/>
    <x v="2"/>
    <x v="0"/>
    <x v="5"/>
    <s v="Electronics"/>
    <s v="Laptops"/>
    <n v="8"/>
    <n v="3030"/>
    <n v="3211.8"/>
    <n v="0.02"/>
    <x v="527"/>
    <n v="24240"/>
    <n v="940.51199999999994"/>
    <n v="3.73507893723527E-2"/>
  </r>
  <r>
    <s v="ORD-184-3"/>
    <s v="ORD-184"/>
    <s v="USR-287819"/>
    <s v="ST-O-00918"/>
    <s v="PRD-519"/>
    <x v="201"/>
    <d v="2024-12-19T00:00:00"/>
    <d v="2024-12-23T00:00:00"/>
    <x v="0"/>
    <x v="3"/>
    <x v="2"/>
    <x v="4"/>
    <x v="1"/>
    <s v="Accessories"/>
    <s v="Peripherals"/>
    <n v="8"/>
    <n v="210"/>
    <n v="222.6"/>
    <n v="0.1"/>
    <x v="319"/>
    <n v="1680"/>
    <n v="-77.28"/>
    <n v="-4.8218029350104802E-2"/>
  </r>
  <r>
    <s v="ORD-195-2"/>
    <s v="ORD-195"/>
    <s v="USR-746357"/>
    <s v="ST-P-00312"/>
    <s v="PRD-517"/>
    <x v="417"/>
    <d v="2024-01-13T00:00:00"/>
    <d v="2024-01-16T00:00:00"/>
    <x v="0"/>
    <x v="1"/>
    <x v="1"/>
    <x v="2"/>
    <x v="3"/>
    <s v="Electronics"/>
    <s v="Monitors"/>
    <n v="9"/>
    <n v="1030"/>
    <n v="1174.2"/>
    <n v="0.02"/>
    <x v="528"/>
    <n v="9270"/>
    <n v="1086.444"/>
    <n v="0.104905119942714"/>
  </r>
  <r>
    <s v="ORD-295-2"/>
    <s v="ORD-295"/>
    <s v="USR-670943"/>
    <s v="ST-O-00388"/>
    <s v="PRD-709"/>
    <x v="418"/>
    <d v="2024-07-28T00:00:00"/>
    <d v="2024-08-02T00:00:00"/>
    <x v="0"/>
    <x v="4"/>
    <x v="2"/>
    <x v="1"/>
    <x v="8"/>
    <s v="Furniture"/>
    <s v="Lighting"/>
    <n v="5"/>
    <n v="280"/>
    <n v="336"/>
    <n v="0.02"/>
    <x v="529"/>
    <n v="1400"/>
    <n v="246.4"/>
    <n v="0.14965986394557801"/>
  </r>
  <r>
    <s v="ORD-369-3"/>
    <s v="ORD-369"/>
    <s v="USR-610829"/>
    <s v="ST-S-00184"/>
    <s v="PRD-247"/>
    <x v="419"/>
    <d v="2025-04-07T00:00:00"/>
    <d v="2025-04-12T00:00:00"/>
    <x v="1"/>
    <x v="2"/>
    <x v="0"/>
    <x v="3"/>
    <x v="10"/>
    <s v="Furniture"/>
    <s v="Desks"/>
    <n v="1"/>
    <n v="1530"/>
    <n v="1790.1"/>
    <n v="0.02"/>
    <x v="530"/>
    <n v="1530"/>
    <n v="224.298"/>
    <n v="0.12785627071341399"/>
  </r>
  <r>
    <s v="ORD-258-4"/>
    <s v="ORD-258"/>
    <s v="USR-945362"/>
    <s v="ST-O-00282"/>
    <s v="PRD-284"/>
    <x v="420"/>
    <d v="2025-02-11T00:00:00"/>
    <d v="2025-02-14T00:00:00"/>
    <x v="0"/>
    <x v="2"/>
    <x v="2"/>
    <x v="4"/>
    <x v="7"/>
    <s v="Electronics"/>
    <s v="Storage"/>
    <n v="7"/>
    <n v="650"/>
    <n v="663"/>
    <n v="0.02"/>
    <x v="51"/>
    <n v="4550"/>
    <n v="-1.82"/>
    <n v="-4.0016006402561E-4"/>
  </r>
  <r>
    <s v="ORD-176-2"/>
    <s v="ORD-176"/>
    <s v="USR-447175"/>
    <s v="ST-S-00631"/>
    <s v="PRD-517"/>
    <x v="421"/>
    <d v="2024-09-06T00:00:00"/>
    <d v="2024-09-09T00:00:00"/>
    <x v="0"/>
    <x v="2"/>
    <x v="0"/>
    <x v="0"/>
    <x v="3"/>
    <s v="Electronics"/>
    <s v="Monitors"/>
    <n v="7"/>
    <n v="1030"/>
    <n v="1174.2"/>
    <n v="0.02"/>
    <x v="531"/>
    <n v="7210"/>
    <n v="845.01199999999994"/>
    <n v="0.104905119942714"/>
  </r>
  <r>
    <s v="ORD-219-7"/>
    <s v="ORD-219"/>
    <s v="USR-131098"/>
    <s v="ST-P-00655"/>
    <s v="PRD-361"/>
    <x v="422"/>
    <d v="2025-06-04T00:00:00"/>
    <d v="2025-06-06T00:00:00"/>
    <x v="0"/>
    <x v="4"/>
    <x v="1"/>
    <x v="1"/>
    <x v="13"/>
    <s v="Accessories"/>
    <s v="Audio"/>
    <n v="6"/>
    <n v="390"/>
    <n v="468"/>
    <n v="0"/>
    <x v="55"/>
    <n v="2340"/>
    <n v="468"/>
    <n v="0.16666666666666699"/>
  </r>
  <r>
    <s v="ORD-220-3"/>
    <s v="ORD-220"/>
    <s v="USR-295505"/>
    <s v="ST-S-00252"/>
    <s v="PRD-112"/>
    <x v="423"/>
    <d v="2025-03-19T00:00:00"/>
    <d v="2025-03-22T00:00:00"/>
    <x v="0"/>
    <x v="4"/>
    <x v="0"/>
    <x v="2"/>
    <x v="17"/>
    <s v="Electronics"/>
    <s v="Laptops"/>
    <n v="5"/>
    <n v="3930"/>
    <n v="4362.3"/>
    <n v="0"/>
    <x v="532"/>
    <n v="19650"/>
    <n v="2161.5"/>
    <n v="9.90990990990991E-2"/>
  </r>
  <r>
    <s v="ORD-155-1"/>
    <s v="ORD-155"/>
    <s v="USR-854661"/>
    <s v="ST-O-00461"/>
    <s v="PRD-361"/>
    <x v="79"/>
    <d v="2024-05-28T00:00:00"/>
    <d v="2024-06-01T00:00:00"/>
    <x v="0"/>
    <x v="3"/>
    <x v="2"/>
    <x v="0"/>
    <x v="13"/>
    <s v="Accessories"/>
    <s v="Audio"/>
    <n v="9"/>
    <n v="390"/>
    <n v="468"/>
    <n v="7.0000000000000007E-2"/>
    <x v="533"/>
    <n v="3510"/>
    <n v="407.16"/>
    <n v="0.103942652329749"/>
  </r>
  <r>
    <s v="ORD-196-4"/>
    <s v="ORD-196"/>
    <s v="USR-779310"/>
    <s v="ST-O-00376"/>
    <s v="PRD-517"/>
    <x v="424"/>
    <d v="2025-03-07T00:00:00"/>
    <d v="2025-03-10T00:00:00"/>
    <x v="0"/>
    <x v="3"/>
    <x v="2"/>
    <x v="1"/>
    <x v="3"/>
    <s v="Electronics"/>
    <s v="Monitors"/>
    <n v="5"/>
    <n v="1030"/>
    <n v="1174.2"/>
    <n v="0.02"/>
    <x v="534"/>
    <n v="5150"/>
    <n v="603.58000000000004"/>
    <n v="0.104905119942714"/>
  </r>
  <r>
    <s v="ORD-316-3"/>
    <s v="ORD-316"/>
    <s v="USR-806791"/>
    <s v="ST-O-00603"/>
    <s v="PRD-181"/>
    <x v="271"/>
    <d v="2024-10-01T00:00:00"/>
    <d v="2024-10-03T00:00:00"/>
    <x v="1"/>
    <x v="4"/>
    <x v="2"/>
    <x v="3"/>
    <x v="6"/>
    <s v="Accessories"/>
    <s v="Audio"/>
    <n v="4"/>
    <n v="250"/>
    <n v="270"/>
    <n v="0.1"/>
    <x v="535"/>
    <n v="1000"/>
    <n v="-28"/>
    <n v="-2.8806584362139901E-2"/>
  </r>
  <r>
    <s v="ORD-313-3"/>
    <s v="ORD-313"/>
    <s v="USR-572958"/>
    <s v="ST-P-00392"/>
    <s v="PRD-112"/>
    <x v="50"/>
    <d v="2025-07-19T00:00:00"/>
    <d v="2025-07-24T00:00:00"/>
    <x v="0"/>
    <x v="2"/>
    <x v="1"/>
    <x v="4"/>
    <x v="17"/>
    <s v="Electronics"/>
    <s v="Laptops"/>
    <n v="12"/>
    <n v="3930"/>
    <n v="4362.3"/>
    <n v="0.04"/>
    <x v="536"/>
    <n v="47160"/>
    <n v="3093.6959999999999"/>
    <n v="6.1561561561561597E-2"/>
  </r>
  <r>
    <s v="ORD-337-4"/>
    <s v="ORD-337"/>
    <s v="USR-285694"/>
    <s v="ST-S-00736"/>
    <s v="PRD-519"/>
    <x v="148"/>
    <d v="2025-10-11T00:00:00"/>
    <d v="2025-10-12T00:00:00"/>
    <x v="1"/>
    <x v="1"/>
    <x v="0"/>
    <x v="1"/>
    <x v="1"/>
    <s v="Accessories"/>
    <s v="Peripherals"/>
    <n v="4"/>
    <n v="210"/>
    <n v="222.6"/>
    <n v="0.01"/>
    <x v="495"/>
    <n v="840"/>
    <n v="41.496000000000002"/>
    <n v="4.7074518772632003E-2"/>
  </r>
  <r>
    <s v="ORD-341-4"/>
    <s v="ORD-341"/>
    <s v="USR-871222"/>
    <s v="ST-S-00632"/>
    <s v="PRD-181"/>
    <x v="197"/>
    <d v="2025-08-13T00:00:00"/>
    <d v="2025-08-15T00:00:00"/>
    <x v="0"/>
    <x v="4"/>
    <x v="0"/>
    <x v="1"/>
    <x v="6"/>
    <s v="Accessories"/>
    <s v="Audio"/>
    <n v="5"/>
    <n v="250"/>
    <n v="270"/>
    <n v="0"/>
    <x v="11"/>
    <n v="1250"/>
    <n v="100"/>
    <n v="7.4074074074074098E-2"/>
  </r>
  <r>
    <s v="ORD-378-4"/>
    <s v="ORD-378"/>
    <s v="USR-695939"/>
    <s v="ST-O-00436"/>
    <s v="PRD-112"/>
    <x v="425"/>
    <d v="2024-08-31T00:00:00"/>
    <d v="2024-09-03T00:00:00"/>
    <x v="0"/>
    <x v="4"/>
    <x v="2"/>
    <x v="1"/>
    <x v="17"/>
    <s v="Electronics"/>
    <s v="Laptops"/>
    <n v="9"/>
    <n v="3930"/>
    <n v="4362.3"/>
    <n v="0.05"/>
    <x v="537"/>
    <n v="35370"/>
    <n v="1927.665"/>
    <n v="5.1683262209578001E-2"/>
  </r>
  <r>
    <s v="ORD-295-3"/>
    <s v="ORD-295"/>
    <s v="USR-531967"/>
    <s v="ST-S-00999"/>
    <s v="PRD-660"/>
    <x v="426"/>
    <d v="2025-08-17T00:00:00"/>
    <d v="2025-08-20T00:00:00"/>
    <x v="0"/>
    <x v="0"/>
    <x v="0"/>
    <x v="0"/>
    <x v="15"/>
    <s v="Accessories"/>
    <s v="Peripherals"/>
    <n v="9"/>
    <n v="350"/>
    <n v="364"/>
    <n v="7.0000000000000007E-2"/>
    <x v="538"/>
    <n v="3150"/>
    <n v="-103.32"/>
    <n v="-3.3912324234904902E-2"/>
  </r>
  <r>
    <s v="ORD-234-3"/>
    <s v="ORD-234"/>
    <s v="USR-314695"/>
    <s v="ST-O-00981"/>
    <s v="PRD-778"/>
    <x v="427"/>
    <d v="2025-09-01T00:00:00"/>
    <d v="2025-09-03T00:00:00"/>
    <x v="1"/>
    <x v="2"/>
    <x v="2"/>
    <x v="2"/>
    <x v="19"/>
    <s v="Electronics"/>
    <s v="Laptops"/>
    <n v="2"/>
    <n v="3330"/>
    <n v="3629.7"/>
    <n v="0.01"/>
    <x v="539"/>
    <n v="6660"/>
    <n v="526.80600000000004"/>
    <n v="7.3301825595403602E-2"/>
  </r>
  <r>
    <s v="ORD-275-5"/>
    <s v="ORD-275"/>
    <s v="USR-402338"/>
    <s v="ST-P-00256"/>
    <s v="PRD-284"/>
    <x v="428"/>
    <d v="2024-12-23T00:00:00"/>
    <d v="2024-12-26T00:00:00"/>
    <x v="0"/>
    <x v="3"/>
    <x v="1"/>
    <x v="2"/>
    <x v="7"/>
    <s v="Electronics"/>
    <s v="Storage"/>
    <n v="12"/>
    <n v="650"/>
    <n v="663"/>
    <n v="0.02"/>
    <x v="540"/>
    <n v="7800"/>
    <n v="-3.12"/>
    <n v="-4.0016006402561E-4"/>
  </r>
  <r>
    <s v="ORD-321-5"/>
    <s v="ORD-321"/>
    <s v="USR-303811"/>
    <s v="ST-S-00536"/>
    <s v="PRD-284"/>
    <x v="429"/>
    <d v="2026-03-31T00:00:00"/>
    <d v="2026-04-05T00:00:00"/>
    <x v="1"/>
    <x v="2"/>
    <x v="0"/>
    <x v="1"/>
    <x v="7"/>
    <s v="Electronics"/>
    <s v="Storage"/>
    <n v="1"/>
    <n v="650"/>
    <n v="663"/>
    <n v="0.1"/>
    <x v="541"/>
    <n v="650"/>
    <n v="-53.3"/>
    <n v="-8.9324618736383393E-2"/>
  </r>
  <r>
    <s v="ORD-254-2"/>
    <s v="ORD-254"/>
    <s v="USR-255042"/>
    <s v="ST-P-00953"/>
    <s v="PRD-709"/>
    <x v="430"/>
    <d v="2024-02-24T00:00:00"/>
    <d v="2024-02-28T00:00:00"/>
    <x v="0"/>
    <x v="0"/>
    <x v="1"/>
    <x v="2"/>
    <x v="8"/>
    <s v="Furniture"/>
    <s v="Lighting"/>
    <n v="7"/>
    <n v="280"/>
    <n v="336"/>
    <n v="0.1"/>
    <x v="81"/>
    <n v="1960"/>
    <n v="156.80000000000001"/>
    <n v="7.4074074074074098E-2"/>
  </r>
  <r>
    <s v="ORD-222-3"/>
    <s v="ORD-222"/>
    <s v="USR-265536"/>
    <s v="ST-P-00863"/>
    <s v="PRD-778"/>
    <x v="431"/>
    <d v="2026-03-02T00:00:00"/>
    <d v="2026-03-04T00:00:00"/>
    <x v="0"/>
    <x v="1"/>
    <x v="1"/>
    <x v="3"/>
    <x v="19"/>
    <s v="Electronics"/>
    <s v="Laptops"/>
    <n v="5"/>
    <n v="3330"/>
    <n v="3629.7"/>
    <n v="0.04"/>
    <x v="542"/>
    <n v="16650"/>
    <n v="772.56"/>
    <n v="4.4342507645259897E-2"/>
  </r>
  <r>
    <s v="ORD-180-2"/>
    <s v="ORD-180"/>
    <s v="USR-963303"/>
    <s v="ST-O-00380"/>
    <s v="PRD-778"/>
    <x v="432"/>
    <d v="2024-12-29T00:00:00"/>
    <d v="2024-12-31T00:00:00"/>
    <x v="1"/>
    <x v="0"/>
    <x v="2"/>
    <x v="0"/>
    <x v="19"/>
    <s v="Electronics"/>
    <s v="Laptops"/>
    <n v="3"/>
    <n v="3330"/>
    <n v="3629.7"/>
    <n v="0.08"/>
    <x v="543"/>
    <n v="9990"/>
    <n v="27.972000000000001"/>
    <n v="2.7921818907060201E-3"/>
  </r>
  <r>
    <s v="ORD-358-8"/>
    <s v="ORD-358"/>
    <s v="USR-954205"/>
    <s v="ST-P-00186"/>
    <s v="PRD-597"/>
    <x v="433"/>
    <d v="2024-09-13T00:00:00"/>
    <d v="2024-09-18T00:00:00"/>
    <x v="0"/>
    <x v="3"/>
    <x v="1"/>
    <x v="3"/>
    <x v="0"/>
    <s v="Furniture"/>
    <s v="Chairs"/>
    <n v="7"/>
    <n v="730"/>
    <n v="824.9"/>
    <n v="0.08"/>
    <x v="544"/>
    <n v="5110"/>
    <n v="202.35599999999999"/>
    <n v="3.8091573682185499E-2"/>
  </r>
  <r>
    <s v="ORD-264-4"/>
    <s v="ORD-264"/>
    <s v="USR-439232"/>
    <s v="ST-O-00355"/>
    <s v="PRD-709"/>
    <x v="216"/>
    <d v="2024-01-21T00:00:00"/>
    <d v="2024-01-22T00:00:00"/>
    <x v="0"/>
    <x v="4"/>
    <x v="2"/>
    <x v="3"/>
    <x v="8"/>
    <s v="Furniture"/>
    <s v="Lighting"/>
    <n v="6"/>
    <n v="280"/>
    <n v="336"/>
    <n v="7.0000000000000007E-2"/>
    <x v="545"/>
    <n v="1680"/>
    <n v="194.88"/>
    <n v="0.103942652329749"/>
  </r>
  <r>
    <s v="ORD-209-2"/>
    <s v="ORD-209"/>
    <s v="USR-620119"/>
    <s v="ST-P-00232"/>
    <s v="PRD-284"/>
    <x v="84"/>
    <d v="2026-01-22T00:00:00"/>
    <d v="2026-01-24T00:00:00"/>
    <x v="0"/>
    <x v="0"/>
    <x v="1"/>
    <x v="3"/>
    <x v="7"/>
    <s v="Electronics"/>
    <s v="Storage"/>
    <n v="5"/>
    <n v="650"/>
    <n v="663"/>
    <n v="0.06"/>
    <x v="546"/>
    <n v="3250"/>
    <n v="-133.9"/>
    <n v="-4.29703796412182E-2"/>
  </r>
  <r>
    <s v="ORD-234-4"/>
    <s v="ORD-234"/>
    <s v="USR-780201"/>
    <s v="ST-O-00421"/>
    <s v="PRD-181"/>
    <x v="32"/>
    <d v="2026-02-09T00:00:00"/>
    <d v="2026-02-14T00:00:00"/>
    <x v="0"/>
    <x v="2"/>
    <x v="2"/>
    <x v="3"/>
    <x v="6"/>
    <s v="Accessories"/>
    <s v="Audio"/>
    <n v="6"/>
    <n v="250"/>
    <n v="270"/>
    <n v="0.09"/>
    <x v="547"/>
    <n v="1500"/>
    <n v="-25.8"/>
    <n v="-1.7501017501017499E-2"/>
  </r>
  <r>
    <s v="ORD-350-4"/>
    <s v="ORD-350"/>
    <s v="USR-478786"/>
    <s v="ST-O-00280"/>
    <s v="PRD-873"/>
    <x v="434"/>
    <d v="2025-09-27T00:00:00"/>
    <d v="2025-09-30T00:00:00"/>
    <x v="0"/>
    <x v="4"/>
    <x v="2"/>
    <x v="3"/>
    <x v="18"/>
    <s v="Electronics"/>
    <s v="Networking"/>
    <n v="10"/>
    <n v="480"/>
    <n v="513.6"/>
    <n v="0.03"/>
    <x v="548"/>
    <n v="4800"/>
    <n v="181.92"/>
    <n v="3.6516042007900602E-2"/>
  </r>
  <r>
    <s v="ORD-320-6"/>
    <s v="ORD-320"/>
    <s v="USR-783317"/>
    <s v="ST-O-00639"/>
    <s v="PRD-778"/>
    <x v="241"/>
    <d v="2025-03-30T00:00:00"/>
    <d v="2025-04-03T00:00:00"/>
    <x v="0"/>
    <x v="2"/>
    <x v="2"/>
    <x v="0"/>
    <x v="19"/>
    <s v="Electronics"/>
    <s v="Laptops"/>
    <n v="6"/>
    <n v="3330"/>
    <n v="3629.7"/>
    <n v="0.09"/>
    <x v="549"/>
    <n v="19980"/>
    <n v="-161.83799999999999"/>
    <n v="-8.1661457808246806E-3"/>
  </r>
  <r>
    <s v="ORD-258-5"/>
    <s v="ORD-258"/>
    <s v="USR-847859"/>
    <s v="ST-O-00634"/>
    <s v="PRD-597"/>
    <x v="120"/>
    <d v="2026-03-07T00:00:00"/>
    <d v="2026-03-10T00:00:00"/>
    <x v="1"/>
    <x v="1"/>
    <x v="2"/>
    <x v="2"/>
    <x v="0"/>
    <s v="Furniture"/>
    <s v="Chairs"/>
    <n v="3"/>
    <n v="730"/>
    <n v="824.9"/>
    <n v="0.06"/>
    <x v="550"/>
    <n v="2190"/>
    <n v="136.21799999999999"/>
    <n v="5.85577104123517E-2"/>
  </r>
  <r>
    <s v="ORD-369-4"/>
    <s v="ORD-369"/>
    <s v="USR-802488"/>
    <s v="ST-O-00481"/>
    <s v="PRD-900"/>
    <x v="185"/>
    <d v="2024-11-27T00:00:00"/>
    <d v="2024-11-29T00:00:00"/>
    <x v="1"/>
    <x v="0"/>
    <x v="2"/>
    <x v="2"/>
    <x v="16"/>
    <s v="Furniture"/>
    <s v="Desks"/>
    <n v="2"/>
    <n v="930"/>
    <n v="1078.8"/>
    <n v="0.05"/>
    <x v="551"/>
    <n v="1860"/>
    <n v="189.72"/>
    <n v="9.2558983666061703E-2"/>
  </r>
  <r>
    <s v="ORD-208-1"/>
    <s v="ORD-208"/>
    <s v="USR-462355"/>
    <s v="ST-S-00704"/>
    <s v="PRD-660"/>
    <x v="435"/>
    <d v="2025-05-03T00:00:00"/>
    <d v="2025-05-06T00:00:00"/>
    <x v="0"/>
    <x v="2"/>
    <x v="0"/>
    <x v="3"/>
    <x v="15"/>
    <s v="Accessories"/>
    <s v="Peripherals"/>
    <n v="10"/>
    <n v="350"/>
    <n v="364"/>
    <n v="0"/>
    <x v="255"/>
    <n v="3500"/>
    <n v="140"/>
    <n v="3.8461538461538498E-2"/>
  </r>
  <r>
    <s v="ORD-216-2"/>
    <s v="ORD-216"/>
    <s v="USR-524467"/>
    <s v="ST-S-00211"/>
    <s v="PRD-778"/>
    <x v="434"/>
    <d v="2025-09-27T00:00:00"/>
    <d v="2025-10-02T00:00:00"/>
    <x v="0"/>
    <x v="1"/>
    <x v="0"/>
    <x v="2"/>
    <x v="19"/>
    <s v="Electronics"/>
    <s v="Laptops"/>
    <n v="10"/>
    <n v="3330"/>
    <n v="3629.7"/>
    <n v="7.0000000000000007E-2"/>
    <x v="552"/>
    <n v="33300"/>
    <n v="456.21"/>
    <n v="1.35148466015586E-2"/>
  </r>
  <r>
    <s v="ORD-343-6"/>
    <s v="ORD-343"/>
    <s v="USR-642058"/>
    <s v="ST-P-00352"/>
    <s v="PRD-181"/>
    <x v="436"/>
    <d v="2025-01-25T00:00:00"/>
    <d v="2025-01-29T00:00:00"/>
    <x v="0"/>
    <x v="3"/>
    <x v="1"/>
    <x v="0"/>
    <x v="6"/>
    <s v="Accessories"/>
    <s v="Audio"/>
    <n v="9"/>
    <n v="250"/>
    <n v="270"/>
    <n v="0.06"/>
    <x v="7"/>
    <n v="2250"/>
    <n v="34.200000000000003"/>
    <n v="1.49724192277384E-2"/>
  </r>
  <r>
    <s v="ORD-202-5"/>
    <s v="ORD-202"/>
    <s v="USR-889326"/>
    <s v="ST-P-00713"/>
    <s v="PRD-643"/>
    <x v="437"/>
    <d v="2024-02-27T00:00:00"/>
    <d v="2024-02-29T00:00:00"/>
    <x v="0"/>
    <x v="3"/>
    <x v="1"/>
    <x v="2"/>
    <x v="5"/>
    <s v="Electronics"/>
    <s v="Laptops"/>
    <n v="15"/>
    <n v="3030"/>
    <n v="3211.8"/>
    <n v="0.01"/>
    <x v="553"/>
    <n v="45450"/>
    <n v="2245.23"/>
    <n v="4.7074518772632003E-2"/>
  </r>
  <r>
    <s v="ORD-211-1"/>
    <s v="ORD-211"/>
    <s v="USR-820021"/>
    <s v="ST-S-00375"/>
    <s v="PRD-361"/>
    <x v="388"/>
    <d v="2024-12-16T00:00:00"/>
    <d v="2024-12-18T00:00:00"/>
    <x v="1"/>
    <x v="0"/>
    <x v="0"/>
    <x v="0"/>
    <x v="13"/>
    <s v="Accessories"/>
    <s v="Audio"/>
    <n v="2"/>
    <n v="390"/>
    <n v="468"/>
    <n v="0.06"/>
    <x v="554"/>
    <n v="780"/>
    <n v="99.84"/>
    <n v="0.11347517730496499"/>
  </r>
  <r>
    <s v="ORD-327-1"/>
    <s v="ORD-327"/>
    <s v="USR-415470"/>
    <s v="ST-O-00641"/>
    <s v="PRD-597"/>
    <x v="62"/>
    <d v="2024-01-10T00:00:00"/>
    <d v="2024-01-15T00:00:00"/>
    <x v="0"/>
    <x v="0"/>
    <x v="2"/>
    <x v="0"/>
    <x v="0"/>
    <s v="Furniture"/>
    <s v="Chairs"/>
    <n v="5"/>
    <n v="730"/>
    <n v="824.9"/>
    <n v="0.02"/>
    <x v="555"/>
    <n v="3650"/>
    <n v="392.01"/>
    <n v="9.6983926313888399E-2"/>
  </r>
  <r>
    <s v="ORD-151-4"/>
    <s v="ORD-151"/>
    <s v="USR-664973"/>
    <s v="ST-O-00702"/>
    <s v="PRD-592"/>
    <x v="438"/>
    <d v="2024-03-10T00:00:00"/>
    <d v="2024-03-13T00:00:00"/>
    <x v="0"/>
    <x v="3"/>
    <x v="2"/>
    <x v="3"/>
    <x v="12"/>
    <s v="Accessories"/>
    <s v="Connectivity"/>
    <n v="10"/>
    <n v="580"/>
    <n v="667"/>
    <n v="0.1"/>
    <x v="556"/>
    <n v="5800"/>
    <n v="203"/>
    <n v="3.3816425120772903E-2"/>
  </r>
  <r>
    <s v="ORD-383-1"/>
    <s v="ORD-383"/>
    <s v="USR-781144"/>
    <s v="ST-S-00761"/>
    <s v="PRD-686"/>
    <x v="190"/>
    <d v="2024-05-18T00:00:00"/>
    <d v="2024-05-20T00:00:00"/>
    <x v="1"/>
    <x v="3"/>
    <x v="0"/>
    <x v="2"/>
    <x v="11"/>
    <s v="Electronics"/>
    <s v="Monitors"/>
    <n v="4"/>
    <n v="1630"/>
    <n v="1744.1"/>
    <n v="0.06"/>
    <x v="499"/>
    <n v="6520"/>
    <n v="37.816000000000003"/>
    <n v="5.7665539868761197E-3"/>
  </r>
  <r>
    <s v="ORD-158-2"/>
    <s v="ORD-158"/>
    <s v="USR-894136"/>
    <s v="ST-S-00373"/>
    <s v="PRD-284"/>
    <x v="311"/>
    <d v="2026-02-28T00:00:00"/>
    <d v="2026-03-05T00:00:00"/>
    <x v="1"/>
    <x v="3"/>
    <x v="0"/>
    <x v="3"/>
    <x v="7"/>
    <s v="Electronics"/>
    <s v="Storage"/>
    <n v="1"/>
    <n v="650"/>
    <n v="663"/>
    <n v="0.06"/>
    <x v="557"/>
    <n v="650"/>
    <n v="-26.78"/>
    <n v="-4.29703796412182E-2"/>
  </r>
  <r>
    <s v="ORD-252-4"/>
    <s v="ORD-252"/>
    <s v="USR-780555"/>
    <s v="ST-P-00178"/>
    <s v="PRD-643"/>
    <x v="439"/>
    <d v="2024-07-04T00:00:00"/>
    <d v="2024-07-08T00:00:00"/>
    <x v="0"/>
    <x v="1"/>
    <x v="1"/>
    <x v="4"/>
    <x v="5"/>
    <s v="Electronics"/>
    <s v="Laptops"/>
    <n v="9"/>
    <n v="3030"/>
    <n v="3211.8"/>
    <n v="0.01"/>
    <x v="39"/>
    <n v="27270"/>
    <n v="1347.1379999999999"/>
    <n v="4.7074518772632003E-2"/>
  </r>
  <r>
    <s v="ORD-378-5"/>
    <s v="ORD-378"/>
    <s v="USR-550536"/>
    <s v="ST-S-00138"/>
    <s v="PRD-361"/>
    <x v="440"/>
    <d v="2024-10-15T00:00:00"/>
    <d v="2024-10-16T00:00:00"/>
    <x v="0"/>
    <x v="2"/>
    <x v="0"/>
    <x v="1"/>
    <x v="13"/>
    <s v="Accessories"/>
    <s v="Audio"/>
    <n v="7"/>
    <n v="390"/>
    <n v="468"/>
    <n v="0.1"/>
    <x v="324"/>
    <n v="2730"/>
    <n v="218.4"/>
    <n v="7.4074074074074098E-2"/>
  </r>
  <r>
    <s v="ORD-363-4"/>
    <s v="ORD-363"/>
    <s v="USR-351072"/>
    <s v="ST-S-00419"/>
    <s v="PRD-778"/>
    <x v="441"/>
    <d v="2025-07-30T00:00:00"/>
    <d v="2025-08-01T00:00:00"/>
    <x v="0"/>
    <x v="1"/>
    <x v="0"/>
    <x v="1"/>
    <x v="19"/>
    <s v="Electronics"/>
    <s v="Laptops"/>
    <n v="7"/>
    <n v="3330"/>
    <n v="3629.7"/>
    <n v="0.06"/>
    <x v="558"/>
    <n v="23310"/>
    <n v="573.42600000000004"/>
    <n v="2.4009369510052701E-2"/>
  </r>
  <r>
    <s v="ORD-212-4"/>
    <s v="ORD-212"/>
    <s v="USR-477349"/>
    <s v="ST-O-00601"/>
    <s v="PRD-900"/>
    <x v="351"/>
    <d v="2024-07-28T00:00:00"/>
    <d v="2024-07-31T00:00:00"/>
    <x v="1"/>
    <x v="4"/>
    <x v="2"/>
    <x v="4"/>
    <x v="16"/>
    <s v="Furniture"/>
    <s v="Desks"/>
    <n v="2"/>
    <n v="930"/>
    <n v="1078.8"/>
    <n v="0.09"/>
    <x v="559"/>
    <n v="1860"/>
    <n v="103.416"/>
    <n v="5.2671466464569897E-2"/>
  </r>
  <r>
    <s v="ORD-187-1"/>
    <s v="ORD-187"/>
    <s v="USR-285789"/>
    <s v="ST-O-00688"/>
    <s v="PRD-660"/>
    <x v="303"/>
    <d v="2025-04-23T00:00:00"/>
    <d v="2025-04-26T00:00:00"/>
    <x v="1"/>
    <x v="4"/>
    <x v="2"/>
    <x v="0"/>
    <x v="15"/>
    <s v="Accessories"/>
    <s v="Peripherals"/>
    <n v="3"/>
    <n v="350"/>
    <n v="364"/>
    <n v="7.0000000000000007E-2"/>
    <x v="560"/>
    <n v="1050"/>
    <n v="-34.44"/>
    <n v="-3.3912324234904902E-2"/>
  </r>
  <r>
    <s v="ORD-221-3"/>
    <s v="ORD-221"/>
    <s v="USR-288302"/>
    <s v="ST-O-00992"/>
    <s v="PRD-181"/>
    <x v="165"/>
    <d v="2024-05-25T00:00:00"/>
    <d v="2024-05-27T00:00:00"/>
    <x v="0"/>
    <x v="1"/>
    <x v="2"/>
    <x v="1"/>
    <x v="6"/>
    <s v="Accessories"/>
    <s v="Audio"/>
    <n v="5"/>
    <n v="250"/>
    <n v="270"/>
    <n v="0.06"/>
    <x v="561"/>
    <n v="1250"/>
    <n v="19"/>
    <n v="1.49724192277384E-2"/>
  </r>
  <r>
    <s v="ORD-292-4"/>
    <s v="ORD-292"/>
    <s v="USR-186099"/>
    <s v="ST-S-00231"/>
    <s v="PRD-811"/>
    <x v="244"/>
    <d v="2024-06-18T00:00:00"/>
    <d v="2024-06-21T00:00:00"/>
    <x v="0"/>
    <x v="2"/>
    <x v="0"/>
    <x v="2"/>
    <x v="9"/>
    <s v="Electronics"/>
    <s v="Cameras"/>
    <n v="7"/>
    <n v="430"/>
    <n v="455.8"/>
    <n v="0.09"/>
    <x v="562"/>
    <n v="3010"/>
    <n v="-106.554"/>
    <n v="-3.66991499066971E-2"/>
  </r>
  <r>
    <s v="ORD-371-5"/>
    <s v="ORD-371"/>
    <s v="USR-623970"/>
    <s v="ST-P-00499"/>
    <s v="PRD-660"/>
    <x v="330"/>
    <d v="2025-09-29T00:00:00"/>
    <d v="2025-10-02T00:00:00"/>
    <x v="0"/>
    <x v="1"/>
    <x v="1"/>
    <x v="3"/>
    <x v="15"/>
    <s v="Accessories"/>
    <s v="Peripherals"/>
    <n v="5"/>
    <n v="350"/>
    <n v="364"/>
    <n v="0.06"/>
    <x v="563"/>
    <n v="1750"/>
    <n v="-39.200000000000003"/>
    <n v="-2.2913256955810202E-2"/>
  </r>
  <r>
    <s v="ORD-331-6"/>
    <s v="ORD-331"/>
    <s v="USR-242006"/>
    <s v="ST-S-00171"/>
    <s v="PRD-112"/>
    <x v="442"/>
    <d v="2025-10-24T00:00:00"/>
    <d v="2025-10-27T00:00:00"/>
    <x v="0"/>
    <x v="0"/>
    <x v="0"/>
    <x v="4"/>
    <x v="17"/>
    <s v="Electronics"/>
    <s v="Laptops"/>
    <n v="8"/>
    <n v="3930"/>
    <n v="4362.3"/>
    <n v="0.04"/>
    <x v="564"/>
    <n v="31440"/>
    <n v="2062.4639999999999"/>
    <n v="6.1561561561561597E-2"/>
  </r>
  <r>
    <s v="ORD-237-1"/>
    <s v="ORD-237"/>
    <s v="USR-150323"/>
    <s v="ST-O-00333"/>
    <s v="PRD-247"/>
    <x v="66"/>
    <d v="2024-02-11T00:00:00"/>
    <d v="2024-02-14T00:00:00"/>
    <x v="0"/>
    <x v="3"/>
    <x v="2"/>
    <x v="3"/>
    <x v="10"/>
    <s v="Furniture"/>
    <s v="Desks"/>
    <n v="5"/>
    <n v="1530"/>
    <n v="1790.1"/>
    <n v="0.01"/>
    <x v="565"/>
    <n v="7650"/>
    <n v="1210.9949999999999"/>
    <n v="0.13666580333247"/>
  </r>
  <r>
    <s v="ORD-270-7"/>
    <s v="ORD-270"/>
    <s v="USR-793066"/>
    <s v="ST-P-00598"/>
    <s v="PRD-181"/>
    <x v="110"/>
    <d v="2024-02-28T00:00:00"/>
    <d v="2024-03-03T00:00:00"/>
    <x v="0"/>
    <x v="0"/>
    <x v="1"/>
    <x v="0"/>
    <x v="6"/>
    <s v="Accessories"/>
    <s v="Audio"/>
    <n v="10"/>
    <n v="250"/>
    <n v="270"/>
    <n v="0.04"/>
    <x v="566"/>
    <n v="2500"/>
    <n v="92"/>
    <n v="3.5493827160493797E-2"/>
  </r>
  <r>
    <s v="ORD-203-4"/>
    <s v="ORD-203"/>
    <s v="USR-227483"/>
    <s v="ST-O-00454"/>
    <s v="PRD-592"/>
    <x v="443"/>
    <d v="2024-07-30T00:00:00"/>
    <d v="2024-07-31T00:00:00"/>
    <x v="0"/>
    <x v="0"/>
    <x v="2"/>
    <x v="2"/>
    <x v="12"/>
    <s v="Accessories"/>
    <s v="Connectivity"/>
    <n v="6"/>
    <n v="580"/>
    <n v="667"/>
    <n v="0.01"/>
    <x v="567"/>
    <n v="3480"/>
    <n v="481.98"/>
    <n v="0.121651295564339"/>
  </r>
  <r>
    <s v="ORD-312-3"/>
    <s v="ORD-312"/>
    <s v="USR-147179"/>
    <s v="ST-P-00916"/>
    <s v="PRD-273"/>
    <x v="444"/>
    <d v="2025-05-11T00:00:00"/>
    <d v="2025-05-13T00:00:00"/>
    <x v="0"/>
    <x v="1"/>
    <x v="1"/>
    <x v="2"/>
    <x v="4"/>
    <s v="Furniture"/>
    <s v="Chairs"/>
    <n v="10"/>
    <n v="1080"/>
    <n v="1112.4000000000001"/>
    <n v="0"/>
    <x v="568"/>
    <n v="10800"/>
    <n v="324"/>
    <n v="2.9126213592233E-2"/>
  </r>
  <r>
    <s v="ORD-251-3"/>
    <s v="ORD-251"/>
    <s v="USR-954058"/>
    <s v="ST-S-00453"/>
    <s v="PRD-686"/>
    <x v="378"/>
    <d v="2025-06-02T00:00:00"/>
    <d v="2025-06-03T00:00:00"/>
    <x v="0"/>
    <x v="2"/>
    <x v="0"/>
    <x v="4"/>
    <x v="11"/>
    <s v="Electronics"/>
    <s v="Monitors"/>
    <n v="7"/>
    <n v="1630"/>
    <n v="1744.1"/>
    <n v="0.05"/>
    <x v="569"/>
    <n v="11410"/>
    <n v="188.26499999999999"/>
    <n v="1.6232169208066902E-2"/>
  </r>
  <r>
    <s v="ORD-325-4"/>
    <s v="ORD-325"/>
    <s v="USR-813943"/>
    <s v="ST-O-00486"/>
    <s v="PRD-643"/>
    <x v="302"/>
    <d v="2024-03-02T00:00:00"/>
    <d v="2024-03-03T00:00:00"/>
    <x v="0"/>
    <x v="3"/>
    <x v="2"/>
    <x v="0"/>
    <x v="5"/>
    <s v="Electronics"/>
    <s v="Laptops"/>
    <n v="8"/>
    <n v="3030"/>
    <n v="3211.8"/>
    <n v="0.09"/>
    <x v="570"/>
    <n v="24240"/>
    <n v="-858.096"/>
    <n v="-3.66991499066971E-2"/>
  </r>
  <r>
    <s v="ORD-192-4"/>
    <s v="ORD-192"/>
    <s v="USR-235320"/>
    <s v="ST-O-00150"/>
    <s v="PRD-247"/>
    <x v="445"/>
    <d v="2024-10-22T00:00:00"/>
    <d v="2024-10-24T00:00:00"/>
    <x v="0"/>
    <x v="3"/>
    <x v="2"/>
    <x v="3"/>
    <x v="10"/>
    <s v="Furniture"/>
    <s v="Desks"/>
    <n v="6"/>
    <n v="1530"/>
    <n v="1790.1"/>
    <n v="0.06"/>
    <x v="571"/>
    <n v="9180"/>
    <n v="916.16399999999999"/>
    <n v="9.0743771594835404E-2"/>
  </r>
  <r>
    <s v="ORD-242-3"/>
    <s v="ORD-242"/>
    <s v="USR-445101"/>
    <s v="ST-O-00422"/>
    <s v="PRD-284"/>
    <x v="446"/>
    <d v="2026-04-12T00:00:00"/>
    <d v="2026-04-15T00:00:00"/>
    <x v="1"/>
    <x v="2"/>
    <x v="2"/>
    <x v="3"/>
    <x v="7"/>
    <s v="Electronics"/>
    <s v="Storage"/>
    <n v="4"/>
    <n v="650"/>
    <n v="663"/>
    <n v="0.08"/>
    <x v="572"/>
    <n v="2600"/>
    <n v="-160.16"/>
    <n v="-6.5643648763853396E-2"/>
  </r>
  <r>
    <s v="ORD-351-4"/>
    <s v="ORD-351"/>
    <s v="USR-520871"/>
    <s v="ST-O-00533"/>
    <s v="PRD-709"/>
    <x v="447"/>
    <d v="2026-04-05T00:00:00"/>
    <d v="2026-04-09T00:00:00"/>
    <x v="0"/>
    <x v="0"/>
    <x v="2"/>
    <x v="4"/>
    <x v="8"/>
    <s v="Furniture"/>
    <s v="Lighting"/>
    <n v="9"/>
    <n v="280"/>
    <n v="336"/>
    <n v="0.1"/>
    <x v="573"/>
    <n v="2520"/>
    <n v="201.6"/>
    <n v="7.4074074074074098E-2"/>
  </r>
  <r>
    <s v="ORD-174-1"/>
    <s v="ORD-174"/>
    <s v="USR-881939"/>
    <s v="ST-O-00633"/>
    <s v="PRD-778"/>
    <x v="448"/>
    <d v="2024-04-30T00:00:00"/>
    <d v="2024-05-03T00:00:00"/>
    <x v="1"/>
    <x v="2"/>
    <x v="2"/>
    <x v="1"/>
    <x v="19"/>
    <s v="Electronics"/>
    <s v="Laptops"/>
    <n v="1"/>
    <n v="3330"/>
    <n v="3629.7"/>
    <n v="0.08"/>
    <x v="574"/>
    <n v="3330"/>
    <n v="9.3239999999999998"/>
    <n v="2.7921818907060201E-3"/>
  </r>
  <r>
    <s v="ORD-295-4"/>
    <s v="ORD-295"/>
    <s v="USR-349442"/>
    <s v="ST-O-00692"/>
    <s v="PRD-519"/>
    <x v="449"/>
    <d v="2025-09-24T00:00:00"/>
    <d v="2025-09-28T00:00:00"/>
    <x v="0"/>
    <x v="1"/>
    <x v="2"/>
    <x v="1"/>
    <x v="1"/>
    <s v="Accessories"/>
    <s v="Peripherals"/>
    <n v="8"/>
    <n v="210"/>
    <n v="222.6"/>
    <n v="0.05"/>
    <x v="575"/>
    <n v="1680"/>
    <n v="11.76"/>
    <n v="6.9513406156901702E-3"/>
  </r>
  <r>
    <s v="ORD-227-2"/>
    <s v="ORD-227"/>
    <s v="USR-346766"/>
    <s v="ST-S-00440"/>
    <s v="PRD-519"/>
    <x v="450"/>
    <d v="2025-09-17T00:00:00"/>
    <d v="2025-09-21T00:00:00"/>
    <x v="0"/>
    <x v="2"/>
    <x v="0"/>
    <x v="2"/>
    <x v="1"/>
    <s v="Accessories"/>
    <s v="Peripherals"/>
    <n v="8"/>
    <n v="210"/>
    <n v="222.6"/>
    <n v="0.05"/>
    <x v="575"/>
    <n v="1680"/>
    <n v="11.76"/>
    <n v="6.9513406156901702E-3"/>
  </r>
  <r>
    <s v="ORD-220-4"/>
    <s v="ORD-220"/>
    <s v="USR-906487"/>
    <s v="ST-P-00463"/>
    <s v="PRD-148"/>
    <x v="225"/>
    <d v="2024-07-13T00:00:00"/>
    <d v="2024-07-18T00:00:00"/>
    <x v="0"/>
    <x v="1"/>
    <x v="1"/>
    <x v="2"/>
    <x v="14"/>
    <s v="Accessories"/>
    <s v="Connectivity"/>
    <n v="11"/>
    <n v="170"/>
    <n v="188.7"/>
    <n v="0.03"/>
    <x v="576"/>
    <n v="1870"/>
    <n v="143.429"/>
    <n v="7.1236184638246505E-2"/>
  </r>
  <r>
    <s v="ORD-259-6"/>
    <s v="ORD-259"/>
    <s v="USR-656929"/>
    <s v="ST-O-00308"/>
    <s v="PRD-284"/>
    <x v="451"/>
    <d v="2026-05-18T00:00:00"/>
    <d v="2026-05-22T00:00:00"/>
    <x v="0"/>
    <x v="3"/>
    <x v="2"/>
    <x v="0"/>
    <x v="7"/>
    <s v="Electronics"/>
    <s v="Storage"/>
    <n v="6"/>
    <n v="650"/>
    <n v="663"/>
    <n v="7.0000000000000007E-2"/>
    <x v="577"/>
    <n v="3900"/>
    <n v="-200.46"/>
    <n v="-5.4185114906177501E-2"/>
  </r>
  <r>
    <s v="ORD-236-3"/>
    <s v="ORD-236"/>
    <s v="USR-902082"/>
    <s v="ST-O-00203"/>
    <s v="PRD-811"/>
    <x v="452"/>
    <d v="2026-02-03T00:00:00"/>
    <d v="2026-02-07T00:00:00"/>
    <x v="1"/>
    <x v="3"/>
    <x v="2"/>
    <x v="2"/>
    <x v="9"/>
    <s v="Electronics"/>
    <s v="Cameras"/>
    <n v="4"/>
    <n v="430"/>
    <n v="455.8"/>
    <n v="0.01"/>
    <x v="578"/>
    <n v="1720"/>
    <n v="84.968000000000004"/>
    <n v="4.7074518772632003E-2"/>
  </r>
  <r>
    <s v="ORD-263-1"/>
    <s v="ORD-263"/>
    <s v="USR-965836"/>
    <s v="ST-P-00163"/>
    <s v="PRD-148"/>
    <x v="182"/>
    <d v="2024-05-23T00:00:00"/>
    <d v="2024-05-26T00:00:00"/>
    <x v="0"/>
    <x v="3"/>
    <x v="1"/>
    <x v="4"/>
    <x v="14"/>
    <s v="Accessories"/>
    <s v="Connectivity"/>
    <n v="12"/>
    <n v="170"/>
    <n v="188.7"/>
    <n v="0.01"/>
    <x v="579"/>
    <n v="2040"/>
    <n v="201.756"/>
    <n v="8.9999089999089996E-2"/>
  </r>
  <r>
    <s v="ORD-305-6"/>
    <s v="ORD-305"/>
    <s v="USR-380552"/>
    <s v="ST-P-00952"/>
    <s v="PRD-112"/>
    <x v="453"/>
    <d v="2024-01-01T00:00:00"/>
    <d v="2024-01-04T00:00:00"/>
    <x v="0"/>
    <x v="4"/>
    <x v="1"/>
    <x v="3"/>
    <x v="17"/>
    <s v="Electronics"/>
    <s v="Laptops"/>
    <n v="8"/>
    <n v="3930"/>
    <n v="4362.3"/>
    <n v="0.03"/>
    <x v="580"/>
    <n v="31440"/>
    <n v="2411.4479999999999"/>
    <n v="7.1236184638246505E-2"/>
  </r>
  <r>
    <s v="ORD-218-3"/>
    <s v="ORD-218"/>
    <s v="USR-792975"/>
    <s v="ST-P-00439"/>
    <s v="PRD-811"/>
    <x v="454"/>
    <d v="2024-08-27T00:00:00"/>
    <d v="2024-09-01T00:00:00"/>
    <x v="0"/>
    <x v="1"/>
    <x v="1"/>
    <x v="3"/>
    <x v="9"/>
    <s v="Electronics"/>
    <s v="Cameras"/>
    <n v="12"/>
    <n v="430"/>
    <n v="455.8"/>
    <n v="0.01"/>
    <x v="581"/>
    <n v="5160"/>
    <n v="254.904"/>
    <n v="4.7074518772632003E-2"/>
  </r>
  <r>
    <s v="ORD-319-3"/>
    <s v="ORD-319"/>
    <s v="USR-884143"/>
    <s v="ST-P-00618"/>
    <s v="PRD-873"/>
    <x v="38"/>
    <d v="2025-04-16T00:00:00"/>
    <d v="2025-04-19T00:00:00"/>
    <x v="0"/>
    <x v="0"/>
    <x v="1"/>
    <x v="2"/>
    <x v="18"/>
    <s v="Electronics"/>
    <s v="Networking"/>
    <n v="13"/>
    <n v="480"/>
    <n v="513.6"/>
    <n v="0.05"/>
    <x v="355"/>
    <n v="6240"/>
    <n v="102.96"/>
    <n v="1.6232169208066902E-2"/>
  </r>
  <r>
    <s v="ORD-194-5"/>
    <s v="ORD-194"/>
    <s v="USR-392945"/>
    <s v="ST-S-00655"/>
    <s v="PRD-873"/>
    <x v="310"/>
    <d v="2025-03-15T00:00:00"/>
    <d v="2025-03-17T00:00:00"/>
    <x v="0"/>
    <x v="0"/>
    <x v="0"/>
    <x v="2"/>
    <x v="18"/>
    <s v="Electronics"/>
    <s v="Networking"/>
    <n v="10"/>
    <n v="480"/>
    <n v="513.6"/>
    <n v="7.0000000000000007E-2"/>
    <x v="582"/>
    <n v="4800"/>
    <n v="-23.52"/>
    <n v="-4.9241282283187596E-3"/>
  </r>
  <r>
    <s v="ORD-259-7"/>
    <s v="ORD-259"/>
    <s v="USR-882908"/>
    <s v="ST-S-00310"/>
    <s v="PRD-112"/>
    <x v="455"/>
    <d v="2024-04-13T00:00:00"/>
    <d v="2024-04-14T00:00:00"/>
    <x v="1"/>
    <x v="3"/>
    <x v="0"/>
    <x v="2"/>
    <x v="17"/>
    <s v="Electronics"/>
    <s v="Laptops"/>
    <n v="2"/>
    <n v="3930"/>
    <n v="4362.3"/>
    <n v="0.04"/>
    <x v="583"/>
    <n v="7860"/>
    <n v="515.61599999999999"/>
    <n v="6.1561561561561597E-2"/>
  </r>
  <r>
    <s v="ORD-152-4"/>
    <s v="ORD-152"/>
    <s v="USR-425382"/>
    <s v="ST-P-00426"/>
    <s v="PRD-686"/>
    <x v="456"/>
    <d v="2024-04-28T00:00:00"/>
    <d v="2024-04-30T00:00:00"/>
    <x v="0"/>
    <x v="0"/>
    <x v="1"/>
    <x v="2"/>
    <x v="11"/>
    <s v="Electronics"/>
    <s v="Monitors"/>
    <n v="5"/>
    <n v="1630"/>
    <n v="1744.1"/>
    <n v="0.09"/>
    <x v="584"/>
    <n v="8150"/>
    <n v="-214.345"/>
    <n v="-2.7010372804765301E-2"/>
  </r>
  <r>
    <s v="ORD-336-5"/>
    <s v="ORD-336"/>
    <s v="USR-459881"/>
    <s v="ST-O-00911"/>
    <s v="PRD-709"/>
    <x v="457"/>
    <d v="2025-01-11T00:00:00"/>
    <d v="2025-01-14T00:00:00"/>
    <x v="1"/>
    <x v="4"/>
    <x v="2"/>
    <x v="1"/>
    <x v="8"/>
    <s v="Furniture"/>
    <s v="Lighting"/>
    <n v="3"/>
    <n v="280"/>
    <n v="336"/>
    <n v="0.08"/>
    <x v="483"/>
    <n v="840"/>
    <n v="87.36"/>
    <n v="9.4202898550724598E-2"/>
  </r>
  <r>
    <s v="ORD-310-2"/>
    <s v="ORD-310"/>
    <s v="USR-861438"/>
    <s v="ST-P-00160"/>
    <s v="PRD-517"/>
    <x v="355"/>
    <d v="2025-09-22T00:00:00"/>
    <d v="2025-09-24T00:00:00"/>
    <x v="0"/>
    <x v="3"/>
    <x v="1"/>
    <x v="3"/>
    <x v="3"/>
    <s v="Electronics"/>
    <s v="Monitors"/>
    <n v="8"/>
    <n v="1030"/>
    <n v="1174.2"/>
    <n v="0.09"/>
    <x v="585"/>
    <n v="8240"/>
    <n v="308.17599999999999"/>
    <n v="3.6051667630615E-2"/>
  </r>
  <r>
    <s v="ORD-284-1"/>
    <s v="ORD-284"/>
    <s v="USR-954126"/>
    <s v="ST-S-00385"/>
    <s v="PRD-361"/>
    <x v="458"/>
    <d v="2025-05-19T00:00:00"/>
    <d v="2025-05-22T00:00:00"/>
    <x v="0"/>
    <x v="3"/>
    <x v="0"/>
    <x v="4"/>
    <x v="13"/>
    <s v="Accessories"/>
    <s v="Audio"/>
    <n v="10"/>
    <n v="390"/>
    <n v="468"/>
    <n v="7.0000000000000007E-2"/>
    <x v="586"/>
    <n v="3900"/>
    <n v="452.4"/>
    <n v="0.103942652329749"/>
  </r>
  <r>
    <s v="ORD-305-7"/>
    <s v="ORD-305"/>
    <s v="USR-553033"/>
    <s v="ST-S-00497"/>
    <s v="PRD-778"/>
    <x v="459"/>
    <d v="2024-08-14T00:00:00"/>
    <d v="2024-08-18T00:00:00"/>
    <x v="0"/>
    <x v="3"/>
    <x v="0"/>
    <x v="2"/>
    <x v="19"/>
    <s v="Electronics"/>
    <s v="Laptops"/>
    <n v="10"/>
    <n v="3330"/>
    <n v="3629.7"/>
    <n v="0.02"/>
    <x v="587"/>
    <n v="33300"/>
    <n v="2271.06"/>
    <n v="6.3845721774948502E-2"/>
  </r>
  <r>
    <s v="ORD-280-1"/>
    <s v="ORD-280"/>
    <s v="USR-277837"/>
    <s v="ST-S-00825"/>
    <s v="PRD-597"/>
    <x v="460"/>
    <d v="2024-09-20T00:00:00"/>
    <d v="2024-09-22T00:00:00"/>
    <x v="0"/>
    <x v="2"/>
    <x v="0"/>
    <x v="1"/>
    <x v="0"/>
    <s v="Furniture"/>
    <s v="Chairs"/>
    <n v="5"/>
    <n v="730"/>
    <n v="824.9"/>
    <n v="0.09"/>
    <x v="0"/>
    <n v="3650"/>
    <n v="103.295"/>
    <n v="2.7521151414956702E-2"/>
  </r>
  <r>
    <s v="ORD-278-3"/>
    <s v="ORD-278"/>
    <s v="USR-562528"/>
    <s v="ST-P-00233"/>
    <s v="PRD-361"/>
    <x v="461"/>
    <d v="2024-06-05T00:00:00"/>
    <d v="2024-06-06T00:00:00"/>
    <x v="0"/>
    <x v="0"/>
    <x v="1"/>
    <x v="2"/>
    <x v="13"/>
    <s v="Accessories"/>
    <s v="Audio"/>
    <n v="12"/>
    <n v="390"/>
    <n v="468"/>
    <n v="0.04"/>
    <x v="588"/>
    <n v="4680"/>
    <n v="711.36"/>
    <n v="0.131944444444444"/>
  </r>
  <r>
    <s v="ORD-153-4"/>
    <s v="ORD-153"/>
    <s v="USR-305436"/>
    <s v="ST-P-00150"/>
    <s v="PRD-900"/>
    <x v="381"/>
    <d v="2025-09-12T00:00:00"/>
    <d v="2025-09-17T00:00:00"/>
    <x v="0"/>
    <x v="1"/>
    <x v="1"/>
    <x v="0"/>
    <x v="16"/>
    <s v="Furniture"/>
    <s v="Desks"/>
    <n v="6"/>
    <n v="930"/>
    <n v="1078.8"/>
    <n v="0"/>
    <x v="150"/>
    <n v="5580"/>
    <n v="892.8"/>
    <n v="0.13793103448275901"/>
  </r>
  <r>
    <s v="ORD-311-2"/>
    <s v="ORD-311"/>
    <s v="USR-926641"/>
    <s v="ST-P-00486"/>
    <s v="PRD-660"/>
    <x v="103"/>
    <d v="2024-12-30T00:00:00"/>
    <d v="2025-01-01T00:00:00"/>
    <x v="0"/>
    <x v="2"/>
    <x v="1"/>
    <x v="0"/>
    <x v="15"/>
    <s v="Accessories"/>
    <s v="Peripherals"/>
    <n v="10"/>
    <n v="350"/>
    <n v="364"/>
    <n v="0.1"/>
    <x v="93"/>
    <n v="3500"/>
    <n v="-224"/>
    <n v="-6.8376068376068397E-2"/>
  </r>
  <r>
    <s v="ORD-249-6"/>
    <s v="ORD-249"/>
    <s v="USR-438144"/>
    <s v="ST-P-00665"/>
    <s v="PRD-597"/>
    <x v="17"/>
    <d v="2026-01-28T00:00:00"/>
    <d v="2026-01-31T00:00:00"/>
    <x v="0"/>
    <x v="4"/>
    <x v="1"/>
    <x v="1"/>
    <x v="0"/>
    <s v="Furniture"/>
    <s v="Chairs"/>
    <n v="5"/>
    <n v="730"/>
    <n v="824.9"/>
    <n v="0.01"/>
    <x v="589"/>
    <n v="3650"/>
    <n v="433.255"/>
    <n v="0.106105300795566"/>
  </r>
  <r>
    <s v="ORD-374-2"/>
    <s v="ORD-374"/>
    <s v="USR-325858"/>
    <s v="ST-P-00812"/>
    <s v="PRD-709"/>
    <x v="126"/>
    <d v="2024-09-21T00:00:00"/>
    <d v="2024-09-26T00:00:00"/>
    <x v="0"/>
    <x v="3"/>
    <x v="1"/>
    <x v="2"/>
    <x v="8"/>
    <s v="Furniture"/>
    <s v="Lighting"/>
    <n v="11"/>
    <n v="280"/>
    <n v="336"/>
    <n v="0.04"/>
    <x v="590"/>
    <n v="3080"/>
    <n v="468.16"/>
    <n v="0.131944444444444"/>
  </r>
  <r>
    <s v="ORD-307-3"/>
    <s v="ORD-307"/>
    <s v="USR-901133"/>
    <s v="ST-O-00891"/>
    <s v="PRD-592"/>
    <x v="42"/>
    <d v="2025-01-04T00:00:00"/>
    <d v="2025-01-06T00:00:00"/>
    <x v="0"/>
    <x v="0"/>
    <x v="2"/>
    <x v="1"/>
    <x v="12"/>
    <s v="Accessories"/>
    <s v="Connectivity"/>
    <n v="5"/>
    <n v="580"/>
    <n v="667"/>
    <n v="0.1"/>
    <x v="591"/>
    <n v="2900"/>
    <n v="101.5"/>
    <n v="3.3816425120772903E-2"/>
  </r>
  <r>
    <s v="ORD-300-2"/>
    <s v="ORD-300"/>
    <s v="USR-733709"/>
    <s v="ST-S-00130"/>
    <s v="PRD-361"/>
    <x v="54"/>
    <d v="2025-07-15T00:00:00"/>
    <d v="2025-07-19T00:00:00"/>
    <x v="1"/>
    <x v="4"/>
    <x v="0"/>
    <x v="2"/>
    <x v="13"/>
    <s v="Accessories"/>
    <s v="Audio"/>
    <n v="2"/>
    <n v="390"/>
    <n v="468"/>
    <n v="0"/>
    <x v="441"/>
    <n v="780"/>
    <n v="156"/>
    <n v="0.16666666666666699"/>
  </r>
  <r>
    <s v="ORD-151-5"/>
    <s v="ORD-151"/>
    <s v="USR-887157"/>
    <s v="ST-P-00354"/>
    <s v="PRD-597"/>
    <x v="388"/>
    <d v="2024-12-16T00:00:00"/>
    <d v="2024-12-18T00:00:00"/>
    <x v="0"/>
    <x v="1"/>
    <x v="1"/>
    <x v="3"/>
    <x v="0"/>
    <s v="Furniture"/>
    <s v="Chairs"/>
    <n v="15"/>
    <n v="730"/>
    <n v="824.9"/>
    <n v="0.04"/>
    <x v="592"/>
    <n v="10950"/>
    <n v="928.56"/>
    <n v="7.8171091445427707E-2"/>
  </r>
  <r>
    <s v="ORD-303-3"/>
    <s v="ORD-303"/>
    <s v="USR-298813"/>
    <s v="ST-P-00993"/>
    <s v="PRD-686"/>
    <x v="21"/>
    <d v="2025-06-02T00:00:00"/>
    <d v="2025-06-05T00:00:00"/>
    <x v="0"/>
    <x v="4"/>
    <x v="1"/>
    <x v="2"/>
    <x v="11"/>
    <s v="Electronics"/>
    <s v="Monitors"/>
    <n v="9"/>
    <n v="1630"/>
    <n v="1744.1"/>
    <n v="0.06"/>
    <x v="593"/>
    <n v="14670"/>
    <n v="85.085999999999999"/>
    <n v="5.7665539868761197E-3"/>
  </r>
  <r>
    <s v="ORD-164-7"/>
    <s v="ORD-164"/>
    <s v="USR-999377"/>
    <s v="ST-P-00261"/>
    <s v="PRD-148"/>
    <x v="462"/>
    <d v="2026-01-07T00:00:00"/>
    <d v="2026-01-09T00:00:00"/>
    <x v="0"/>
    <x v="0"/>
    <x v="1"/>
    <x v="4"/>
    <x v="14"/>
    <s v="Accessories"/>
    <s v="Connectivity"/>
    <n v="5"/>
    <n v="170"/>
    <n v="188.7"/>
    <n v="0.04"/>
    <x v="594"/>
    <n v="850"/>
    <n v="55.76"/>
    <n v="6.1561561561561597E-2"/>
  </r>
  <r>
    <s v="ORD-234-5"/>
    <s v="ORD-234"/>
    <s v="USR-983300"/>
    <s v="ST-P-00275"/>
    <s v="PRD-284"/>
    <x v="44"/>
    <d v="2025-08-06T00:00:00"/>
    <d v="2025-08-08T00:00:00"/>
    <x v="0"/>
    <x v="4"/>
    <x v="1"/>
    <x v="2"/>
    <x v="7"/>
    <s v="Electronics"/>
    <s v="Storage"/>
    <n v="11"/>
    <n v="650"/>
    <n v="663"/>
    <n v="0.02"/>
    <x v="595"/>
    <n v="7150"/>
    <n v="-2.86"/>
    <n v="-4.0016006402561E-4"/>
  </r>
  <r>
    <s v="ORD-197-5"/>
    <s v="ORD-197"/>
    <s v="USR-836180"/>
    <s v="ST-P-00417"/>
    <s v="PRD-519"/>
    <x v="463"/>
    <d v="2025-01-26T00:00:00"/>
    <d v="2025-01-29T00:00:00"/>
    <x v="0"/>
    <x v="3"/>
    <x v="1"/>
    <x v="3"/>
    <x v="1"/>
    <s v="Accessories"/>
    <s v="Peripherals"/>
    <n v="13"/>
    <n v="210"/>
    <n v="222.6"/>
    <n v="0.01"/>
    <x v="596"/>
    <n v="2730"/>
    <n v="134.86199999999999"/>
    <n v="4.7074518772632003E-2"/>
  </r>
  <r>
    <s v="ORD-258-6"/>
    <s v="ORD-258"/>
    <s v="USR-678525"/>
    <s v="ST-P-00649"/>
    <s v="PRD-686"/>
    <x v="95"/>
    <d v="2024-05-25T00:00:00"/>
    <d v="2024-05-30T00:00:00"/>
    <x v="0"/>
    <x v="2"/>
    <x v="1"/>
    <x v="1"/>
    <x v="11"/>
    <s v="Electronics"/>
    <s v="Monitors"/>
    <n v="8"/>
    <n v="1630"/>
    <n v="1744.1"/>
    <n v="0.04"/>
    <x v="597"/>
    <n v="13040"/>
    <n v="354.68799999999999"/>
    <n v="2.6479750778816199E-2"/>
  </r>
  <r>
    <s v="ORD-308-2"/>
    <s v="ORD-308"/>
    <s v="USR-749316"/>
    <s v="ST-S-00817"/>
    <s v="PRD-273"/>
    <x v="154"/>
    <d v="2024-07-08T00:00:00"/>
    <d v="2024-07-11T00:00:00"/>
    <x v="0"/>
    <x v="1"/>
    <x v="0"/>
    <x v="1"/>
    <x v="4"/>
    <s v="Furniture"/>
    <s v="Chairs"/>
    <n v="6"/>
    <n v="1080"/>
    <n v="1112.4000000000001"/>
    <n v="0"/>
    <x v="284"/>
    <n v="6480"/>
    <n v="194.4"/>
    <n v="2.9126213592233E-2"/>
  </r>
  <r>
    <s v="ORD-277-3"/>
    <s v="ORD-277"/>
    <s v="USR-254301"/>
    <s v="ST-S-00840"/>
    <s v="PRD-597"/>
    <x v="10"/>
    <d v="2024-02-20T00:00:00"/>
    <d v="2024-02-22T00:00:00"/>
    <x v="0"/>
    <x v="3"/>
    <x v="0"/>
    <x v="0"/>
    <x v="0"/>
    <s v="Furniture"/>
    <s v="Chairs"/>
    <n v="10"/>
    <n v="730"/>
    <n v="824.9"/>
    <n v="0.06"/>
    <x v="598"/>
    <n v="7300"/>
    <n v="454.06"/>
    <n v="5.85577104123517E-2"/>
  </r>
  <r>
    <s v="ORD-292-5"/>
    <s v="ORD-292"/>
    <s v="USR-203661"/>
    <s v="ST-P-00346"/>
    <s v="PRD-597"/>
    <x v="234"/>
    <d v="2025-10-11T00:00:00"/>
    <d v="2025-10-14T00:00:00"/>
    <x v="0"/>
    <x v="2"/>
    <x v="1"/>
    <x v="0"/>
    <x v="0"/>
    <s v="Furniture"/>
    <s v="Chairs"/>
    <n v="13"/>
    <n v="730"/>
    <n v="824.9"/>
    <n v="0.1"/>
    <x v="599"/>
    <n v="9490"/>
    <n v="161.33000000000001"/>
    <n v="1.6715830875122899E-2"/>
  </r>
  <r>
    <s v="ORD-317-4"/>
    <s v="ORD-317"/>
    <s v="USR-460899"/>
    <s v="ST-O-00853"/>
    <s v="PRD-811"/>
    <x v="464"/>
    <d v="2024-11-21T00:00:00"/>
    <d v="2024-11-24T00:00:00"/>
    <x v="1"/>
    <x v="4"/>
    <x v="2"/>
    <x v="1"/>
    <x v="9"/>
    <s v="Electronics"/>
    <s v="Cameras"/>
    <n v="4"/>
    <n v="430"/>
    <n v="455.8"/>
    <n v="0.09"/>
    <x v="600"/>
    <n v="1720"/>
    <n v="-60.887999999999998"/>
    <n v="-3.66991499066971E-2"/>
  </r>
  <r>
    <s v="ORD-315-4"/>
    <s v="ORD-315"/>
    <s v="USR-386174"/>
    <s v="ST-S-00740"/>
    <s v="PRD-709"/>
    <x v="306"/>
    <d v="2025-07-27T00:00:00"/>
    <d v="2025-08-01T00:00:00"/>
    <x v="1"/>
    <x v="3"/>
    <x v="0"/>
    <x v="1"/>
    <x v="8"/>
    <s v="Furniture"/>
    <s v="Lighting"/>
    <n v="4"/>
    <n v="280"/>
    <n v="336"/>
    <n v="7.0000000000000007E-2"/>
    <x v="601"/>
    <n v="1120"/>
    <n v="129.91999999999999"/>
    <n v="0.103942652329749"/>
  </r>
  <r>
    <s v="ORD-357-3"/>
    <s v="ORD-357"/>
    <s v="USR-517941"/>
    <s v="ST-S-00691"/>
    <s v="PRD-686"/>
    <x v="465"/>
    <d v="2024-04-24T00:00:00"/>
    <d v="2024-04-28T00:00:00"/>
    <x v="0"/>
    <x v="1"/>
    <x v="0"/>
    <x v="1"/>
    <x v="11"/>
    <s v="Electronics"/>
    <s v="Monitors"/>
    <n v="5"/>
    <n v="1630"/>
    <n v="1744.1"/>
    <n v="0.05"/>
    <x v="602"/>
    <n v="8150"/>
    <n v="134.47499999999999"/>
    <n v="1.6232169208066902E-2"/>
  </r>
  <r>
    <s v="ORD-330-4"/>
    <s v="ORD-330"/>
    <s v="USR-874055"/>
    <s v="ST-S-00610"/>
    <s v="PRD-709"/>
    <x v="466"/>
    <d v="2025-02-01T00:00:00"/>
    <d v="2025-02-06T00:00:00"/>
    <x v="0"/>
    <x v="4"/>
    <x v="0"/>
    <x v="1"/>
    <x v="8"/>
    <s v="Furniture"/>
    <s v="Lighting"/>
    <n v="7"/>
    <n v="280"/>
    <n v="336"/>
    <n v="0.04"/>
    <x v="603"/>
    <n v="1960"/>
    <n v="297.92"/>
    <n v="0.131944444444444"/>
  </r>
  <r>
    <s v="ORD-166-4"/>
    <s v="ORD-166"/>
    <s v="USR-259229"/>
    <s v="ST-O-00976"/>
    <s v="PRD-273"/>
    <x v="467"/>
    <d v="2025-03-27T00:00:00"/>
    <d v="2025-03-29T00:00:00"/>
    <x v="0"/>
    <x v="3"/>
    <x v="2"/>
    <x v="2"/>
    <x v="4"/>
    <s v="Furniture"/>
    <s v="Chairs"/>
    <n v="9"/>
    <n v="1080"/>
    <n v="1112.4000000000001"/>
    <n v="0.05"/>
    <x v="604"/>
    <n v="9720"/>
    <n v="-208.98"/>
    <n v="-2.1972406745017901E-2"/>
  </r>
  <r>
    <s v="ORD-385-4"/>
    <s v="ORD-385"/>
    <s v="USR-509170"/>
    <s v="ST-O-00698"/>
    <s v="PRD-247"/>
    <x v="90"/>
    <d v="2026-05-16T00:00:00"/>
    <d v="2026-05-17T00:00:00"/>
    <x v="0"/>
    <x v="1"/>
    <x v="2"/>
    <x v="3"/>
    <x v="10"/>
    <s v="Furniture"/>
    <s v="Desks"/>
    <n v="9"/>
    <n v="1530"/>
    <n v="1790.1"/>
    <n v="0"/>
    <x v="85"/>
    <n v="13770"/>
    <n v="2340.9"/>
    <n v="0.145299145299145"/>
  </r>
  <r>
    <s v="ORD-299-4"/>
    <s v="ORD-299"/>
    <s v="USR-544557"/>
    <s v="ST-S-00483"/>
    <s v="PRD-112"/>
    <x v="468"/>
    <d v="2024-11-18T00:00:00"/>
    <d v="2024-11-21T00:00:00"/>
    <x v="1"/>
    <x v="1"/>
    <x v="0"/>
    <x v="4"/>
    <x v="17"/>
    <s v="Electronics"/>
    <s v="Laptops"/>
    <n v="4"/>
    <n v="3930"/>
    <n v="4362.3"/>
    <n v="0.05"/>
    <x v="605"/>
    <n v="15720"/>
    <n v="856.74"/>
    <n v="5.1683262209578001E-2"/>
  </r>
  <r>
    <s v="ORD-332-2"/>
    <s v="ORD-332"/>
    <s v="USR-661832"/>
    <s v="ST-P-00339"/>
    <s v="PRD-709"/>
    <x v="469"/>
    <d v="2024-01-15T00:00:00"/>
    <d v="2024-01-17T00:00:00"/>
    <x v="0"/>
    <x v="0"/>
    <x v="1"/>
    <x v="0"/>
    <x v="8"/>
    <s v="Furniture"/>
    <s v="Lighting"/>
    <n v="12"/>
    <n v="280"/>
    <n v="336"/>
    <n v="0.01"/>
    <x v="606"/>
    <n v="3360"/>
    <n v="631.67999999999995"/>
    <n v="0.158249158249158"/>
  </r>
  <r>
    <s v="ORD-250-3"/>
    <s v="ORD-250"/>
    <s v="USR-266712"/>
    <s v="ST-O-00611"/>
    <s v="PRD-117"/>
    <x v="470"/>
    <d v="2026-01-03T00:00:00"/>
    <d v="2026-01-06T00:00:00"/>
    <x v="0"/>
    <x v="1"/>
    <x v="2"/>
    <x v="4"/>
    <x v="2"/>
    <s v="Electronics"/>
    <s v="Printers"/>
    <n v="10"/>
    <n v="1230"/>
    <n v="1328.4"/>
    <n v="7.0000000000000007E-2"/>
    <x v="607"/>
    <n v="12300"/>
    <n v="54.12"/>
    <n v="4.3807248108323404E-3"/>
  </r>
  <r>
    <s v="ORD-377-6"/>
    <s v="ORD-377"/>
    <s v="USR-919687"/>
    <s v="ST-O-00636"/>
    <s v="PRD-643"/>
    <x v="182"/>
    <d v="2024-05-22T00:00:00"/>
    <d v="2024-05-27T00:00:00"/>
    <x v="0"/>
    <x v="0"/>
    <x v="2"/>
    <x v="4"/>
    <x v="5"/>
    <s v="Electronics"/>
    <s v="Laptops"/>
    <n v="10"/>
    <n v="3030"/>
    <n v="3211.8"/>
    <n v="0.08"/>
    <x v="608"/>
    <n v="30300"/>
    <n v="-751.44"/>
    <n v="-2.5430680885972098E-2"/>
  </r>
  <r>
    <s v="ORD-241-1"/>
    <s v="ORD-241"/>
    <s v="USR-300202"/>
    <s v="ST-O-00870"/>
    <s v="PRD-181"/>
    <x v="471"/>
    <d v="2024-01-15T00:00:00"/>
    <d v="2024-01-18T00:00:00"/>
    <x v="1"/>
    <x v="0"/>
    <x v="2"/>
    <x v="4"/>
    <x v="6"/>
    <s v="Accessories"/>
    <s v="Audio"/>
    <n v="3"/>
    <n v="250"/>
    <n v="270"/>
    <n v="0.05"/>
    <x v="609"/>
    <n v="750"/>
    <n v="19.5"/>
    <n v="2.5341130604288501E-2"/>
  </r>
  <r>
    <s v="ORD-332-3"/>
    <s v="ORD-332"/>
    <s v="USR-300495"/>
    <s v="ST-O-00126"/>
    <s v="PRD-778"/>
    <x v="121"/>
    <d v="2024-10-23T00:00:00"/>
    <d v="2024-10-26T00:00:00"/>
    <x v="0"/>
    <x v="1"/>
    <x v="2"/>
    <x v="0"/>
    <x v="19"/>
    <s v="Electronics"/>
    <s v="Laptops"/>
    <n v="8"/>
    <n v="3330"/>
    <n v="3629.7"/>
    <n v="0.05"/>
    <x v="180"/>
    <n v="26640"/>
    <n v="945.72"/>
    <n v="3.4282955094157401E-2"/>
  </r>
  <r>
    <s v="ORD-160-5"/>
    <s v="ORD-160"/>
    <s v="USR-624945"/>
    <s v="ST-P-00142"/>
    <s v="PRD-112"/>
    <x v="472"/>
    <d v="2025-10-21T00:00:00"/>
    <d v="2025-10-25T00:00:00"/>
    <x v="0"/>
    <x v="1"/>
    <x v="1"/>
    <x v="4"/>
    <x v="17"/>
    <s v="Electronics"/>
    <s v="Laptops"/>
    <n v="15"/>
    <n v="3930"/>
    <n v="4362.3"/>
    <n v="0.1"/>
    <x v="610"/>
    <n v="58950"/>
    <n v="-58.95"/>
    <n v="-1.0010010010009999E-3"/>
  </r>
  <r>
    <s v="ORD-256-6"/>
    <s v="ORD-256"/>
    <s v="USR-867778"/>
    <s v="ST-P-00354"/>
    <s v="PRD-709"/>
    <x v="272"/>
    <d v="2025-05-09T00:00:00"/>
    <d v="2025-05-14T00:00:00"/>
    <x v="0"/>
    <x v="1"/>
    <x v="1"/>
    <x v="4"/>
    <x v="8"/>
    <s v="Furniture"/>
    <s v="Lighting"/>
    <n v="9"/>
    <n v="280"/>
    <n v="336"/>
    <n v="0.08"/>
    <x v="611"/>
    <n v="2520"/>
    <n v="262.08"/>
    <n v="9.4202898550724598E-2"/>
  </r>
  <r>
    <s v="ORD-291-7"/>
    <s v="ORD-291"/>
    <s v="USR-373703"/>
    <s v="ST-O-00862"/>
    <s v="PRD-519"/>
    <x v="268"/>
    <d v="2025-03-28T00:00:00"/>
    <d v="2025-04-01T00:00:00"/>
    <x v="0"/>
    <x v="3"/>
    <x v="2"/>
    <x v="2"/>
    <x v="1"/>
    <s v="Accessories"/>
    <s v="Peripherals"/>
    <n v="10"/>
    <n v="210"/>
    <n v="222.6"/>
    <n v="0.08"/>
    <x v="612"/>
    <n v="2100"/>
    <n v="-52.08"/>
    <n v="-2.5430680885972098E-2"/>
  </r>
  <r>
    <s v="ORD-327-2"/>
    <s v="ORD-327"/>
    <s v="USR-182313"/>
    <s v="ST-O-00464"/>
    <s v="PRD-284"/>
    <x v="139"/>
    <d v="2024-06-02T00:00:00"/>
    <d v="2024-06-05T00:00:00"/>
    <x v="0"/>
    <x v="0"/>
    <x v="2"/>
    <x v="4"/>
    <x v="7"/>
    <s v="Electronics"/>
    <s v="Storage"/>
    <n v="8"/>
    <n v="650"/>
    <n v="663"/>
    <n v="7.0000000000000007E-2"/>
    <x v="613"/>
    <n v="5200"/>
    <n v="-267.27999999999997"/>
    <n v="-5.4185114906177501E-2"/>
  </r>
  <r>
    <s v="ORD-211-2"/>
    <s v="ORD-211"/>
    <s v="USR-959944"/>
    <s v="ST-S-00827"/>
    <s v="PRD-592"/>
    <x v="53"/>
    <d v="2024-01-02T00:00:00"/>
    <d v="2024-01-04T00:00:00"/>
    <x v="0"/>
    <x v="3"/>
    <x v="0"/>
    <x v="4"/>
    <x v="12"/>
    <s v="Accessories"/>
    <s v="Connectivity"/>
    <n v="6"/>
    <n v="580"/>
    <n v="667"/>
    <n v="0.05"/>
    <x v="64"/>
    <n v="3480"/>
    <n v="321.89999999999998"/>
    <n v="8.4668192219679597E-2"/>
  </r>
  <r>
    <s v="ORD-154-2"/>
    <s v="ORD-154"/>
    <s v="USR-597622"/>
    <s v="ST-O-00949"/>
    <s v="PRD-709"/>
    <x v="473"/>
    <d v="2024-07-12T00:00:00"/>
    <d v="2024-07-14T00:00:00"/>
    <x v="1"/>
    <x v="4"/>
    <x v="2"/>
    <x v="0"/>
    <x v="8"/>
    <s v="Furniture"/>
    <s v="Lighting"/>
    <n v="3"/>
    <n v="280"/>
    <n v="336"/>
    <n v="0.05"/>
    <x v="614"/>
    <n v="840"/>
    <n v="117.6"/>
    <n v="0.12280701754386"/>
  </r>
  <r>
    <s v="ORD-366-3"/>
    <s v="ORD-366"/>
    <s v="USR-216702"/>
    <s v="ST-P-00791"/>
    <s v="PRD-597"/>
    <x v="474"/>
    <d v="2025-05-02T00:00:00"/>
    <d v="2025-05-05T00:00:00"/>
    <x v="0"/>
    <x v="4"/>
    <x v="1"/>
    <x v="0"/>
    <x v="0"/>
    <s v="Furniture"/>
    <s v="Chairs"/>
    <n v="6"/>
    <n v="730"/>
    <n v="824.9"/>
    <n v="0.03"/>
    <x v="615"/>
    <n v="4380"/>
    <n v="420.91800000000001"/>
    <n v="8.7674482255268693E-2"/>
  </r>
  <r>
    <s v="ORD-172-3"/>
    <s v="ORD-172"/>
    <s v="USR-668064"/>
    <s v="ST-O-00126"/>
    <s v="PRD-778"/>
    <x v="475"/>
    <d v="2024-06-27T00:00:00"/>
    <d v="2024-07-02T00:00:00"/>
    <x v="0"/>
    <x v="3"/>
    <x v="2"/>
    <x v="2"/>
    <x v="19"/>
    <s v="Electronics"/>
    <s v="Laptops"/>
    <n v="5"/>
    <n v="3330"/>
    <n v="3629.7"/>
    <n v="0.09"/>
    <x v="616"/>
    <n v="16650"/>
    <n v="-134.86500000000001"/>
    <n v="-8.1661457808246806E-3"/>
  </r>
  <r>
    <s v="ORD-274-3"/>
    <s v="ORD-274"/>
    <s v="USR-880924"/>
    <s v="ST-S-00935"/>
    <s v="PRD-519"/>
    <x v="476"/>
    <d v="2024-05-14T00:00:00"/>
    <d v="2024-05-16T00:00:00"/>
    <x v="0"/>
    <x v="1"/>
    <x v="0"/>
    <x v="0"/>
    <x v="1"/>
    <s v="Accessories"/>
    <s v="Peripherals"/>
    <n v="10"/>
    <n v="210"/>
    <n v="222.6"/>
    <n v="0.08"/>
    <x v="612"/>
    <n v="2100"/>
    <n v="-52.08"/>
    <n v="-2.5430680885972098E-2"/>
  </r>
  <r>
    <s v="ORD-319-4"/>
    <s v="ORD-319"/>
    <s v="USR-763823"/>
    <s v="ST-P-00600"/>
    <s v="PRD-592"/>
    <x v="477"/>
    <d v="2025-03-28T00:00:00"/>
    <d v="2025-03-29T00:00:00"/>
    <x v="0"/>
    <x v="1"/>
    <x v="1"/>
    <x v="4"/>
    <x v="12"/>
    <s v="Accessories"/>
    <s v="Connectivity"/>
    <n v="10"/>
    <n v="580"/>
    <n v="667"/>
    <n v="0.01"/>
    <x v="617"/>
    <n v="5800"/>
    <n v="803.3"/>
    <n v="0.121651295564339"/>
  </r>
  <r>
    <s v="ORD-248-5"/>
    <s v="ORD-248"/>
    <s v="USR-785043"/>
    <s v="ST-O-00410"/>
    <s v="PRD-519"/>
    <x v="69"/>
    <d v="2026-04-14T00:00:00"/>
    <d v="2026-04-17T00:00:00"/>
    <x v="0"/>
    <x v="4"/>
    <x v="2"/>
    <x v="3"/>
    <x v="1"/>
    <s v="Accessories"/>
    <s v="Peripherals"/>
    <n v="10"/>
    <n v="210"/>
    <n v="222.6"/>
    <n v="0.06"/>
    <x v="618"/>
    <n v="2100"/>
    <n v="-7.56"/>
    <n v="-3.6130068245684502E-3"/>
  </r>
  <r>
    <s v="ORD-152-5"/>
    <s v="ORD-152"/>
    <s v="USR-425227"/>
    <s v="ST-O-00849"/>
    <s v="PRD-361"/>
    <x v="349"/>
    <d v="2025-06-14T00:00:00"/>
    <d v="2025-06-18T00:00:00"/>
    <x v="0"/>
    <x v="1"/>
    <x v="2"/>
    <x v="1"/>
    <x v="13"/>
    <s v="Accessories"/>
    <s v="Audio"/>
    <n v="6"/>
    <n v="390"/>
    <n v="468"/>
    <n v="0.04"/>
    <x v="619"/>
    <n v="2340"/>
    <n v="355.68"/>
    <n v="0.131944444444444"/>
  </r>
  <r>
    <s v="ORD-209-3"/>
    <s v="ORD-209"/>
    <s v="USR-352324"/>
    <s v="ST-O-00425"/>
    <s v="PRD-686"/>
    <x v="478"/>
    <d v="2024-07-16T00:00:00"/>
    <d v="2024-07-18T00:00:00"/>
    <x v="1"/>
    <x v="0"/>
    <x v="2"/>
    <x v="2"/>
    <x v="11"/>
    <s v="Electronics"/>
    <s v="Monitors"/>
    <n v="3"/>
    <n v="1630"/>
    <n v="1744.1"/>
    <n v="0.06"/>
    <x v="620"/>
    <n v="4890"/>
    <n v="28.361999999999998"/>
    <n v="5.7665539868761197E-3"/>
  </r>
  <r>
    <s v="ORD-312-4"/>
    <s v="ORD-312"/>
    <s v="USR-565887"/>
    <s v="ST-S-00950"/>
    <s v="PRD-284"/>
    <x v="479"/>
    <d v="2025-03-13T00:00:00"/>
    <d v="2025-03-16T00:00:00"/>
    <x v="1"/>
    <x v="3"/>
    <x v="0"/>
    <x v="0"/>
    <x v="7"/>
    <s v="Electronics"/>
    <s v="Storage"/>
    <n v="1"/>
    <n v="650"/>
    <n v="663"/>
    <n v="0.04"/>
    <x v="621"/>
    <n v="650"/>
    <n v="-13.52"/>
    <n v="-2.1241830065359499E-2"/>
  </r>
  <r>
    <s v="ORD-351-5"/>
    <s v="ORD-351"/>
    <s v="USR-178121"/>
    <s v="ST-P-00699"/>
    <s v="PRD-873"/>
    <x v="238"/>
    <d v="2024-10-17T00:00:00"/>
    <d v="2024-10-19T00:00:00"/>
    <x v="0"/>
    <x v="4"/>
    <x v="1"/>
    <x v="0"/>
    <x v="18"/>
    <s v="Electronics"/>
    <s v="Networking"/>
    <n v="15"/>
    <n v="480"/>
    <n v="513.6"/>
    <n v="0.04"/>
    <x v="622"/>
    <n v="7200"/>
    <n v="195.84"/>
    <n v="2.6479750778816199E-2"/>
  </r>
  <r>
    <s v="ORD-182-3"/>
    <s v="ORD-182"/>
    <s v="USR-374659"/>
    <s v="ST-S-00860"/>
    <s v="PRD-778"/>
    <x v="470"/>
    <d v="2026-01-03T00:00:00"/>
    <d v="2026-01-06T00:00:00"/>
    <x v="0"/>
    <x v="1"/>
    <x v="0"/>
    <x v="0"/>
    <x v="19"/>
    <s v="Electronics"/>
    <s v="Laptops"/>
    <n v="8"/>
    <n v="3330"/>
    <n v="3629.7"/>
    <n v="0"/>
    <x v="623"/>
    <n v="26640"/>
    <n v="2397.6"/>
    <n v="8.25688073394496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E6C7B-AF89-4C95-87AD-66605C5D7904}" name="wzrost" cacheId="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12">
  <location ref="A26:E40" firstHeaderRow="1" firstDataRow="2" firstDataCol="1"/>
  <pivotFields count="25">
    <pivotField showAll="0"/>
    <pivotField showAll="0"/>
    <pivotField showAll="0"/>
    <pivotField showAll="0"/>
    <pivotField showAll="0"/>
    <pivotField numFmtId="14" showAll="0">
      <items count="482">
        <item x="53"/>
        <item x="164"/>
        <item x="93"/>
        <item x="61"/>
        <item x="62"/>
        <item x="471"/>
        <item x="247"/>
        <item x="216"/>
        <item x="233"/>
        <item x="67"/>
        <item x="385"/>
        <item x="66"/>
        <item x="10"/>
        <item x="331"/>
        <item x="240"/>
        <item x="221"/>
        <item x="96"/>
        <item x="217"/>
        <item x="284"/>
        <item x="249"/>
        <item x="83"/>
        <item x="448"/>
        <item x="325"/>
        <item x="85"/>
        <item x="192"/>
        <item x="39"/>
        <item x="41"/>
        <item x="190"/>
        <item x="29"/>
        <item x="182"/>
        <item x="204"/>
        <item x="165"/>
        <item x="95"/>
        <item x="79"/>
        <item x="65"/>
        <item x="82"/>
        <item x="244"/>
        <item x="365"/>
        <item x="114"/>
        <item x="2"/>
        <item x="89"/>
        <item x="315"/>
        <item x="45"/>
        <item x="207"/>
        <item x="78"/>
        <item x="11"/>
        <item x="188"/>
        <item x="246"/>
        <item x="57"/>
        <item x="256"/>
        <item x="352"/>
        <item x="70"/>
        <item x="68"/>
        <item x="72"/>
        <item x="295"/>
        <item x="71"/>
        <item x="100"/>
        <item x="227"/>
        <item x="180"/>
        <item x="193"/>
        <item x="460"/>
        <item x="126"/>
        <item x="136"/>
        <item x="276"/>
        <item x="237"/>
        <item x="176"/>
        <item x="186"/>
        <item x="80"/>
        <item x="121"/>
        <item x="248"/>
        <item x="413"/>
        <item x="99"/>
        <item x="9"/>
        <item x="35"/>
        <item x="292"/>
        <item x="18"/>
        <item x="3"/>
        <item x="235"/>
        <item x="5"/>
        <item x="388"/>
        <item x="201"/>
        <item x="224"/>
        <item x="103"/>
        <item x="372"/>
        <item x="159"/>
        <item x="26"/>
        <item x="7"/>
        <item x="405"/>
        <item x="23"/>
        <item x="87"/>
        <item x="304"/>
        <item x="137"/>
        <item x="97"/>
        <item x="178"/>
        <item x="329"/>
        <item m="1" x="480"/>
        <item x="40"/>
        <item x="259"/>
        <item x="213"/>
        <item x="73"/>
        <item x="262"/>
        <item x="14"/>
        <item x="170"/>
        <item x="184"/>
        <item x="38"/>
        <item x="46"/>
        <item x="303"/>
        <item x="202"/>
        <item x="118"/>
        <item x="435"/>
        <item x="183"/>
        <item x="75"/>
        <item x="58"/>
        <item x="297"/>
        <item x="458"/>
        <item x="81"/>
        <item x="21"/>
        <item x="155"/>
        <item x="206"/>
        <item x="314"/>
        <item x="349"/>
        <item x="104"/>
        <item x="123"/>
        <item x="15"/>
        <item x="281"/>
        <item x="34"/>
        <item x="50"/>
        <item x="135"/>
        <item x="109"/>
        <item x="44"/>
        <item x="8"/>
        <item x="30"/>
        <item x="318"/>
        <item x="143"/>
        <item x="13"/>
        <item x="33"/>
        <item x="358"/>
        <item x="113"/>
        <item x="243"/>
        <item x="261"/>
        <item x="142"/>
        <item x="92"/>
        <item x="102"/>
        <item x="391"/>
        <item x="98"/>
        <item x="4"/>
        <item x="322"/>
        <item x="55"/>
        <item x="124"/>
        <item x="223"/>
        <item x="19"/>
        <item x="172"/>
        <item x="215"/>
        <item x="152"/>
        <item x="59"/>
        <item x="0"/>
        <item x="12"/>
        <item x="94"/>
        <item x="144"/>
        <item x="28"/>
        <item x="47"/>
        <item x="196"/>
        <item x="43"/>
        <item x="20"/>
        <item x="74"/>
        <item x="84"/>
        <item x="307"/>
        <item x="24"/>
        <item x="17"/>
        <item x="210"/>
        <item x="166"/>
        <item x="107"/>
        <item x="32"/>
        <item x="161"/>
        <item x="31"/>
        <item x="52"/>
        <item x="138"/>
        <item x="157"/>
        <item x="76"/>
        <item x="63"/>
        <item x="326"/>
        <item x="6"/>
        <item x="214"/>
        <item x="22"/>
        <item x="285"/>
        <item x="91"/>
        <item x="132"/>
        <item x="208"/>
        <item x="25"/>
        <item x="90"/>
        <item x="16"/>
        <item x="111"/>
        <item x="236"/>
        <item x="228"/>
        <item x="127"/>
        <item x="1"/>
        <item x="27"/>
        <item x="36"/>
        <item x="37"/>
        <item x="42"/>
        <item x="48"/>
        <item x="49"/>
        <item x="51"/>
        <item x="54"/>
        <item x="56"/>
        <item x="60"/>
        <item x="64"/>
        <item x="69"/>
        <item x="77"/>
        <item x="86"/>
        <item x="88"/>
        <item x="101"/>
        <item x="105"/>
        <item x="106"/>
        <item x="108"/>
        <item x="110"/>
        <item x="112"/>
        <item x="115"/>
        <item x="116"/>
        <item x="117"/>
        <item x="119"/>
        <item x="120"/>
        <item x="122"/>
        <item x="125"/>
        <item x="128"/>
        <item x="129"/>
        <item x="130"/>
        <item x="131"/>
        <item x="133"/>
        <item x="134"/>
        <item x="139"/>
        <item x="140"/>
        <item x="141"/>
        <item x="145"/>
        <item x="146"/>
        <item x="147"/>
        <item x="148"/>
        <item x="149"/>
        <item x="150"/>
        <item x="151"/>
        <item x="153"/>
        <item x="154"/>
        <item x="156"/>
        <item x="158"/>
        <item x="160"/>
        <item x="162"/>
        <item x="163"/>
        <item x="167"/>
        <item x="168"/>
        <item x="169"/>
        <item x="171"/>
        <item x="173"/>
        <item x="174"/>
        <item x="175"/>
        <item x="177"/>
        <item x="179"/>
        <item x="181"/>
        <item x="185"/>
        <item x="187"/>
        <item x="189"/>
        <item x="191"/>
        <item x="194"/>
        <item x="195"/>
        <item x="197"/>
        <item x="198"/>
        <item x="199"/>
        <item x="200"/>
        <item x="203"/>
        <item x="205"/>
        <item x="209"/>
        <item x="211"/>
        <item x="212"/>
        <item x="218"/>
        <item x="219"/>
        <item x="220"/>
        <item x="222"/>
        <item x="225"/>
        <item x="226"/>
        <item x="229"/>
        <item x="230"/>
        <item x="231"/>
        <item x="232"/>
        <item x="234"/>
        <item x="238"/>
        <item x="239"/>
        <item x="241"/>
        <item x="242"/>
        <item x="245"/>
        <item x="250"/>
        <item x="251"/>
        <item x="252"/>
        <item x="253"/>
        <item x="254"/>
        <item x="255"/>
        <item x="257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2"/>
        <item x="283"/>
        <item x="286"/>
        <item x="287"/>
        <item x="288"/>
        <item x="289"/>
        <item x="290"/>
        <item x="291"/>
        <item x="293"/>
        <item x="294"/>
        <item x="296"/>
        <item x="298"/>
        <item x="299"/>
        <item x="300"/>
        <item x="301"/>
        <item x="302"/>
        <item x="305"/>
        <item x="306"/>
        <item x="308"/>
        <item x="309"/>
        <item x="310"/>
        <item x="311"/>
        <item x="312"/>
        <item x="313"/>
        <item x="316"/>
        <item x="317"/>
        <item x="319"/>
        <item x="320"/>
        <item x="321"/>
        <item x="323"/>
        <item x="324"/>
        <item x="327"/>
        <item x="328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9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numFmtId="14" showAll="0"/>
    <pivotField showAll="0"/>
    <pivotField showAll="0"/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9" showAll="0"/>
    <pivotField dataField="1" numFmtId="44" showAll="0"/>
    <pivotField numFmtId="44" showAll="0"/>
    <pivotField numFmtId="4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6">
        <item sd="0" x="1"/>
        <item sd="0" x="2"/>
        <item sd="0" x="3"/>
        <item sd="0" x="0"/>
        <item sd="0" x="4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4"/>
  </colFields>
  <colItems count="4">
    <i>
      <x/>
    </i>
    <i>
      <x v="1"/>
    </i>
    <i>
      <x v="2"/>
    </i>
    <i t="grand">
      <x/>
    </i>
  </colItems>
  <dataFields count="1">
    <dataField name="REVENUE " fld="19" baseField="0" baseItem="0" numFmtId="4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C8A95-BD1F-4A71-A42C-980ED7CD516B}" name="KPIgłownedane" cacheId="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>
  <location ref="A2:F3" firstHeaderRow="0" firstDataRow="1" firstDataCol="0"/>
  <pivotFields count="25">
    <pivotField showAll="0"/>
    <pivotField dataField="1" showAll="0"/>
    <pivotField showAll="0"/>
    <pivotField showAll="0"/>
    <pivotField showAll="0"/>
    <pivotField numFmtId="14" showAll="0">
      <items count="482">
        <item x="53"/>
        <item x="164"/>
        <item x="93"/>
        <item x="61"/>
        <item x="62"/>
        <item x="471"/>
        <item x="247"/>
        <item x="216"/>
        <item x="233"/>
        <item x="67"/>
        <item x="385"/>
        <item x="66"/>
        <item x="10"/>
        <item x="331"/>
        <item x="240"/>
        <item x="221"/>
        <item x="96"/>
        <item x="217"/>
        <item x="284"/>
        <item x="249"/>
        <item x="83"/>
        <item x="448"/>
        <item x="325"/>
        <item x="85"/>
        <item x="192"/>
        <item x="39"/>
        <item x="41"/>
        <item x="190"/>
        <item x="29"/>
        <item x="182"/>
        <item x="204"/>
        <item x="165"/>
        <item x="95"/>
        <item x="79"/>
        <item x="65"/>
        <item x="82"/>
        <item x="244"/>
        <item x="365"/>
        <item x="114"/>
        <item x="2"/>
        <item x="89"/>
        <item x="315"/>
        <item x="45"/>
        <item x="207"/>
        <item x="78"/>
        <item x="11"/>
        <item x="188"/>
        <item x="246"/>
        <item x="57"/>
        <item x="256"/>
        <item x="352"/>
        <item x="70"/>
        <item x="68"/>
        <item x="72"/>
        <item x="295"/>
        <item x="71"/>
        <item x="100"/>
        <item x="227"/>
        <item x="180"/>
        <item x="193"/>
        <item x="460"/>
        <item x="126"/>
        <item x="136"/>
        <item x="276"/>
        <item x="237"/>
        <item x="176"/>
        <item x="186"/>
        <item x="80"/>
        <item x="121"/>
        <item x="248"/>
        <item x="413"/>
        <item x="99"/>
        <item x="9"/>
        <item x="35"/>
        <item x="292"/>
        <item x="18"/>
        <item x="3"/>
        <item x="235"/>
        <item x="5"/>
        <item x="388"/>
        <item x="201"/>
        <item x="224"/>
        <item x="103"/>
        <item x="372"/>
        <item x="159"/>
        <item x="26"/>
        <item x="7"/>
        <item x="405"/>
        <item x="23"/>
        <item x="87"/>
        <item x="304"/>
        <item x="137"/>
        <item x="97"/>
        <item x="178"/>
        <item x="329"/>
        <item m="1" x="480"/>
        <item x="40"/>
        <item x="259"/>
        <item x="213"/>
        <item x="73"/>
        <item x="262"/>
        <item x="14"/>
        <item x="170"/>
        <item x="184"/>
        <item x="38"/>
        <item x="46"/>
        <item x="303"/>
        <item x="202"/>
        <item x="118"/>
        <item x="435"/>
        <item x="183"/>
        <item x="75"/>
        <item x="58"/>
        <item x="297"/>
        <item x="458"/>
        <item x="81"/>
        <item x="21"/>
        <item x="155"/>
        <item x="206"/>
        <item x="314"/>
        <item x="349"/>
        <item x="104"/>
        <item x="123"/>
        <item x="15"/>
        <item x="281"/>
        <item x="34"/>
        <item x="50"/>
        <item x="135"/>
        <item x="109"/>
        <item x="44"/>
        <item x="8"/>
        <item x="30"/>
        <item x="318"/>
        <item x="143"/>
        <item x="13"/>
        <item x="33"/>
        <item x="358"/>
        <item x="113"/>
        <item x="243"/>
        <item x="261"/>
        <item x="142"/>
        <item x="92"/>
        <item x="102"/>
        <item x="391"/>
        <item x="98"/>
        <item x="4"/>
        <item x="322"/>
        <item x="55"/>
        <item x="124"/>
        <item x="223"/>
        <item x="19"/>
        <item x="172"/>
        <item x="215"/>
        <item x="152"/>
        <item x="59"/>
        <item x="0"/>
        <item x="12"/>
        <item x="94"/>
        <item x="144"/>
        <item x="28"/>
        <item x="47"/>
        <item x="196"/>
        <item x="43"/>
        <item x="20"/>
        <item x="74"/>
        <item x="84"/>
        <item x="307"/>
        <item x="24"/>
        <item x="17"/>
        <item x="210"/>
        <item x="166"/>
        <item x="107"/>
        <item x="32"/>
        <item x="161"/>
        <item x="31"/>
        <item x="52"/>
        <item x="138"/>
        <item x="157"/>
        <item x="76"/>
        <item x="63"/>
        <item x="326"/>
        <item x="6"/>
        <item x="214"/>
        <item x="22"/>
        <item x="285"/>
        <item x="91"/>
        <item x="132"/>
        <item x="208"/>
        <item x="25"/>
        <item x="90"/>
        <item x="16"/>
        <item x="111"/>
        <item x="236"/>
        <item x="228"/>
        <item x="127"/>
        <item x="1"/>
        <item x="27"/>
        <item x="36"/>
        <item x="37"/>
        <item x="42"/>
        <item x="48"/>
        <item x="49"/>
        <item x="51"/>
        <item x="54"/>
        <item x="56"/>
        <item x="60"/>
        <item x="64"/>
        <item x="69"/>
        <item x="77"/>
        <item x="86"/>
        <item x="88"/>
        <item x="101"/>
        <item x="105"/>
        <item x="106"/>
        <item x="108"/>
        <item x="110"/>
        <item x="112"/>
        <item x="115"/>
        <item x="116"/>
        <item x="117"/>
        <item x="119"/>
        <item x="120"/>
        <item x="122"/>
        <item x="125"/>
        <item x="128"/>
        <item x="129"/>
        <item x="130"/>
        <item x="131"/>
        <item x="133"/>
        <item x="134"/>
        <item x="139"/>
        <item x="140"/>
        <item x="141"/>
        <item x="145"/>
        <item x="146"/>
        <item x="147"/>
        <item x="148"/>
        <item x="149"/>
        <item x="150"/>
        <item x="151"/>
        <item x="153"/>
        <item x="154"/>
        <item x="156"/>
        <item x="158"/>
        <item x="160"/>
        <item x="162"/>
        <item x="163"/>
        <item x="167"/>
        <item x="168"/>
        <item x="169"/>
        <item x="171"/>
        <item x="173"/>
        <item x="174"/>
        <item x="175"/>
        <item x="177"/>
        <item x="179"/>
        <item x="181"/>
        <item x="185"/>
        <item x="187"/>
        <item x="189"/>
        <item x="191"/>
        <item x="194"/>
        <item x="195"/>
        <item x="197"/>
        <item x="198"/>
        <item x="199"/>
        <item x="200"/>
        <item x="203"/>
        <item x="205"/>
        <item x="209"/>
        <item x="211"/>
        <item x="212"/>
        <item x="218"/>
        <item x="219"/>
        <item x="220"/>
        <item x="222"/>
        <item x="225"/>
        <item x="226"/>
        <item x="229"/>
        <item x="230"/>
        <item x="231"/>
        <item x="232"/>
        <item x="234"/>
        <item x="238"/>
        <item x="239"/>
        <item x="241"/>
        <item x="242"/>
        <item x="245"/>
        <item x="250"/>
        <item x="251"/>
        <item x="252"/>
        <item x="253"/>
        <item x="254"/>
        <item x="255"/>
        <item x="257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2"/>
        <item x="283"/>
        <item x="286"/>
        <item x="287"/>
        <item x="288"/>
        <item x="289"/>
        <item x="290"/>
        <item x="291"/>
        <item x="293"/>
        <item x="294"/>
        <item x="296"/>
        <item x="298"/>
        <item x="299"/>
        <item x="300"/>
        <item x="301"/>
        <item x="302"/>
        <item x="305"/>
        <item x="306"/>
        <item x="308"/>
        <item x="309"/>
        <item x="310"/>
        <item x="311"/>
        <item x="312"/>
        <item x="313"/>
        <item x="316"/>
        <item x="317"/>
        <item x="319"/>
        <item x="320"/>
        <item x="321"/>
        <item x="323"/>
        <item x="324"/>
        <item x="327"/>
        <item x="328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9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numFmtId="14" showAll="0"/>
    <pivotField showAll="0"/>
    <pivotField showAll="0"/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numFmtId="44" showAll="0"/>
    <pivotField numFmtId="44" showAll="0"/>
    <pivotField numFmtId="9" showAll="0"/>
    <pivotField dataField="1" numFmtId="44" showAll="0"/>
    <pivotField dataField="1" numFmtId="44" showAll="0"/>
    <pivotField dataField="1" numFmtId="44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REVENUE " fld="19" baseField="0" baseItem="0" numFmtId="44"/>
    <dataField name="PROFIT " fld="21" baseField="0" baseItem="0" numFmtId="44"/>
    <dataField name="QUANTITY " fld="15" baseField="0" baseItem="0"/>
    <dataField name="ORDER ID " fld="1" subtotal="count" baseField="0" baseItem="0"/>
    <dataField name="MARGIN% " fld="22" subtotal="average" baseField="0" baseItem="0" numFmtId="10"/>
    <dataField name="COST " fld="20" baseField="0" baseItem="0" numFmtId="44"/>
  </dataFields>
  <formats count="1">
    <format dxfId="2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97889-2B64-413F-85E5-EDDAAFA60224}" name="Tabela przestawna7" cacheId="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35">
  <location ref="Q11:R15" firstHeaderRow="1" firstDataRow="1" firstDataCol="1"/>
  <pivotFields count="25">
    <pivotField showAll="0"/>
    <pivotField showAll="0"/>
    <pivotField showAll="0"/>
    <pivotField showAll="0"/>
    <pivotField showAll="0"/>
    <pivotField numFmtId="14" showAll="0">
      <items count="482">
        <item x="53"/>
        <item x="164"/>
        <item x="93"/>
        <item x="61"/>
        <item x="62"/>
        <item x="471"/>
        <item x="247"/>
        <item x="216"/>
        <item x="233"/>
        <item x="67"/>
        <item x="385"/>
        <item x="66"/>
        <item x="10"/>
        <item x="331"/>
        <item x="240"/>
        <item x="221"/>
        <item x="96"/>
        <item x="217"/>
        <item x="284"/>
        <item x="249"/>
        <item x="83"/>
        <item x="448"/>
        <item x="325"/>
        <item x="85"/>
        <item x="192"/>
        <item x="39"/>
        <item x="41"/>
        <item x="190"/>
        <item x="29"/>
        <item x="182"/>
        <item x="204"/>
        <item x="165"/>
        <item x="95"/>
        <item x="79"/>
        <item x="65"/>
        <item x="82"/>
        <item x="244"/>
        <item x="365"/>
        <item x="114"/>
        <item x="2"/>
        <item x="89"/>
        <item x="315"/>
        <item x="45"/>
        <item x="207"/>
        <item x="78"/>
        <item x="11"/>
        <item x="188"/>
        <item x="246"/>
        <item x="57"/>
        <item x="256"/>
        <item x="352"/>
        <item x="70"/>
        <item x="68"/>
        <item x="72"/>
        <item x="295"/>
        <item x="71"/>
        <item x="100"/>
        <item x="227"/>
        <item x="180"/>
        <item x="193"/>
        <item x="460"/>
        <item x="126"/>
        <item x="136"/>
        <item x="276"/>
        <item x="237"/>
        <item x="176"/>
        <item x="186"/>
        <item x="80"/>
        <item x="121"/>
        <item x="248"/>
        <item x="413"/>
        <item x="99"/>
        <item x="9"/>
        <item x="35"/>
        <item x="292"/>
        <item x="18"/>
        <item x="3"/>
        <item x="235"/>
        <item x="5"/>
        <item x="388"/>
        <item x="201"/>
        <item x="224"/>
        <item x="103"/>
        <item x="372"/>
        <item x="159"/>
        <item x="26"/>
        <item x="7"/>
        <item x="405"/>
        <item x="23"/>
        <item x="87"/>
        <item x="304"/>
        <item x="137"/>
        <item x="97"/>
        <item x="178"/>
        <item x="329"/>
        <item m="1" x="480"/>
        <item x="40"/>
        <item x="259"/>
        <item x="213"/>
        <item x="73"/>
        <item x="262"/>
        <item x="14"/>
        <item x="170"/>
        <item x="184"/>
        <item x="38"/>
        <item x="46"/>
        <item x="303"/>
        <item x="202"/>
        <item x="118"/>
        <item x="435"/>
        <item x="183"/>
        <item x="75"/>
        <item x="58"/>
        <item x="297"/>
        <item x="458"/>
        <item x="81"/>
        <item x="21"/>
        <item x="155"/>
        <item x="206"/>
        <item x="314"/>
        <item x="349"/>
        <item x="104"/>
        <item x="123"/>
        <item x="15"/>
        <item x="281"/>
        <item x="34"/>
        <item x="50"/>
        <item x="135"/>
        <item x="109"/>
        <item x="44"/>
        <item x="8"/>
        <item x="30"/>
        <item x="318"/>
        <item x="143"/>
        <item x="13"/>
        <item x="33"/>
        <item x="358"/>
        <item x="113"/>
        <item x="243"/>
        <item x="261"/>
        <item x="142"/>
        <item x="92"/>
        <item x="102"/>
        <item x="391"/>
        <item x="98"/>
        <item x="4"/>
        <item x="322"/>
        <item x="55"/>
        <item x="124"/>
        <item x="223"/>
        <item x="19"/>
        <item x="172"/>
        <item x="215"/>
        <item x="152"/>
        <item x="59"/>
        <item x="0"/>
        <item x="12"/>
        <item x="94"/>
        <item x="144"/>
        <item x="28"/>
        <item x="47"/>
        <item x="196"/>
        <item x="43"/>
        <item x="20"/>
        <item x="74"/>
        <item x="84"/>
        <item x="307"/>
        <item x="24"/>
        <item x="17"/>
        <item x="210"/>
        <item x="166"/>
        <item x="107"/>
        <item x="32"/>
        <item x="161"/>
        <item x="31"/>
        <item x="52"/>
        <item x="138"/>
        <item x="157"/>
        <item x="76"/>
        <item x="63"/>
        <item x="326"/>
        <item x="6"/>
        <item x="214"/>
        <item x="22"/>
        <item x="285"/>
        <item x="91"/>
        <item x="132"/>
        <item x="208"/>
        <item x="25"/>
        <item x="90"/>
        <item x="16"/>
        <item x="111"/>
        <item x="236"/>
        <item x="228"/>
        <item x="127"/>
        <item x="1"/>
        <item x="27"/>
        <item x="36"/>
        <item x="37"/>
        <item x="42"/>
        <item x="48"/>
        <item x="49"/>
        <item x="51"/>
        <item x="54"/>
        <item x="56"/>
        <item x="60"/>
        <item x="64"/>
        <item x="69"/>
        <item x="77"/>
        <item x="86"/>
        <item x="88"/>
        <item x="101"/>
        <item x="105"/>
        <item x="106"/>
        <item x="108"/>
        <item x="110"/>
        <item x="112"/>
        <item x="115"/>
        <item x="116"/>
        <item x="117"/>
        <item x="119"/>
        <item x="120"/>
        <item x="122"/>
        <item x="125"/>
        <item x="128"/>
        <item x="129"/>
        <item x="130"/>
        <item x="131"/>
        <item x="133"/>
        <item x="134"/>
        <item x="139"/>
        <item x="140"/>
        <item x="141"/>
        <item x="145"/>
        <item x="146"/>
        <item x="147"/>
        <item x="148"/>
        <item x="149"/>
        <item x="150"/>
        <item x="151"/>
        <item x="153"/>
        <item x="154"/>
        <item x="156"/>
        <item x="158"/>
        <item x="160"/>
        <item x="162"/>
        <item x="163"/>
        <item x="167"/>
        <item x="168"/>
        <item x="169"/>
        <item x="171"/>
        <item x="173"/>
        <item x="174"/>
        <item x="175"/>
        <item x="177"/>
        <item x="179"/>
        <item x="181"/>
        <item x="185"/>
        <item x="187"/>
        <item x="189"/>
        <item x="191"/>
        <item x="194"/>
        <item x="195"/>
        <item x="197"/>
        <item x="198"/>
        <item x="199"/>
        <item x="200"/>
        <item x="203"/>
        <item x="205"/>
        <item x="209"/>
        <item x="211"/>
        <item x="212"/>
        <item x="218"/>
        <item x="219"/>
        <item x="220"/>
        <item x="222"/>
        <item x="225"/>
        <item x="226"/>
        <item x="229"/>
        <item x="230"/>
        <item x="231"/>
        <item x="232"/>
        <item x="234"/>
        <item x="238"/>
        <item x="239"/>
        <item x="241"/>
        <item x="242"/>
        <item x="245"/>
        <item x="250"/>
        <item x="251"/>
        <item x="252"/>
        <item x="253"/>
        <item x="254"/>
        <item x="255"/>
        <item x="257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2"/>
        <item x="283"/>
        <item x="286"/>
        <item x="287"/>
        <item x="288"/>
        <item x="289"/>
        <item x="290"/>
        <item x="291"/>
        <item x="293"/>
        <item x="294"/>
        <item x="296"/>
        <item x="298"/>
        <item x="299"/>
        <item x="300"/>
        <item x="301"/>
        <item x="302"/>
        <item x="305"/>
        <item x="306"/>
        <item x="308"/>
        <item x="309"/>
        <item x="310"/>
        <item x="311"/>
        <item x="312"/>
        <item x="313"/>
        <item x="316"/>
        <item x="317"/>
        <item x="319"/>
        <item x="320"/>
        <item x="321"/>
        <item x="323"/>
        <item x="324"/>
        <item x="327"/>
        <item x="328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9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numFmtId="14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9" showAll="0"/>
    <pivotField dataField="1" numFmtId="44" showAll="0">
      <items count="625">
        <item x="400"/>
        <item x="224"/>
        <item x="41"/>
        <item x="89"/>
        <item x="411"/>
        <item x="296"/>
        <item x="115"/>
        <item x="38"/>
        <item x="470"/>
        <item x="455"/>
        <item x="149"/>
        <item x="389"/>
        <item x="80"/>
        <item x="22"/>
        <item x="490"/>
        <item x="152"/>
        <item x="362"/>
        <item x="425"/>
        <item x="409"/>
        <item x="265"/>
        <item x="256"/>
        <item x="234"/>
        <item x="335"/>
        <item x="541"/>
        <item x="454"/>
        <item x="290"/>
        <item x="246"/>
        <item x="386"/>
        <item x="557"/>
        <item x="244"/>
        <item x="621"/>
        <item x="19"/>
        <item x="293"/>
        <item x="500"/>
        <item x="263"/>
        <item x="385"/>
        <item x="341"/>
        <item x="288"/>
        <item x="498"/>
        <item x="238"/>
        <item x="173"/>
        <item x="45"/>
        <item x="609"/>
        <item x="340"/>
        <item x="102"/>
        <item x="204"/>
        <item x="258"/>
        <item x="554"/>
        <item x="495"/>
        <item x="594"/>
        <item x="83"/>
        <item x="483"/>
        <item x="441"/>
        <item x="444"/>
        <item x="614"/>
        <item x="535"/>
        <item x="264"/>
        <item x="560"/>
        <item x="458"/>
        <item x="289"/>
        <item x="327"/>
        <item x="375"/>
        <item x="371"/>
        <item x="503"/>
        <item x="242"/>
        <item x="126"/>
        <item x="299"/>
        <item x="314"/>
        <item x="10"/>
        <item x="291"/>
        <item x="382"/>
        <item x="601"/>
        <item x="257"/>
        <item x="305"/>
        <item x="9"/>
        <item x="561"/>
        <item x="201"/>
        <item x="407"/>
        <item x="184"/>
        <item x="526"/>
        <item x="300"/>
        <item x="506"/>
        <item x="230"/>
        <item x="111"/>
        <item x="177"/>
        <item x="438"/>
        <item x="11"/>
        <item x="489"/>
        <item x="436"/>
        <item x="519"/>
        <item x="271"/>
        <item x="78"/>
        <item x="358"/>
        <item x="457"/>
        <item x="333"/>
        <item x="317"/>
        <item x="547"/>
        <item x="208"/>
        <item x="157"/>
        <item x="488"/>
        <item x="475"/>
        <item x="525"/>
        <item x="209"/>
        <item x="12"/>
        <item x="21"/>
        <item x="295"/>
        <item x="319"/>
        <item x="343"/>
        <item x="474"/>
        <item x="529"/>
        <item x="372"/>
        <item x="600"/>
        <item x="383"/>
        <item x="252"/>
        <item x="440"/>
        <item x="575"/>
        <item x="321"/>
        <item x="563"/>
        <item x="137"/>
        <item x="530"/>
        <item x="426"/>
        <item x="134"/>
        <item x="215"/>
        <item x="578"/>
        <item x="446"/>
        <item x="108"/>
        <item x="79"/>
        <item x="101"/>
        <item x="393"/>
        <item x="442"/>
        <item x="545"/>
        <item x="1"/>
        <item x="363"/>
        <item x="121"/>
        <item x="125"/>
        <item x="216"/>
        <item x="414"/>
        <item x="135"/>
        <item x="511"/>
        <item x="476"/>
        <item x="373"/>
        <item x="559"/>
        <item x="352"/>
        <item x="241"/>
        <item x="576"/>
        <item x="378"/>
        <item x="612"/>
        <item x="551"/>
        <item x="427"/>
        <item x="518"/>
        <item x="618"/>
        <item x="431"/>
        <item x="520"/>
        <item x="502"/>
        <item x="81"/>
        <item x="435"/>
        <item x="25"/>
        <item x="394"/>
        <item x="397"/>
        <item x="227"/>
        <item x="239"/>
        <item x="34"/>
        <item x="18"/>
        <item x="313"/>
        <item x="226"/>
        <item x="42"/>
        <item x="334"/>
        <item x="366"/>
        <item x="579"/>
        <item x="472"/>
        <item x="603"/>
        <item x="410"/>
        <item x="7"/>
        <item x="4"/>
        <item x="550"/>
        <item x="163"/>
        <item x="199"/>
        <item x="377"/>
        <item x="338"/>
        <item x="191"/>
        <item x="136"/>
        <item x="129"/>
        <item x="403"/>
        <item x="303"/>
        <item x="251"/>
        <item x="572"/>
        <item x="27"/>
        <item x="58"/>
        <item x="516"/>
        <item x="247"/>
        <item x="193"/>
        <item x="351"/>
        <item x="422"/>
        <item x="124"/>
        <item x="179"/>
        <item x="63"/>
        <item x="67"/>
        <item x="322"/>
        <item x="52"/>
        <item x="566"/>
        <item x="144"/>
        <item x="132"/>
        <item x="235"/>
        <item x="2"/>
        <item x="468"/>
        <item x="467"/>
        <item x="272"/>
        <item x="26"/>
        <item x="619"/>
        <item x="268"/>
        <item x="260"/>
        <item x="573"/>
        <item x="424"/>
        <item x="485"/>
        <item x="98"/>
        <item x="611"/>
        <item x="55"/>
        <item x="370"/>
        <item x="596"/>
        <item x="145"/>
        <item x="331"/>
        <item x="562"/>
        <item x="324"/>
        <item x="114"/>
        <item x="48"/>
        <item x="162"/>
        <item x="122"/>
        <item x="381"/>
        <item x="43"/>
        <item x="591"/>
        <item x="84"/>
        <item x="94"/>
        <item x="439"/>
        <item x="538"/>
        <item x="354"/>
        <item x="298"/>
        <item x="316"/>
        <item x="97"/>
        <item x="462"/>
        <item x="330"/>
        <item x="391"/>
        <item x="546"/>
        <item x="96"/>
        <item x="187"/>
        <item x="360"/>
        <item x="344"/>
        <item x="297"/>
        <item x="128"/>
        <item x="100"/>
        <item x="62"/>
        <item x="240"/>
        <item x="514"/>
        <item x="493"/>
        <item x="505"/>
        <item x="200"/>
        <item x="93"/>
        <item x="68"/>
        <item x="345"/>
        <item x="339"/>
        <item x="192"/>
        <item x="110"/>
        <item x="23"/>
        <item x="574"/>
        <item x="304"/>
        <item x="509"/>
        <item x="166"/>
        <item x="449"/>
        <item x="103"/>
        <item x="406"/>
        <item x="463"/>
        <item x="154"/>
        <item x="37"/>
        <item x="374"/>
        <item x="590"/>
        <item x="273"/>
        <item x="205"/>
        <item x="156"/>
        <item x="222"/>
        <item x="255"/>
        <item x="56"/>
        <item x="577"/>
        <item x="24"/>
        <item x="367"/>
        <item x="86"/>
        <item x="0"/>
        <item x="492"/>
        <item x="64"/>
        <item x="412"/>
        <item x="219"/>
        <item x="70"/>
        <item x="533"/>
        <item x="168"/>
        <item x="237"/>
        <item x="401"/>
        <item x="567"/>
        <item x="31"/>
        <item x="113"/>
        <item x="53"/>
        <item x="606"/>
        <item x="66"/>
        <item x="555"/>
        <item x="459"/>
        <item x="419"/>
        <item x="217"/>
        <item x="473"/>
        <item x="589"/>
        <item x="512"/>
        <item x="40"/>
        <item x="213"/>
        <item x="280"/>
        <item x="433"/>
        <item x="348"/>
        <item x="147"/>
        <item x="143"/>
        <item x="404"/>
        <item x="480"/>
        <item x="471"/>
        <item x="586"/>
        <item x="392"/>
        <item x="413"/>
        <item x="283"/>
        <item x="376"/>
        <item x="176"/>
        <item x="437"/>
        <item x="408"/>
        <item x="175"/>
        <item x="123"/>
        <item x="461"/>
        <item x="51"/>
        <item x="420"/>
        <item x="326"/>
        <item x="486"/>
        <item x="443"/>
        <item x="104"/>
        <item x="359"/>
        <item x="504"/>
        <item x="582"/>
        <item x="57"/>
        <item x="615"/>
        <item x="523"/>
        <item x="225"/>
        <item x="323"/>
        <item x="620"/>
        <item x="318"/>
        <item x="613"/>
        <item x="364"/>
        <item x="477"/>
        <item x="206"/>
        <item x="548"/>
        <item x="266"/>
        <item x="5"/>
        <item x="148"/>
        <item x="77"/>
        <item x="131"/>
        <item x="183"/>
        <item x="282"/>
        <item x="451"/>
        <item x="210"/>
        <item x="90"/>
        <item x="544"/>
        <item x="269"/>
        <item x="478"/>
        <item x="92"/>
        <item x="59"/>
        <item x="588"/>
        <item x="250"/>
        <item x="581"/>
        <item x="54"/>
        <item x="347"/>
        <item x="120"/>
        <item x="405"/>
        <item x="356"/>
        <item x="429"/>
        <item x="119"/>
        <item x="450"/>
        <item x="534"/>
        <item x="146"/>
        <item x="479"/>
        <item x="190"/>
        <item x="116"/>
        <item x="14"/>
        <item x="212"/>
        <item x="203"/>
        <item x="346"/>
        <item x="556"/>
        <item x="142"/>
        <item x="160"/>
        <item x="248"/>
        <item x="417"/>
        <item x="197"/>
        <item x="277"/>
        <item x="36"/>
        <item x="178"/>
        <item x="233"/>
        <item x="167"/>
        <item x="182"/>
        <item x="355"/>
        <item x="302"/>
        <item x="151"/>
        <item x="228"/>
        <item x="398"/>
        <item x="231"/>
        <item x="150"/>
        <item x="396"/>
        <item x="285"/>
        <item x="499"/>
        <item x="13"/>
        <item x="617"/>
        <item x="350"/>
        <item x="17"/>
        <item x="337"/>
        <item x="284"/>
        <item x="342"/>
        <item x="328"/>
        <item x="262"/>
        <item x="155"/>
        <item x="482"/>
        <item x="189"/>
        <item x="402"/>
        <item x="310"/>
        <item x="595"/>
        <item x="539"/>
        <item x="181"/>
        <item x="61"/>
        <item x="387"/>
        <item x="622"/>
        <item x="517"/>
        <item x="325"/>
        <item x="159"/>
        <item x="513"/>
        <item x="465"/>
        <item x="598"/>
        <item x="139"/>
        <item x="540"/>
        <item x="332"/>
        <item x="357"/>
        <item x="236"/>
        <item x="584"/>
        <item x="261"/>
        <item x="531"/>
        <item x="507"/>
        <item x="161"/>
        <item x="379"/>
        <item x="380"/>
        <item x="602"/>
        <item x="416"/>
        <item x="583"/>
        <item x="585"/>
        <item x="267"/>
        <item x="8"/>
        <item x="494"/>
        <item x="74"/>
        <item x="130"/>
        <item x="170"/>
        <item x="521"/>
        <item x="221"/>
        <item x="565"/>
        <item x="309"/>
        <item x="388"/>
        <item x="28"/>
        <item x="46"/>
        <item x="311"/>
        <item x="249"/>
        <item x="279"/>
        <item x="604"/>
        <item x="599"/>
        <item x="336"/>
        <item x="384"/>
        <item x="259"/>
        <item x="464"/>
        <item x="447"/>
        <item x="543"/>
        <item x="571"/>
        <item x="194"/>
        <item x="232"/>
        <item x="528"/>
        <item x="453"/>
        <item x="418"/>
        <item x="76"/>
        <item x="32"/>
        <item x="430"/>
        <item x="415"/>
        <item x="218"/>
        <item x="460"/>
        <item x="306"/>
        <item x="223"/>
        <item x="434"/>
        <item x="71"/>
        <item x="568"/>
        <item x="301"/>
        <item x="29"/>
        <item x="185"/>
        <item x="87"/>
        <item x="353"/>
        <item x="243"/>
        <item x="569"/>
        <item x="140"/>
        <item x="365"/>
        <item x="592"/>
        <item x="320"/>
        <item x="105"/>
        <item x="245"/>
        <item x="99"/>
        <item x="254"/>
        <item x="117"/>
        <item x="607"/>
        <item x="390"/>
        <item x="195"/>
        <item x="153"/>
        <item x="287"/>
        <item x="220"/>
        <item x="35"/>
        <item x="597"/>
        <item x="522"/>
        <item x="16"/>
        <item x="118"/>
        <item x="308"/>
        <item x="65"/>
        <item x="484"/>
        <item x="448"/>
        <item x="508"/>
        <item x="91"/>
        <item x="593"/>
        <item x="369"/>
        <item x="3"/>
        <item x="188"/>
        <item x="445"/>
        <item x="20"/>
        <item x="186"/>
        <item x="270"/>
        <item x="107"/>
        <item x="274"/>
        <item x="286"/>
        <item x="456"/>
        <item x="292"/>
        <item x="469"/>
        <item x="421"/>
        <item x="211"/>
        <item x="501"/>
        <item x="85"/>
        <item x="481"/>
        <item x="47"/>
        <item x="312"/>
        <item x="616"/>
        <item x="605"/>
        <item x="278"/>
        <item x="496"/>
        <item x="487"/>
        <item x="491"/>
        <item x="423"/>
        <item x="542"/>
        <item x="138"/>
        <item x="106"/>
        <item x="432"/>
        <item x="361"/>
        <item x="515"/>
        <item x="229"/>
        <item x="15"/>
        <item x="253"/>
        <item x="133"/>
        <item x="294"/>
        <item x="549"/>
        <item x="275"/>
        <item x="6"/>
        <item x="198"/>
        <item x="171"/>
        <item x="127"/>
        <item x="95"/>
        <item x="532"/>
        <item x="164"/>
        <item x="69"/>
        <item x="49"/>
        <item x="172"/>
        <item x="570"/>
        <item x="452"/>
        <item x="307"/>
        <item x="558"/>
        <item x="329"/>
        <item x="72"/>
        <item x="527"/>
        <item x="207"/>
        <item x="510"/>
        <item x="50"/>
        <item x="109"/>
        <item x="202"/>
        <item x="180"/>
        <item x="395"/>
        <item x="75"/>
        <item x="39"/>
        <item x="88"/>
        <item x="623"/>
        <item x="214"/>
        <item x="44"/>
        <item x="608"/>
        <item x="349"/>
        <item x="73"/>
        <item x="33"/>
        <item x="497"/>
        <item x="196"/>
        <item x="169"/>
        <item x="141"/>
        <item x="368"/>
        <item x="564"/>
        <item x="552"/>
        <item x="580"/>
        <item x="276"/>
        <item x="281"/>
        <item x="587"/>
        <item x="82"/>
        <item x="537"/>
        <item x="30"/>
        <item x="524"/>
        <item x="315"/>
        <item x="165"/>
        <item x="428"/>
        <item x="60"/>
        <item x="174"/>
        <item x="399"/>
        <item x="553"/>
        <item x="536"/>
        <item x="112"/>
        <item x="466"/>
        <item x="610"/>
        <item x="158"/>
        <item t="default"/>
      </items>
    </pivotField>
    <pivotField numFmtId="44" showAll="0"/>
    <pivotField numFmtId="4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REVENUE" fld="1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56694-30D2-4CC5-A68D-EAC47F5F0C5D}" name="best5product" cacheId="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42">
  <location ref="I1:O8" firstHeaderRow="1" firstDataRow="2" firstDataCol="1"/>
  <pivotFields count="25">
    <pivotField showAll="0"/>
    <pivotField showAll="0"/>
    <pivotField showAll="0"/>
    <pivotField showAll="0"/>
    <pivotField showAll="0"/>
    <pivotField numFmtId="14" showAll="0">
      <items count="482">
        <item x="53"/>
        <item x="164"/>
        <item x="93"/>
        <item x="61"/>
        <item x="62"/>
        <item x="471"/>
        <item x="247"/>
        <item x="216"/>
        <item x="233"/>
        <item x="67"/>
        <item x="385"/>
        <item x="66"/>
        <item x="10"/>
        <item x="331"/>
        <item x="240"/>
        <item x="221"/>
        <item x="96"/>
        <item x="217"/>
        <item x="284"/>
        <item x="249"/>
        <item x="83"/>
        <item x="448"/>
        <item x="325"/>
        <item x="85"/>
        <item x="192"/>
        <item x="39"/>
        <item x="41"/>
        <item x="190"/>
        <item x="29"/>
        <item x="182"/>
        <item x="204"/>
        <item x="165"/>
        <item x="95"/>
        <item x="79"/>
        <item x="65"/>
        <item x="82"/>
        <item x="244"/>
        <item x="365"/>
        <item x="114"/>
        <item x="2"/>
        <item x="89"/>
        <item x="315"/>
        <item x="45"/>
        <item x="207"/>
        <item x="78"/>
        <item x="11"/>
        <item x="188"/>
        <item x="246"/>
        <item x="57"/>
        <item x="256"/>
        <item x="352"/>
        <item x="70"/>
        <item x="68"/>
        <item x="72"/>
        <item x="295"/>
        <item x="71"/>
        <item x="100"/>
        <item x="227"/>
        <item x="180"/>
        <item x="193"/>
        <item x="460"/>
        <item x="126"/>
        <item x="136"/>
        <item x="276"/>
        <item x="237"/>
        <item x="176"/>
        <item x="186"/>
        <item x="80"/>
        <item x="121"/>
        <item x="248"/>
        <item x="413"/>
        <item x="99"/>
        <item x="9"/>
        <item x="35"/>
        <item x="292"/>
        <item x="18"/>
        <item x="3"/>
        <item x="235"/>
        <item x="5"/>
        <item x="388"/>
        <item x="201"/>
        <item x="224"/>
        <item x="103"/>
        <item x="372"/>
        <item x="159"/>
        <item x="26"/>
        <item x="7"/>
        <item x="405"/>
        <item x="23"/>
        <item x="87"/>
        <item x="304"/>
        <item x="137"/>
        <item x="97"/>
        <item x="178"/>
        <item x="329"/>
        <item m="1" x="480"/>
        <item x="40"/>
        <item x="259"/>
        <item x="213"/>
        <item x="73"/>
        <item x="262"/>
        <item x="14"/>
        <item x="170"/>
        <item x="184"/>
        <item x="38"/>
        <item x="46"/>
        <item x="303"/>
        <item x="202"/>
        <item x="118"/>
        <item x="435"/>
        <item x="183"/>
        <item x="75"/>
        <item x="58"/>
        <item x="297"/>
        <item x="458"/>
        <item x="81"/>
        <item x="21"/>
        <item x="155"/>
        <item x="206"/>
        <item x="314"/>
        <item x="349"/>
        <item x="104"/>
        <item x="123"/>
        <item x="15"/>
        <item x="281"/>
        <item x="34"/>
        <item x="50"/>
        <item x="135"/>
        <item x="109"/>
        <item x="44"/>
        <item x="8"/>
        <item x="30"/>
        <item x="318"/>
        <item x="143"/>
        <item x="13"/>
        <item x="33"/>
        <item x="358"/>
        <item x="113"/>
        <item x="243"/>
        <item x="261"/>
        <item x="142"/>
        <item x="92"/>
        <item x="102"/>
        <item x="391"/>
        <item x="98"/>
        <item x="4"/>
        <item x="322"/>
        <item x="55"/>
        <item x="124"/>
        <item x="223"/>
        <item x="19"/>
        <item x="172"/>
        <item x="215"/>
        <item x="152"/>
        <item x="59"/>
        <item x="0"/>
        <item x="12"/>
        <item x="94"/>
        <item x="144"/>
        <item x="28"/>
        <item x="47"/>
        <item x="196"/>
        <item x="43"/>
        <item x="20"/>
        <item x="74"/>
        <item x="84"/>
        <item x="307"/>
        <item x="24"/>
        <item x="17"/>
        <item x="210"/>
        <item x="166"/>
        <item x="107"/>
        <item x="32"/>
        <item x="161"/>
        <item x="31"/>
        <item x="52"/>
        <item x="138"/>
        <item x="157"/>
        <item x="76"/>
        <item x="63"/>
        <item x="326"/>
        <item x="6"/>
        <item x="214"/>
        <item x="22"/>
        <item x="285"/>
        <item x="91"/>
        <item x="132"/>
        <item x="208"/>
        <item x="25"/>
        <item x="90"/>
        <item x="16"/>
        <item x="111"/>
        <item x="236"/>
        <item x="228"/>
        <item x="127"/>
        <item x="1"/>
        <item x="27"/>
        <item x="36"/>
        <item x="37"/>
        <item x="42"/>
        <item x="48"/>
        <item x="49"/>
        <item x="51"/>
        <item x="54"/>
        <item x="56"/>
        <item x="60"/>
        <item x="64"/>
        <item x="69"/>
        <item x="77"/>
        <item x="86"/>
        <item x="88"/>
        <item x="101"/>
        <item x="105"/>
        <item x="106"/>
        <item x="108"/>
        <item x="110"/>
        <item x="112"/>
        <item x="115"/>
        <item x="116"/>
        <item x="117"/>
        <item x="119"/>
        <item x="120"/>
        <item x="122"/>
        <item x="125"/>
        <item x="128"/>
        <item x="129"/>
        <item x="130"/>
        <item x="131"/>
        <item x="133"/>
        <item x="134"/>
        <item x="139"/>
        <item x="140"/>
        <item x="141"/>
        <item x="145"/>
        <item x="146"/>
        <item x="147"/>
        <item x="148"/>
        <item x="149"/>
        <item x="150"/>
        <item x="151"/>
        <item x="153"/>
        <item x="154"/>
        <item x="156"/>
        <item x="158"/>
        <item x="160"/>
        <item x="162"/>
        <item x="163"/>
        <item x="167"/>
        <item x="168"/>
        <item x="169"/>
        <item x="171"/>
        <item x="173"/>
        <item x="174"/>
        <item x="175"/>
        <item x="177"/>
        <item x="179"/>
        <item x="181"/>
        <item x="185"/>
        <item x="187"/>
        <item x="189"/>
        <item x="191"/>
        <item x="194"/>
        <item x="195"/>
        <item x="197"/>
        <item x="198"/>
        <item x="199"/>
        <item x="200"/>
        <item x="203"/>
        <item x="205"/>
        <item x="209"/>
        <item x="211"/>
        <item x="212"/>
        <item x="218"/>
        <item x="219"/>
        <item x="220"/>
        <item x="222"/>
        <item x="225"/>
        <item x="226"/>
        <item x="229"/>
        <item x="230"/>
        <item x="231"/>
        <item x="232"/>
        <item x="234"/>
        <item x="238"/>
        <item x="239"/>
        <item x="241"/>
        <item x="242"/>
        <item x="245"/>
        <item x="250"/>
        <item x="251"/>
        <item x="252"/>
        <item x="253"/>
        <item x="254"/>
        <item x="255"/>
        <item x="257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2"/>
        <item x="283"/>
        <item x="286"/>
        <item x="287"/>
        <item x="288"/>
        <item x="289"/>
        <item x="290"/>
        <item x="291"/>
        <item x="293"/>
        <item x="294"/>
        <item x="296"/>
        <item x="298"/>
        <item x="299"/>
        <item x="300"/>
        <item x="301"/>
        <item x="302"/>
        <item x="305"/>
        <item x="306"/>
        <item x="308"/>
        <item x="309"/>
        <item x="310"/>
        <item x="311"/>
        <item x="312"/>
        <item x="313"/>
        <item x="316"/>
        <item x="317"/>
        <item x="319"/>
        <item x="320"/>
        <item x="321"/>
        <item x="323"/>
        <item x="324"/>
        <item x="327"/>
        <item x="328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9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numFmtId="14" showAll="0"/>
    <pivotField showAll="0"/>
    <pivotField showAll="0"/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Row" showAll="0" measureFilter="1">
      <items count="21">
        <item x="3"/>
        <item x="13"/>
        <item x="5"/>
        <item x="8"/>
        <item x="12"/>
        <item x="4"/>
        <item x="7"/>
        <item x="17"/>
        <item x="6"/>
        <item x="19"/>
        <item x="15"/>
        <item x="18"/>
        <item x="0"/>
        <item x="16"/>
        <item x="2"/>
        <item x="10"/>
        <item x="11"/>
        <item x="14"/>
        <item x="9"/>
        <item x="1"/>
        <item t="default"/>
      </items>
    </pivotField>
    <pivotField showAll="0"/>
    <pivotField showAll="0"/>
    <pivotField showAll="0"/>
    <pivotField numFmtId="44" showAll="0"/>
    <pivotField numFmtId="44" showAll="0"/>
    <pivotField numFmtId="9" showAll="0"/>
    <pivotField dataField="1" numFmtId="44" showAll="0"/>
    <pivotField numFmtId="44" showAll="0"/>
    <pivotField numFmtId="4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12"/>
  </rowFields>
  <rowItems count="6">
    <i>
      <x v="2"/>
    </i>
    <i>
      <x v="7"/>
    </i>
    <i>
      <x v="9"/>
    </i>
    <i>
      <x v="15"/>
    </i>
    <i>
      <x v="16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REVENUE" fld="19" baseField="0" baseItem="0" numFmtId="44"/>
  </dataFields>
  <chartFormats count="18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9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9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9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9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0C998-6D16-4358-B94F-B704439DC722}" name="teamRPO" cacheId="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7">
  <location ref="Q1:T8" firstHeaderRow="0" firstDataRow="1" firstDataCol="1"/>
  <pivotFields count="25">
    <pivotField showAll="0"/>
    <pivotField dataField="1" showAll="0"/>
    <pivotField showAll="0"/>
    <pivotField showAll="0"/>
    <pivotField showAll="0"/>
    <pivotField numFmtId="14" showAll="0">
      <items count="482">
        <item x="53"/>
        <item x="164"/>
        <item x="93"/>
        <item x="61"/>
        <item x="62"/>
        <item x="471"/>
        <item x="247"/>
        <item x="216"/>
        <item x="233"/>
        <item x="67"/>
        <item x="385"/>
        <item x="66"/>
        <item x="10"/>
        <item x="331"/>
        <item x="240"/>
        <item x="221"/>
        <item x="96"/>
        <item x="217"/>
        <item x="284"/>
        <item x="249"/>
        <item x="83"/>
        <item x="448"/>
        <item x="325"/>
        <item x="85"/>
        <item x="192"/>
        <item x="39"/>
        <item x="41"/>
        <item x="190"/>
        <item x="29"/>
        <item x="182"/>
        <item x="204"/>
        <item x="165"/>
        <item x="95"/>
        <item x="79"/>
        <item x="65"/>
        <item x="82"/>
        <item x="244"/>
        <item x="365"/>
        <item x="114"/>
        <item x="2"/>
        <item x="89"/>
        <item x="315"/>
        <item x="45"/>
        <item x="207"/>
        <item x="78"/>
        <item x="11"/>
        <item x="188"/>
        <item x="246"/>
        <item x="57"/>
        <item x="256"/>
        <item x="352"/>
        <item x="70"/>
        <item x="68"/>
        <item x="72"/>
        <item x="295"/>
        <item x="71"/>
        <item x="100"/>
        <item x="227"/>
        <item x="180"/>
        <item x="193"/>
        <item x="460"/>
        <item x="126"/>
        <item x="136"/>
        <item x="276"/>
        <item x="237"/>
        <item x="176"/>
        <item x="186"/>
        <item x="80"/>
        <item x="121"/>
        <item x="248"/>
        <item x="413"/>
        <item x="99"/>
        <item x="9"/>
        <item x="35"/>
        <item x="292"/>
        <item x="18"/>
        <item x="3"/>
        <item x="235"/>
        <item x="5"/>
        <item x="388"/>
        <item x="201"/>
        <item x="224"/>
        <item x="103"/>
        <item x="372"/>
        <item x="159"/>
        <item x="26"/>
        <item x="7"/>
        <item x="405"/>
        <item x="23"/>
        <item x="87"/>
        <item x="304"/>
        <item x="137"/>
        <item x="97"/>
        <item x="178"/>
        <item x="329"/>
        <item m="1" x="480"/>
        <item x="40"/>
        <item x="259"/>
        <item x="213"/>
        <item x="73"/>
        <item x="262"/>
        <item x="14"/>
        <item x="170"/>
        <item x="184"/>
        <item x="38"/>
        <item x="46"/>
        <item x="303"/>
        <item x="202"/>
        <item x="118"/>
        <item x="435"/>
        <item x="183"/>
        <item x="75"/>
        <item x="58"/>
        <item x="297"/>
        <item x="458"/>
        <item x="81"/>
        <item x="21"/>
        <item x="155"/>
        <item x="206"/>
        <item x="314"/>
        <item x="349"/>
        <item x="104"/>
        <item x="123"/>
        <item x="15"/>
        <item x="281"/>
        <item x="34"/>
        <item x="50"/>
        <item x="135"/>
        <item x="109"/>
        <item x="44"/>
        <item x="8"/>
        <item x="30"/>
        <item x="318"/>
        <item x="143"/>
        <item x="13"/>
        <item x="33"/>
        <item x="358"/>
        <item x="113"/>
        <item x="243"/>
        <item x="261"/>
        <item x="142"/>
        <item x="92"/>
        <item x="102"/>
        <item x="391"/>
        <item x="98"/>
        <item x="4"/>
        <item x="322"/>
        <item x="55"/>
        <item x="124"/>
        <item x="223"/>
        <item x="19"/>
        <item x="172"/>
        <item x="215"/>
        <item x="152"/>
        <item x="59"/>
        <item x="0"/>
        <item x="12"/>
        <item x="94"/>
        <item x="144"/>
        <item x="28"/>
        <item x="47"/>
        <item x="196"/>
        <item x="43"/>
        <item x="20"/>
        <item x="74"/>
        <item x="84"/>
        <item x="307"/>
        <item x="24"/>
        <item x="17"/>
        <item x="210"/>
        <item x="166"/>
        <item x="107"/>
        <item x="32"/>
        <item x="161"/>
        <item x="31"/>
        <item x="52"/>
        <item x="138"/>
        <item x="157"/>
        <item x="76"/>
        <item x="63"/>
        <item x="326"/>
        <item x="6"/>
        <item x="214"/>
        <item x="22"/>
        <item x="285"/>
        <item x="91"/>
        <item x="132"/>
        <item x="208"/>
        <item x="25"/>
        <item x="90"/>
        <item x="16"/>
        <item x="111"/>
        <item x="236"/>
        <item x="228"/>
        <item x="127"/>
        <item x="1"/>
        <item x="27"/>
        <item x="36"/>
        <item x="37"/>
        <item x="42"/>
        <item x="48"/>
        <item x="49"/>
        <item x="51"/>
        <item x="54"/>
        <item x="56"/>
        <item x="60"/>
        <item x="64"/>
        <item x="69"/>
        <item x="77"/>
        <item x="86"/>
        <item x="88"/>
        <item x="101"/>
        <item x="105"/>
        <item x="106"/>
        <item x="108"/>
        <item x="110"/>
        <item x="112"/>
        <item x="115"/>
        <item x="116"/>
        <item x="117"/>
        <item x="119"/>
        <item x="120"/>
        <item x="122"/>
        <item x="125"/>
        <item x="128"/>
        <item x="129"/>
        <item x="130"/>
        <item x="131"/>
        <item x="133"/>
        <item x="134"/>
        <item x="139"/>
        <item x="140"/>
        <item x="141"/>
        <item x="145"/>
        <item x="146"/>
        <item x="147"/>
        <item x="148"/>
        <item x="149"/>
        <item x="150"/>
        <item x="151"/>
        <item x="153"/>
        <item x="154"/>
        <item x="156"/>
        <item x="158"/>
        <item x="160"/>
        <item x="162"/>
        <item x="163"/>
        <item x="167"/>
        <item x="168"/>
        <item x="169"/>
        <item x="171"/>
        <item x="173"/>
        <item x="174"/>
        <item x="175"/>
        <item x="177"/>
        <item x="179"/>
        <item x="181"/>
        <item x="185"/>
        <item x="187"/>
        <item x="189"/>
        <item x="191"/>
        <item x="194"/>
        <item x="195"/>
        <item x="197"/>
        <item x="198"/>
        <item x="199"/>
        <item x="200"/>
        <item x="203"/>
        <item x="205"/>
        <item x="209"/>
        <item x="211"/>
        <item x="212"/>
        <item x="218"/>
        <item x="219"/>
        <item x="220"/>
        <item x="222"/>
        <item x="225"/>
        <item x="226"/>
        <item x="229"/>
        <item x="230"/>
        <item x="231"/>
        <item x="232"/>
        <item x="234"/>
        <item x="238"/>
        <item x="239"/>
        <item x="241"/>
        <item x="242"/>
        <item x="245"/>
        <item x="250"/>
        <item x="251"/>
        <item x="252"/>
        <item x="253"/>
        <item x="254"/>
        <item x="255"/>
        <item x="257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2"/>
        <item x="283"/>
        <item x="286"/>
        <item x="287"/>
        <item x="288"/>
        <item x="289"/>
        <item x="290"/>
        <item x="291"/>
        <item x="293"/>
        <item x="294"/>
        <item x="296"/>
        <item x="298"/>
        <item x="299"/>
        <item x="300"/>
        <item x="301"/>
        <item x="302"/>
        <item x="305"/>
        <item x="306"/>
        <item x="308"/>
        <item x="309"/>
        <item x="310"/>
        <item x="311"/>
        <item x="312"/>
        <item x="313"/>
        <item x="316"/>
        <item x="317"/>
        <item x="319"/>
        <item x="320"/>
        <item x="321"/>
        <item x="323"/>
        <item x="324"/>
        <item x="327"/>
        <item x="328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9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numFmtId="14" showAll="0"/>
    <pivotField showAll="0"/>
    <pivotField showAll="0"/>
    <pivotField axis="axisRow" showAll="0">
      <items count="4">
        <item h="1" x="2"/>
        <item h="1" x="1"/>
        <item x="0"/>
        <item t="default"/>
      </items>
    </pivotField>
    <pivotField axis="axisRow" showAll="0" sortType="descending">
      <items count="6"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numFmtId="9" showAll="0"/>
    <pivotField dataField="1" numFmtId="44" showAll="0"/>
    <pivotField numFmtId="44" showAll="0"/>
    <pivotField dataField="1" numFmtId="4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sd="0" x="1"/>
        <item sd="0" x="2"/>
        <item sd="0" x="3"/>
        <item x="0"/>
        <item x="4"/>
        <item t="default"/>
      </items>
    </pivotField>
  </pivotFields>
  <rowFields count="2">
    <field x="10"/>
    <field x="11"/>
  </rowFields>
  <rowItems count="7">
    <i>
      <x v="2"/>
    </i>
    <i r="1">
      <x/>
    </i>
    <i r="1">
      <x v="1"/>
    </i>
    <i r="1">
      <x v="2"/>
    </i>
    <i r="1">
      <x v="4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REVENUE" fld="19" baseField="0" baseItem="0" numFmtId="44"/>
    <dataField name="Suma z PROFIT" fld="21" baseField="0" baseItem="0" numFmtId="44"/>
    <dataField name="Liczba z ORDER ID" fld="1" subtotal="count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2FFB6-E41E-4BFE-87D8-CC5F3DC02744}" name="temavschannel" cacheId="0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 chartFormat="36">
  <location ref="A2:G7" firstHeaderRow="1" firstDataRow="2" firstDataCol="1"/>
  <pivotFields count="25">
    <pivotField showAll="0"/>
    <pivotField showAll="0"/>
    <pivotField showAll="0"/>
    <pivotField showAll="0"/>
    <pivotField showAll="0"/>
    <pivotField numFmtId="14" showAll="0">
      <items count="482">
        <item x="53"/>
        <item x="164"/>
        <item x="93"/>
        <item x="61"/>
        <item x="62"/>
        <item x="471"/>
        <item x="247"/>
        <item x="216"/>
        <item x="233"/>
        <item x="67"/>
        <item x="385"/>
        <item x="66"/>
        <item x="10"/>
        <item x="331"/>
        <item x="240"/>
        <item x="221"/>
        <item x="96"/>
        <item x="217"/>
        <item x="284"/>
        <item x="249"/>
        <item x="83"/>
        <item x="448"/>
        <item x="325"/>
        <item x="85"/>
        <item x="192"/>
        <item x="39"/>
        <item x="41"/>
        <item x="190"/>
        <item x="29"/>
        <item x="182"/>
        <item x="204"/>
        <item x="165"/>
        <item x="95"/>
        <item x="79"/>
        <item x="65"/>
        <item x="82"/>
        <item x="244"/>
        <item x="365"/>
        <item x="114"/>
        <item x="2"/>
        <item x="89"/>
        <item x="315"/>
        <item x="45"/>
        <item x="207"/>
        <item x="78"/>
        <item x="11"/>
        <item x="188"/>
        <item x="246"/>
        <item x="57"/>
        <item x="256"/>
        <item x="352"/>
        <item x="70"/>
        <item x="68"/>
        <item x="72"/>
        <item x="295"/>
        <item x="71"/>
        <item x="100"/>
        <item x="227"/>
        <item x="180"/>
        <item x="193"/>
        <item x="460"/>
        <item x="126"/>
        <item x="136"/>
        <item x="276"/>
        <item x="237"/>
        <item x="176"/>
        <item x="186"/>
        <item x="80"/>
        <item x="121"/>
        <item x="248"/>
        <item x="413"/>
        <item x="99"/>
        <item x="9"/>
        <item x="35"/>
        <item x="292"/>
        <item x="18"/>
        <item x="3"/>
        <item x="235"/>
        <item x="5"/>
        <item x="388"/>
        <item x="201"/>
        <item x="224"/>
        <item x="103"/>
        <item x="372"/>
        <item x="159"/>
        <item x="26"/>
        <item x="7"/>
        <item x="405"/>
        <item x="23"/>
        <item x="87"/>
        <item x="304"/>
        <item x="137"/>
        <item x="97"/>
        <item x="178"/>
        <item x="329"/>
        <item m="1" x="480"/>
        <item x="40"/>
        <item x="259"/>
        <item x="213"/>
        <item x="73"/>
        <item x="262"/>
        <item x="14"/>
        <item x="170"/>
        <item x="184"/>
        <item x="38"/>
        <item x="46"/>
        <item x="303"/>
        <item x="202"/>
        <item x="118"/>
        <item x="435"/>
        <item x="183"/>
        <item x="75"/>
        <item x="58"/>
        <item x="297"/>
        <item x="458"/>
        <item x="81"/>
        <item x="21"/>
        <item x="155"/>
        <item x="206"/>
        <item x="314"/>
        <item x="349"/>
        <item x="104"/>
        <item x="123"/>
        <item x="15"/>
        <item x="281"/>
        <item x="34"/>
        <item x="50"/>
        <item x="135"/>
        <item x="109"/>
        <item x="44"/>
        <item x="8"/>
        <item x="30"/>
        <item x="318"/>
        <item x="143"/>
        <item x="13"/>
        <item x="33"/>
        <item x="358"/>
        <item x="113"/>
        <item x="243"/>
        <item x="261"/>
        <item x="142"/>
        <item x="92"/>
        <item x="102"/>
        <item x="391"/>
        <item x="98"/>
        <item x="4"/>
        <item x="322"/>
        <item x="55"/>
        <item x="124"/>
        <item x="223"/>
        <item x="19"/>
        <item x="172"/>
        <item x="215"/>
        <item x="152"/>
        <item x="59"/>
        <item x="0"/>
        <item x="12"/>
        <item x="94"/>
        <item x="144"/>
        <item x="28"/>
        <item x="47"/>
        <item x="196"/>
        <item x="43"/>
        <item x="20"/>
        <item x="74"/>
        <item x="84"/>
        <item x="307"/>
        <item x="24"/>
        <item x="17"/>
        <item x="210"/>
        <item x="166"/>
        <item x="107"/>
        <item x="32"/>
        <item x="161"/>
        <item x="31"/>
        <item x="52"/>
        <item x="138"/>
        <item x="157"/>
        <item x="76"/>
        <item x="63"/>
        <item x="326"/>
        <item x="6"/>
        <item x="214"/>
        <item x="22"/>
        <item x="285"/>
        <item x="91"/>
        <item x="132"/>
        <item x="208"/>
        <item x="25"/>
        <item x="90"/>
        <item x="16"/>
        <item x="111"/>
        <item x="236"/>
        <item x="228"/>
        <item x="127"/>
        <item x="1"/>
        <item x="27"/>
        <item x="36"/>
        <item x="37"/>
        <item x="42"/>
        <item x="48"/>
        <item x="49"/>
        <item x="51"/>
        <item x="54"/>
        <item x="56"/>
        <item x="60"/>
        <item x="64"/>
        <item x="69"/>
        <item x="77"/>
        <item x="86"/>
        <item x="88"/>
        <item x="101"/>
        <item x="105"/>
        <item x="106"/>
        <item x="108"/>
        <item x="110"/>
        <item x="112"/>
        <item x="115"/>
        <item x="116"/>
        <item x="117"/>
        <item x="119"/>
        <item x="120"/>
        <item x="122"/>
        <item x="125"/>
        <item x="128"/>
        <item x="129"/>
        <item x="130"/>
        <item x="131"/>
        <item x="133"/>
        <item x="134"/>
        <item x="139"/>
        <item x="140"/>
        <item x="141"/>
        <item x="145"/>
        <item x="146"/>
        <item x="147"/>
        <item x="148"/>
        <item x="149"/>
        <item x="150"/>
        <item x="151"/>
        <item x="153"/>
        <item x="154"/>
        <item x="156"/>
        <item x="158"/>
        <item x="160"/>
        <item x="162"/>
        <item x="163"/>
        <item x="167"/>
        <item x="168"/>
        <item x="169"/>
        <item x="171"/>
        <item x="173"/>
        <item x="174"/>
        <item x="175"/>
        <item x="177"/>
        <item x="179"/>
        <item x="181"/>
        <item x="185"/>
        <item x="187"/>
        <item x="189"/>
        <item x="191"/>
        <item x="194"/>
        <item x="195"/>
        <item x="197"/>
        <item x="198"/>
        <item x="199"/>
        <item x="200"/>
        <item x="203"/>
        <item x="205"/>
        <item x="209"/>
        <item x="211"/>
        <item x="212"/>
        <item x="218"/>
        <item x="219"/>
        <item x="220"/>
        <item x="222"/>
        <item x="225"/>
        <item x="226"/>
        <item x="229"/>
        <item x="230"/>
        <item x="231"/>
        <item x="232"/>
        <item x="234"/>
        <item x="238"/>
        <item x="239"/>
        <item x="241"/>
        <item x="242"/>
        <item x="245"/>
        <item x="250"/>
        <item x="251"/>
        <item x="252"/>
        <item x="253"/>
        <item x="254"/>
        <item x="255"/>
        <item x="257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2"/>
        <item x="283"/>
        <item x="286"/>
        <item x="287"/>
        <item x="288"/>
        <item x="289"/>
        <item x="290"/>
        <item x="291"/>
        <item x="293"/>
        <item x="294"/>
        <item x="296"/>
        <item x="298"/>
        <item x="299"/>
        <item x="300"/>
        <item x="301"/>
        <item x="302"/>
        <item x="305"/>
        <item x="306"/>
        <item x="308"/>
        <item x="309"/>
        <item x="310"/>
        <item x="311"/>
        <item x="312"/>
        <item x="313"/>
        <item x="316"/>
        <item x="317"/>
        <item x="319"/>
        <item x="320"/>
        <item x="321"/>
        <item x="323"/>
        <item x="324"/>
        <item x="327"/>
        <item x="328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9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5"/>
        <item x="456"/>
        <item x="457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t="default"/>
      </items>
    </pivotField>
    <pivotField numFmtId="14" showAll="0"/>
    <pivotField numFmtId="14"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9" showAll="0"/>
    <pivotField dataField="1" numFmtId="44" showAll="0"/>
    <pivotField numFmtId="44" showAll="0"/>
    <pivotField numFmtId="4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sd="0" x="1"/>
        <item sd="0" x="2"/>
        <item sd="0" x="3"/>
        <item x="0"/>
        <item x="4"/>
        <item t="default"/>
      </items>
    </pivotField>
  </pivotFields>
  <rowFields count="1">
    <field x="10"/>
  </rowFields>
  <rowItems count="4">
    <i>
      <x v="1"/>
    </i>
    <i>
      <x v="2"/>
    </i>
    <i>
      <x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REVENUE" fld="19" baseField="0" baseItem="0" numFmtId="44"/>
  </dataFields>
  <chartFormats count="18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4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4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4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4" format="2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A822384-6A65-4C85-8DFC-DF877F421228}" autoFormatId="16" applyNumberFormats="0" applyBorderFormats="0" applyFontFormats="0" applyPatternFormats="0" applyAlignmentFormats="0" applyWidthHeightFormats="0">
  <queryTableRefresh nextId="24">
    <queryTableFields count="23">
      <queryTableField id="1" name="ORDER LINE ID" tableColumnId="1"/>
      <queryTableField id="2" name="ORDER ID" tableColumnId="2"/>
      <queryTableField id="3" name="CUSTOMER ID" tableColumnId="3"/>
      <queryTableField id="4" name="STORE ID" tableColumnId="4"/>
      <queryTableField id="5" name="PRODUCT ID" tableColumnId="5"/>
      <queryTableField id="6" name="ORDER DATE" tableColumnId="6"/>
      <queryTableField id="7" name="SHIP DATE" tableColumnId="7"/>
      <queryTableField id="8" name="DELIVER DATE" tableColumnId="8"/>
      <queryTableField id="9" name="CUSTOMER SEGMENT" tableColumnId="9"/>
      <queryTableField id="10" name="REGION" tableColumnId="10"/>
      <queryTableField id="11" name="SALES CHANNEL" tableColumnId="11"/>
      <queryTableField id="12" name="SALES TEAM" tableColumnId="12"/>
      <queryTableField id="13" name="PRODUCT NAME" tableColumnId="13"/>
      <queryTableField id="14" name="CATEGORY" tableColumnId="14"/>
      <queryTableField id="15" name="SUBCATEGORY" tableColumnId="15"/>
      <queryTableField id="16" name="QUANTITY" tableColumnId="16"/>
      <queryTableField id="17" name="UNIT COST" tableColumnId="17"/>
      <queryTableField id="18" name="UNIT PRICE" tableColumnId="18"/>
      <queryTableField id="19" name="DISCOUNT%" tableColumnId="19"/>
      <queryTableField id="20" name="REVENUE" tableColumnId="20"/>
      <queryTableField id="21" name="COST" tableColumnId="21"/>
      <queryTableField id="22" name="PROFIT" tableColumnId="22"/>
      <queryTableField id="23" name="MARGIN%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ALES_TEAM" xr10:uid="{FD52F32A-1E65-4A40-85C8-75254730D27F}" sourceName="SALES TEAM">
  <pivotTables>
    <pivotTable tabId="37" name="temavschannel"/>
    <pivotTable tabId="37" name="teamRPO"/>
    <pivotTable tabId="37" name="best5product"/>
    <pivotTable tabId="35" name="KPIgłownedane"/>
    <pivotTable tabId="35" name="wzrost"/>
    <pivotTable tabId="37" name="Tabela przestawna7"/>
  </pivotTables>
  <data>
    <tabular pivotCacheId="1991834080">
      <items count="5">
        <i x="4" s="1"/>
        <i x="2" s="1"/>
        <i x="1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TEAM 2" xr10:uid="{C1A19B05-F66B-440A-826C-431B26470B07}" cache="Fragmentator_SALES_TEAM" caption="SALES TEAM" style="SlicerStyleLight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TEAM" xr10:uid="{2E448AC8-D8FC-49F3-A85C-48C877A6F342}" cache="Fragmentator_SALES_TEAM" caption="SALES TEAM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TEAM 1" xr10:uid="{ABAC081A-C69E-47F0-9C7D-2E29156525D9}" cache="Fragmentator_SALES_TEAM" caption="SALES TEAM" style="SlicerStyleLight3" lockedPosition="1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C71DF6-B55C-4716-AFCD-33B46CCFAACF}" name="raw_data" displayName="raw_data" ref="A1:S723" totalsRowShown="0" headerRowDxfId="45" dataDxfId="44">
  <autoFilter ref="A1:S723" xr:uid="{7DC71DF6-B55C-4716-AFCD-33B46CCFAACF}"/>
  <tableColumns count="19">
    <tableColumn id="1" xr3:uid="{2A1EF97E-AC8E-47D0-AD92-BE2B80D0ABE7}" name="ORDER LINE ID" dataDxfId="43"/>
    <tableColumn id="2" xr3:uid="{32E69B1C-3D26-429C-96AB-8826CCAD381D}" name="ORDER ID" dataDxfId="42"/>
    <tableColumn id="3" xr3:uid="{A64BAD33-C35E-4B80-9450-1A4BCBA011EC}" name="CUSTOMER ID" dataDxfId="41"/>
    <tableColumn id="4" xr3:uid="{63AEDFFB-1377-4A95-8259-3F9FB9F553EC}" name="STORE ID" dataDxfId="40"/>
    <tableColumn id="5" xr3:uid="{1793E50F-119C-4C76-8390-54B135F959F6}" name="PRODUCT ID" dataDxfId="39"/>
    <tableColumn id="6" xr3:uid="{48ED34C6-418F-474D-BE6B-7D51D20FF002}" name="ORDER DATE" dataDxfId="38"/>
    <tableColumn id="7" xr3:uid="{CF06DD55-7989-45D5-8F67-A83B1411087C}" name="SHIP DATE" dataDxfId="37"/>
    <tableColumn id="8" xr3:uid="{C40025A4-CCF3-4574-BBD7-85B567A1BE7E}" name="DELIVER DATE" dataDxfId="36"/>
    <tableColumn id="9" xr3:uid="{79C54762-3D4F-46E7-ABEA-2356F54DE37E}" name="CUSTOMER SEGMENT" dataDxfId="35"/>
    <tableColumn id="10" xr3:uid="{915143B9-930E-4C3B-BB3D-553696773923}" name="REGION" dataDxfId="34"/>
    <tableColumn id="11" xr3:uid="{4791D6D5-3EB4-4733-B040-AE1EDA41DD1A}" name="SALES CHANNEL" dataDxfId="33"/>
    <tableColumn id="12" xr3:uid="{BE9F3147-14DC-4043-A2F6-D7CB76F7F6AC}" name="SALES TEAM" dataDxfId="32"/>
    <tableColumn id="13" xr3:uid="{02AE6269-4021-426F-86E1-991EFD6A75F2}" name="PRODUCT NAME" dataDxfId="31"/>
    <tableColumn id="14" xr3:uid="{5BECAE96-E8D5-4C45-A42E-FB0DC2E8F692}" name="CATEGORY" dataDxfId="30"/>
    <tableColumn id="15" xr3:uid="{1FBCD18B-52FF-412D-9641-1B17FA744BA8}" name="SUBCATEGORY" dataDxfId="29"/>
    <tableColumn id="16" xr3:uid="{C84C0760-560A-415E-ADE1-06ADA310D880}" name="QUANTITY" dataDxfId="28"/>
    <tableColumn id="17" xr3:uid="{2D5BD1CB-9A33-4DF9-898A-BC33ED168893}" name="UNIT COST" dataDxfId="27"/>
    <tableColumn id="18" xr3:uid="{D30028C0-51E6-4F10-BEF8-1CEFF903D398}" name="UNIT PRICE" dataDxfId="26"/>
    <tableColumn id="19" xr3:uid="{A2589248-798E-48B4-A3E3-B39BCF54D9EF}" name="DISCOUNT%" data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CF94BD-0011-423B-AEAF-9A0C99D1A88F}" name="clean_data" displayName="clean_data" ref="A1:W701" tableType="queryTable" totalsRowShown="0" headerRowDxfId="24">
  <autoFilter ref="A1:W701" xr:uid="{C4CF94BD-0011-423B-AEAF-9A0C99D1A88F}"/>
  <tableColumns count="23">
    <tableColumn id="1" xr3:uid="{044E8EBC-5615-4454-AF83-6DAA44801F13}" uniqueName="1" name="ORDER LINE ID" queryTableFieldId="1" dataDxfId="22"/>
    <tableColumn id="2" xr3:uid="{D6434AF1-AD4D-40AB-8530-5115141A0BC0}" uniqueName="2" name="ORDER ID" queryTableFieldId="2" dataDxfId="21"/>
    <tableColumn id="3" xr3:uid="{8CBC5A1D-1062-4E17-9FEA-C1FD597E8538}" uniqueName="3" name="CUSTOMER ID" queryTableFieldId="3" dataDxfId="20"/>
    <tableColumn id="4" xr3:uid="{EEAC8FF8-BDA9-4468-99AA-A421EC79D39B}" uniqueName="4" name="STORE ID" queryTableFieldId="4" dataDxfId="19"/>
    <tableColumn id="5" xr3:uid="{966028EA-2D69-49DF-AAF4-1E8B6BC75D4F}" uniqueName="5" name="PRODUCT ID" queryTableFieldId="5" dataDxfId="18"/>
    <tableColumn id="6" xr3:uid="{E490957B-E3EB-49CC-B183-FB9134FDAC45}" uniqueName="6" name="ORDER DATE" queryTableFieldId="6" dataDxfId="17"/>
    <tableColumn id="7" xr3:uid="{6B3F8CEC-B48B-408C-A789-1326212EF8D9}" uniqueName="7" name="SHIP DATE" queryTableFieldId="7" dataDxfId="16"/>
    <tableColumn id="8" xr3:uid="{ED98290E-810A-4038-B60E-489FAA04DACA}" uniqueName="8" name="DELIVER DATE" queryTableFieldId="8" dataDxfId="15"/>
    <tableColumn id="9" xr3:uid="{EA66B4F7-1D6E-4399-B131-F5F652BEA14B}" uniqueName="9" name="CUSTOMER SEGMENT" queryTableFieldId="9" dataDxfId="14"/>
    <tableColumn id="10" xr3:uid="{A598316E-2B98-437B-8E0F-5FC1F5A9EE13}" uniqueName="10" name="REGION" queryTableFieldId="10" dataDxfId="13"/>
    <tableColumn id="11" xr3:uid="{9F9B757B-FCB2-44E6-8401-BA8772976CE8}" uniqueName="11" name="SALES CHANNEL" queryTableFieldId="11" dataDxfId="12"/>
    <tableColumn id="12" xr3:uid="{8AF44394-1687-4A3F-B544-B2BD26003E4B}" uniqueName="12" name="SALES TEAM" queryTableFieldId="12" dataDxfId="11"/>
    <tableColumn id="13" xr3:uid="{F08D012E-36D2-4C65-B66F-6AE915094883}" uniqueName="13" name="PRODUCT NAME" queryTableFieldId="13" dataDxfId="10"/>
    <tableColumn id="14" xr3:uid="{18F120DA-76E7-460B-AEFF-B1EC3C6ED063}" uniqueName="14" name="CATEGORY" queryTableFieldId="14" dataDxfId="9"/>
    <tableColumn id="15" xr3:uid="{65171EF8-CC65-4D25-8BEA-8A32DC521B69}" uniqueName="15" name="SUBCATEGORY" queryTableFieldId="15" dataDxfId="8"/>
    <tableColumn id="16" xr3:uid="{FF81CA2C-4578-49E1-B854-631C32B6CFF4}" uniqueName="16" name="QUANTITY" queryTableFieldId="16" dataDxfId="7"/>
    <tableColumn id="17" xr3:uid="{32DE04C2-3A76-4C75-86A9-4C54DBBA44C1}" uniqueName="17" name="UNIT COST" queryTableFieldId="17" dataDxfId="6" dataCellStyle="Walutowy"/>
    <tableColumn id="18" xr3:uid="{A3DB7EC5-08AB-4CCD-B41F-D097D239C990}" uniqueName="18" name="UNIT PRICE" queryTableFieldId="18" dataDxfId="5" dataCellStyle="Walutowy"/>
    <tableColumn id="19" xr3:uid="{A0E06A85-5D61-4723-8C83-1C691949FA60}" uniqueName="19" name="DISCOUNT%" queryTableFieldId="19" dataDxfId="4" dataCellStyle="Procentowy"/>
    <tableColumn id="20" xr3:uid="{768C865E-29B2-4A77-8AF8-D44B4B0EF2CA}" uniqueName="20" name="REVENUE" queryTableFieldId="20" dataDxfId="3" dataCellStyle="Walutowy"/>
    <tableColumn id="21" xr3:uid="{DE4B96C2-CC98-4800-9673-6B6D03532CDD}" uniqueName="21" name="COST" queryTableFieldId="21" dataDxfId="2" dataCellStyle="Walutowy"/>
    <tableColumn id="22" xr3:uid="{834F93E2-76A2-4936-81F0-DEEC85DC80B9}" uniqueName="22" name="PROFIT" queryTableFieldId="22" dataDxfId="1" dataCellStyle="Walutowy"/>
    <tableColumn id="23" xr3:uid="{022A7590-A743-421E-8926-4A3A777EBDC3}" uniqueName="23" name="MARGIN%" queryTableFieldId="23" dataDxfId="0" dataCellStyle="Procentow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Żółtopomarańczowy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ORDER_DATE" xr10:uid="{79F09B54-0BD9-4242-A77B-9CD9A9B5AE94}" sourceName="ORDER DATE">
  <pivotTables>
    <pivotTable tabId="35" name="KPIgłownedane"/>
    <pivotTable tabId="37" name="teamRPO"/>
    <pivotTable tabId="37" name="temavschannel"/>
    <pivotTable tabId="37" name="best5product"/>
    <pivotTable tabId="35" name="wzrost"/>
    <pivotTable tabId="37" name="Tabela przestawna7"/>
  </pivotTables>
  <state minimalRefreshVersion="6" lastRefreshVersion="6" pivotCacheId="1991834080" filterType="unknown">
    <bounds startDate="2024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2" xr10:uid="{E1840015-54C9-4805-83C6-033071827CBE}" cache="NatywnaOśCzasu_ORDER_DATE" caption=" DATE" level="0" selectionLevel="0" scrollPosition="2024-01-01T00:00:00" style="TimeSlicerStyleLight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929FB2C3-D9DD-4641-9CBE-4F4A61789EA7}" cache="NatywnaOśCzasu_ORDER_DATE" caption="ORDER DATE" level="0" selectionLevel="0" scrollPosition="2024-01-01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17A111BA-0243-4BD9-B952-2A69CC063BC2}" cache="NatywnaOśCzasu_ORDER_DATE" caption=" DATE" level="1" selectionLevel="1" scrollPosition="2024-08-17T00:00:00" style="TimeSlicerStyleLight3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1371-D1F6-4E98-92F1-F3C744A6738A}">
  <sheetPr codeName="Arkusz3">
    <tabColor rgb="FF787878"/>
  </sheetPr>
  <dimension ref="A1:S722"/>
  <sheetViews>
    <sheetView zoomScale="87" zoomScaleNormal="87" workbookViewId="0">
      <selection activeCell="A3" sqref="A3"/>
    </sheetView>
  </sheetViews>
  <sheetFormatPr defaultColWidth="8.6640625" defaultRowHeight="14.4" x14ac:dyDescent="0.3"/>
  <cols>
    <col min="1" max="2" width="19.6640625" style="1" customWidth="1"/>
    <col min="3" max="3" width="19.5546875" style="1" customWidth="1"/>
    <col min="4" max="8" width="19.6640625" style="1" customWidth="1"/>
    <col min="9" max="9" width="20.88671875" style="1" customWidth="1"/>
    <col min="10" max="15" width="19.6640625" style="1" customWidth="1"/>
    <col min="16" max="16" width="11.6640625" style="1" customWidth="1"/>
    <col min="17" max="17" width="27.44140625" style="1" bestFit="1" customWidth="1"/>
    <col min="18" max="18" width="31.5546875" style="1" bestFit="1" customWidth="1"/>
    <col min="19" max="19" width="19.5546875" style="1" customWidth="1"/>
    <col min="20" max="20" width="19.6640625" style="1" customWidth="1"/>
    <col min="21" max="21" width="31.109375" style="1" bestFit="1" customWidth="1"/>
    <col min="22" max="26" width="19.6640625" style="1" customWidth="1"/>
    <col min="27" max="27" width="17.109375" style="1" customWidth="1"/>
    <col min="28" max="28" width="21.6640625" style="1" customWidth="1"/>
    <col min="29" max="29" width="18.88671875" style="1" bestFit="1" customWidth="1"/>
    <col min="30" max="30" width="8.6640625" style="1"/>
    <col min="31" max="31" width="9.109375" style="1" bestFit="1" customWidth="1"/>
    <col min="32" max="16384" width="8.6640625" style="1"/>
  </cols>
  <sheetData>
    <row r="1" spans="1:19" ht="12.6" customHeight="1" x14ac:dyDescent="0.3">
      <c r="A1" s="1" t="s">
        <v>63</v>
      </c>
      <c r="B1" s="1" t="s">
        <v>12</v>
      </c>
      <c r="C1" s="1" t="s">
        <v>5</v>
      </c>
      <c r="D1" s="1" t="s">
        <v>6</v>
      </c>
      <c r="E1" s="1" t="s">
        <v>13</v>
      </c>
      <c r="F1" s="1" t="s">
        <v>64</v>
      </c>
      <c r="G1" s="1" t="s">
        <v>65</v>
      </c>
      <c r="H1" s="1" t="s">
        <v>66</v>
      </c>
      <c r="I1" s="1" t="s">
        <v>62</v>
      </c>
      <c r="J1" s="1" t="s">
        <v>0</v>
      </c>
      <c r="K1" s="1" t="s">
        <v>3</v>
      </c>
      <c r="L1" s="1" t="s">
        <v>4</v>
      </c>
      <c r="M1" s="1" t="s">
        <v>7</v>
      </c>
      <c r="N1" s="1" t="s">
        <v>14</v>
      </c>
      <c r="O1" s="1" t="s">
        <v>15</v>
      </c>
      <c r="P1" s="1" t="s">
        <v>9</v>
      </c>
      <c r="Q1" s="1" t="s">
        <v>10</v>
      </c>
      <c r="R1" s="1" t="s">
        <v>11</v>
      </c>
      <c r="S1" s="1" t="s">
        <v>8</v>
      </c>
    </row>
    <row r="2" spans="1:19" x14ac:dyDescent="0.3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>
        <v>46000</v>
      </c>
      <c r="G2" s="1">
        <v>46000</v>
      </c>
      <c r="H2" s="1">
        <v>46003</v>
      </c>
      <c r="I2" s="1" t="s">
        <v>72</v>
      </c>
      <c r="J2" s="1" t="s">
        <v>2335</v>
      </c>
      <c r="K2" s="1" t="s">
        <v>20</v>
      </c>
      <c r="L2" s="1" t="s">
        <v>61</v>
      </c>
      <c r="M2" s="1" t="s">
        <v>32</v>
      </c>
      <c r="N2" s="1" t="s">
        <v>33</v>
      </c>
      <c r="O2" s="1" t="s">
        <v>34</v>
      </c>
      <c r="P2" s="1">
        <v>5</v>
      </c>
      <c r="Q2" s="1">
        <v>730</v>
      </c>
      <c r="R2" s="1">
        <v>824.9</v>
      </c>
      <c r="S2" s="1">
        <v>0.09</v>
      </c>
    </row>
    <row r="3" spans="1:19" x14ac:dyDescent="0.3">
      <c r="A3" s="1" t="s">
        <v>73</v>
      </c>
      <c r="B3" s="1" t="s">
        <v>74</v>
      </c>
      <c r="C3" s="1" t="s">
        <v>75</v>
      </c>
      <c r="D3" s="1" t="s">
        <v>76</v>
      </c>
      <c r="E3" s="1" t="s">
        <v>2346</v>
      </c>
      <c r="F3" s="1">
        <v>46185</v>
      </c>
      <c r="G3" s="1">
        <v>46185</v>
      </c>
      <c r="H3" s="1">
        <v>46187</v>
      </c>
      <c r="I3" s="1" t="s">
        <v>72</v>
      </c>
      <c r="J3" s="1" t="s">
        <v>17</v>
      </c>
      <c r="K3" s="1" t="s">
        <v>20</v>
      </c>
      <c r="L3" s="1" t="s">
        <v>24</v>
      </c>
      <c r="M3" s="1" t="s">
        <v>44</v>
      </c>
      <c r="N3" s="1" t="s">
        <v>38</v>
      </c>
      <c r="O3" s="1" t="s">
        <v>45</v>
      </c>
      <c r="P3" s="1">
        <v>9</v>
      </c>
      <c r="Q3" s="1">
        <v>210</v>
      </c>
      <c r="R3" s="1">
        <v>222.60000000000002</v>
      </c>
      <c r="S3" s="1">
        <v>0.06</v>
      </c>
    </row>
    <row r="4" spans="1:19" x14ac:dyDescent="0.3">
      <c r="A4" s="1" t="s">
        <v>78</v>
      </c>
      <c r="B4" s="1" t="s">
        <v>79</v>
      </c>
      <c r="C4" s="1" t="s">
        <v>80</v>
      </c>
      <c r="D4" s="1" t="s">
        <v>2341</v>
      </c>
      <c r="E4" s="1" t="s">
        <v>2348</v>
      </c>
      <c r="F4" s="1">
        <v>45471</v>
      </c>
      <c r="G4" s="1">
        <v>45471</v>
      </c>
      <c r="H4" s="1">
        <v>45475</v>
      </c>
      <c r="I4" s="1" t="s">
        <v>82</v>
      </c>
      <c r="J4" s="1" t="s">
        <v>18</v>
      </c>
      <c r="K4" s="1" t="s">
        <v>20</v>
      </c>
      <c r="L4" s="1" t="s">
        <v>23</v>
      </c>
      <c r="M4" s="1" t="s">
        <v>59</v>
      </c>
      <c r="N4" s="1" t="s">
        <v>27</v>
      </c>
      <c r="O4" s="1" t="s">
        <v>60</v>
      </c>
      <c r="P4" s="1">
        <v>2</v>
      </c>
      <c r="Q4" s="1">
        <v>1230</v>
      </c>
      <c r="R4" s="1">
        <v>1328.4</v>
      </c>
      <c r="S4" s="1">
        <v>0</v>
      </c>
    </row>
    <row r="5" spans="1:19" x14ac:dyDescent="0.3">
      <c r="A5" s="1" t="s">
        <v>83</v>
      </c>
      <c r="B5" s="1" t="s">
        <v>84</v>
      </c>
      <c r="C5" s="1" t="s">
        <v>85</v>
      </c>
      <c r="D5" s="1" t="s">
        <v>2342</v>
      </c>
      <c r="E5" s="1" t="s">
        <v>2349</v>
      </c>
      <c r="F5" s="1">
        <v>45629</v>
      </c>
      <c r="G5" s="1">
        <v>45630</v>
      </c>
      <c r="H5" s="1">
        <v>45634</v>
      </c>
      <c r="I5" s="1" t="s">
        <v>72</v>
      </c>
      <c r="J5" s="1" t="s">
        <v>2</v>
      </c>
      <c r="K5" s="1" t="s">
        <v>21</v>
      </c>
      <c r="L5" s="1" t="s">
        <v>61</v>
      </c>
      <c r="M5" s="1" t="s">
        <v>30</v>
      </c>
      <c r="N5" s="1" t="s">
        <v>27</v>
      </c>
      <c r="O5" s="1" t="s">
        <v>31</v>
      </c>
      <c r="P5" s="1">
        <v>13</v>
      </c>
      <c r="Q5" s="1">
        <v>1030</v>
      </c>
      <c r="R5" s="1">
        <v>1174.2</v>
      </c>
      <c r="S5" s="1">
        <v>0.02</v>
      </c>
    </row>
    <row r="8" spans="1:19" x14ac:dyDescent="0.3">
      <c r="A8" s="1" t="s">
        <v>88</v>
      </c>
      <c r="B8" s="1" t="s">
        <v>89</v>
      </c>
      <c r="C8" s="1" t="s">
        <v>90</v>
      </c>
      <c r="D8" s="1" t="s">
        <v>2343</v>
      </c>
      <c r="E8" s="1" t="s">
        <v>77</v>
      </c>
      <c r="F8" s="1">
        <v>45965</v>
      </c>
      <c r="G8" s="1">
        <v>45965</v>
      </c>
      <c r="H8" s="1">
        <v>45970</v>
      </c>
      <c r="I8" s="1" t="s">
        <v>72</v>
      </c>
      <c r="J8" s="1" t="s">
        <v>1</v>
      </c>
      <c r="K8" s="1" t="s">
        <v>21</v>
      </c>
      <c r="L8" s="1" t="s">
        <v>24</v>
      </c>
      <c r="M8" s="1" t="s">
        <v>44</v>
      </c>
      <c r="N8" s="1" t="s">
        <v>38</v>
      </c>
      <c r="O8" s="1" t="s">
        <v>45</v>
      </c>
      <c r="P8" s="1">
        <v>11</v>
      </c>
      <c r="Q8" s="1">
        <v>210</v>
      </c>
      <c r="R8" s="1">
        <v>222.60000000000002</v>
      </c>
      <c r="S8" s="1">
        <v>0.06</v>
      </c>
    </row>
    <row r="9" spans="1:19" x14ac:dyDescent="0.3">
      <c r="A9" s="1" t="s">
        <v>91</v>
      </c>
      <c r="B9" s="1" t="s">
        <v>92</v>
      </c>
      <c r="C9" s="1" t="s">
        <v>93</v>
      </c>
      <c r="D9" s="1" t="s">
        <v>2344</v>
      </c>
      <c r="E9" s="1" t="s">
        <v>95</v>
      </c>
      <c r="F9" s="1">
        <v>45631</v>
      </c>
      <c r="G9" s="1">
        <v>45632</v>
      </c>
      <c r="H9" s="1">
        <v>45633</v>
      </c>
      <c r="I9" s="1" t="s">
        <v>72</v>
      </c>
      <c r="J9" s="1" t="s">
        <v>16</v>
      </c>
      <c r="K9" s="1" t="s">
        <v>20</v>
      </c>
      <c r="L9" s="1" t="s">
        <v>61</v>
      </c>
      <c r="M9" s="1" t="s">
        <v>49</v>
      </c>
      <c r="N9" s="1" t="s">
        <v>33</v>
      </c>
      <c r="O9" s="1" t="s">
        <v>34</v>
      </c>
      <c r="P9" s="1">
        <v>5</v>
      </c>
      <c r="Q9" s="1">
        <v>1080</v>
      </c>
      <c r="R9" s="1">
        <v>1112.4000000000001</v>
      </c>
      <c r="S9" s="1">
        <v>0.09</v>
      </c>
    </row>
    <row r="10" spans="1:19" x14ac:dyDescent="0.3">
      <c r="A10" s="1" t="s">
        <v>96</v>
      </c>
      <c r="B10" s="1" t="s">
        <v>97</v>
      </c>
      <c r="C10" s="1" t="s">
        <v>98</v>
      </c>
      <c r="D10" s="1" t="s">
        <v>99</v>
      </c>
      <c r="E10" s="1" t="s">
        <v>100</v>
      </c>
      <c r="F10" s="1">
        <v>46127</v>
      </c>
      <c r="G10" s="1">
        <v>46127</v>
      </c>
      <c r="H10" s="1">
        <v>46132</v>
      </c>
      <c r="I10" s="1" t="s">
        <v>72</v>
      </c>
      <c r="J10" s="1" t="s">
        <v>2336</v>
      </c>
      <c r="K10" s="1" t="s">
        <v>21</v>
      </c>
      <c r="L10" s="1" t="s">
        <v>25</v>
      </c>
      <c r="M10" s="1" t="s">
        <v>42</v>
      </c>
      <c r="N10" s="1" t="s">
        <v>27</v>
      </c>
      <c r="O10" s="1" t="s">
        <v>28</v>
      </c>
      <c r="P10" s="1">
        <v>7</v>
      </c>
      <c r="Q10" s="1">
        <v>3030</v>
      </c>
      <c r="R10" s="1">
        <v>3211.8</v>
      </c>
      <c r="S10" s="1">
        <v>7.0000000000000007E-2</v>
      </c>
    </row>
    <row r="11" spans="1:19" x14ac:dyDescent="0.3">
      <c r="A11" s="1" t="s">
        <v>146</v>
      </c>
      <c r="B11" s="1" t="s">
        <v>147</v>
      </c>
      <c r="C11" s="1" t="s">
        <v>148</v>
      </c>
      <c r="D11" s="1" t="s">
        <v>149</v>
      </c>
      <c r="E11" s="1" t="s">
        <v>119</v>
      </c>
      <c r="F11" s="1">
        <v>45673</v>
      </c>
      <c r="G11" s="1">
        <v>45674</v>
      </c>
      <c r="H11" s="1">
        <v>45678</v>
      </c>
      <c r="I11" s="1" t="s">
        <v>72</v>
      </c>
      <c r="J11" s="1" t="s">
        <v>16</v>
      </c>
      <c r="K11" s="1" t="s">
        <v>20</v>
      </c>
      <c r="L11" s="1" t="s">
        <v>25</v>
      </c>
      <c r="M11" s="1" t="s">
        <v>2350</v>
      </c>
      <c r="N11" s="1" t="s">
        <v>38</v>
      </c>
      <c r="O11" s="1" t="s">
        <v>39</v>
      </c>
      <c r="P11" s="1">
        <v>9</v>
      </c>
      <c r="Q11" s="1">
        <v>250</v>
      </c>
      <c r="R11" s="1">
        <v>270</v>
      </c>
      <c r="S11" s="1">
        <v>0.06</v>
      </c>
    </row>
    <row r="12" spans="1:19" x14ac:dyDescent="0.3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95</v>
      </c>
      <c r="F12" s="1">
        <v>45878</v>
      </c>
      <c r="G12" s="1">
        <v>45879</v>
      </c>
      <c r="H12" s="1">
        <v>45881</v>
      </c>
      <c r="I12" s="1" t="s">
        <v>72</v>
      </c>
      <c r="J12" s="1" t="s">
        <v>1</v>
      </c>
      <c r="K12" s="1" t="s">
        <v>21</v>
      </c>
      <c r="L12" s="1" t="s">
        <v>22</v>
      </c>
      <c r="M12" s="1" t="s">
        <v>2353</v>
      </c>
      <c r="N12" s="1" t="s">
        <v>33</v>
      </c>
      <c r="O12" s="1" t="s">
        <v>34</v>
      </c>
      <c r="P12" s="1">
        <v>8</v>
      </c>
      <c r="Q12" s="1">
        <v>1080</v>
      </c>
      <c r="R12" s="1">
        <v>1112.4000000000001</v>
      </c>
      <c r="S12" s="1">
        <v>0.03</v>
      </c>
    </row>
    <row r="13" spans="1:19" x14ac:dyDescent="0.3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  <c r="F13" s="1">
        <v>45612</v>
      </c>
      <c r="G13" s="1">
        <v>45613</v>
      </c>
      <c r="H13" s="1">
        <v>45617</v>
      </c>
      <c r="I13" s="1" t="s">
        <v>82</v>
      </c>
      <c r="J13" s="1" t="s">
        <v>18</v>
      </c>
      <c r="K13" s="1" t="s">
        <v>20</v>
      </c>
      <c r="L13" s="1" t="s">
        <v>24</v>
      </c>
      <c r="M13" s="1" t="s">
        <v>2352</v>
      </c>
      <c r="N13" s="1" t="s">
        <v>27</v>
      </c>
      <c r="O13" s="1" t="s">
        <v>56</v>
      </c>
      <c r="P13" s="1">
        <v>2</v>
      </c>
      <c r="Q13" s="1">
        <v>650</v>
      </c>
      <c r="R13" s="1">
        <v>663</v>
      </c>
      <c r="S13" s="1">
        <v>0.05</v>
      </c>
    </row>
    <row r="14" spans="1:19" x14ac:dyDescent="0.3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>
        <v>45341</v>
      </c>
      <c r="G14" s="1">
        <v>45342</v>
      </c>
      <c r="H14" s="1">
        <v>45344</v>
      </c>
      <c r="I14" s="1" t="s">
        <v>82</v>
      </c>
      <c r="J14" s="1" t="s">
        <v>17</v>
      </c>
      <c r="K14" s="1" t="s">
        <v>20</v>
      </c>
      <c r="L14" s="1" t="s">
        <v>25</v>
      </c>
      <c r="M14" s="1" t="s">
        <v>2351</v>
      </c>
      <c r="N14" s="1" t="s">
        <v>33</v>
      </c>
      <c r="O14" s="1" t="s">
        <v>52</v>
      </c>
      <c r="P14" s="1">
        <v>4</v>
      </c>
      <c r="Q14" s="1">
        <v>280</v>
      </c>
      <c r="R14" s="1">
        <v>336</v>
      </c>
      <c r="S14" s="1">
        <v>0.09</v>
      </c>
    </row>
    <row r="15" spans="1:19" x14ac:dyDescent="0.3">
      <c r="A15" s="1" t="s">
        <v>115</v>
      </c>
      <c r="B15" s="1" t="s">
        <v>116</v>
      </c>
      <c r="C15" s="1" t="s">
        <v>117</v>
      </c>
      <c r="D15" s="1" t="s">
        <v>118</v>
      </c>
      <c r="E15" s="1" t="s">
        <v>2345</v>
      </c>
      <c r="F15" s="1">
        <v>45491</v>
      </c>
      <c r="G15" s="1">
        <v>45492</v>
      </c>
      <c r="H15" s="1">
        <v>45493</v>
      </c>
      <c r="I15" s="1" t="s">
        <v>72</v>
      </c>
      <c r="J15" s="1" t="s">
        <v>17</v>
      </c>
      <c r="K15" s="1" t="s">
        <v>21</v>
      </c>
      <c r="L15" s="1" t="s">
        <v>24</v>
      </c>
      <c r="M15" s="1" t="s">
        <v>37</v>
      </c>
      <c r="N15" s="1" t="s">
        <v>38</v>
      </c>
      <c r="O15" s="1" t="s">
        <v>39</v>
      </c>
      <c r="P15" s="1">
        <v>5</v>
      </c>
      <c r="Q15" s="1">
        <v>250</v>
      </c>
      <c r="R15" s="1" t="s">
        <v>2330</v>
      </c>
      <c r="S15" s="1">
        <v>0</v>
      </c>
    </row>
    <row r="16" spans="1:19" x14ac:dyDescent="0.3">
      <c r="A16" s="1" t="s">
        <v>120</v>
      </c>
      <c r="B16" s="1" t="s">
        <v>121</v>
      </c>
      <c r="C16" s="1" t="s">
        <v>122</v>
      </c>
      <c r="D16" s="1" t="s">
        <v>123</v>
      </c>
      <c r="E16" s="1" t="s">
        <v>2346</v>
      </c>
      <c r="F16" s="1">
        <v>46002</v>
      </c>
      <c r="G16" s="1">
        <v>46003</v>
      </c>
      <c r="H16" s="1">
        <v>46004</v>
      </c>
      <c r="I16" s="1" t="s">
        <v>72</v>
      </c>
      <c r="J16" s="1" t="s">
        <v>1</v>
      </c>
      <c r="K16" s="1" t="s">
        <v>20</v>
      </c>
      <c r="L16" s="1" t="s">
        <v>61</v>
      </c>
      <c r="M16" s="1" t="s">
        <v>44</v>
      </c>
      <c r="N16" s="1" t="s">
        <v>38</v>
      </c>
      <c r="O16" s="1" t="s">
        <v>45</v>
      </c>
      <c r="P16" s="1">
        <v>7</v>
      </c>
      <c r="Q16" s="1">
        <v>210</v>
      </c>
      <c r="R16" s="1" t="s">
        <v>2333</v>
      </c>
      <c r="S16" s="1">
        <v>0</v>
      </c>
    </row>
    <row r="17" spans="1:19" x14ac:dyDescent="0.3">
      <c r="A17" s="1" t="s">
        <v>124</v>
      </c>
      <c r="B17" s="1" t="s">
        <v>125</v>
      </c>
      <c r="C17" s="1" t="s">
        <v>126</v>
      </c>
      <c r="D17" s="1" t="s">
        <v>127</v>
      </c>
      <c r="E17" s="1" t="s">
        <v>2347</v>
      </c>
      <c r="F17" s="1">
        <v>45895</v>
      </c>
      <c r="G17" s="1">
        <v>45896</v>
      </c>
      <c r="H17" s="1">
        <v>45900</v>
      </c>
      <c r="I17" s="1" t="s">
        <v>72</v>
      </c>
      <c r="J17" s="1" t="s">
        <v>16</v>
      </c>
      <c r="K17" s="1" t="s">
        <v>19</v>
      </c>
      <c r="L17" s="1" t="s">
        <v>24</v>
      </c>
      <c r="M17" s="1" t="s">
        <v>55</v>
      </c>
      <c r="N17" s="1" t="s">
        <v>27</v>
      </c>
      <c r="O17" s="1" t="s">
        <v>56</v>
      </c>
      <c r="P17" s="1">
        <v>10</v>
      </c>
      <c r="Q17" s="1">
        <v>650</v>
      </c>
      <c r="R17" s="1">
        <v>663</v>
      </c>
      <c r="S17" s="1">
        <v>0.01</v>
      </c>
    </row>
    <row r="18" spans="1:19" x14ac:dyDescent="0.3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1">
        <v>45749</v>
      </c>
      <c r="G18" s="1">
        <v>45750</v>
      </c>
      <c r="H18" s="1">
        <v>45753</v>
      </c>
      <c r="I18" s="1" t="s">
        <v>72</v>
      </c>
      <c r="J18" s="1" t="s">
        <v>18</v>
      </c>
      <c r="K18" s="1" t="s">
        <v>21</v>
      </c>
      <c r="L18" s="1" t="s">
        <v>25</v>
      </c>
      <c r="M18" s="1" t="s">
        <v>53</v>
      </c>
      <c r="N18" s="1" t="s">
        <v>27</v>
      </c>
      <c r="O18" s="1" t="s">
        <v>54</v>
      </c>
      <c r="P18" s="1">
        <v>13</v>
      </c>
      <c r="Q18" s="1">
        <v>430</v>
      </c>
      <c r="R18" s="1">
        <v>455.8</v>
      </c>
      <c r="S18" s="1">
        <v>0.01</v>
      </c>
    </row>
    <row r="19" spans="1:19" x14ac:dyDescent="0.3">
      <c r="A19" s="1" t="s">
        <v>133</v>
      </c>
      <c r="B19" s="1" t="s">
        <v>134</v>
      </c>
      <c r="C19" s="1" t="s">
        <v>135</v>
      </c>
      <c r="D19" s="1" t="s">
        <v>136</v>
      </c>
      <c r="E19" s="1" t="s">
        <v>100</v>
      </c>
      <c r="F19" s="1">
        <v>45835</v>
      </c>
      <c r="G19" s="1">
        <v>45835</v>
      </c>
      <c r="H19" s="1">
        <v>45839</v>
      </c>
      <c r="I19" s="1" t="s">
        <v>72</v>
      </c>
      <c r="J19" s="1" t="s">
        <v>2</v>
      </c>
      <c r="K19" s="1" t="s">
        <v>21</v>
      </c>
      <c r="L19" s="1" t="s">
        <v>25</v>
      </c>
      <c r="M19" s="1" t="s">
        <v>42</v>
      </c>
      <c r="N19" s="1" t="s">
        <v>27</v>
      </c>
      <c r="O19" s="1" t="s">
        <v>28</v>
      </c>
      <c r="P19" s="1">
        <v>6</v>
      </c>
      <c r="Q19" s="1">
        <v>3030</v>
      </c>
      <c r="R19" s="1">
        <v>3211.8</v>
      </c>
      <c r="S19" s="1">
        <v>0.04</v>
      </c>
    </row>
    <row r="20" spans="1:19" x14ac:dyDescent="0.3">
      <c r="A20" s="1" t="s">
        <v>137</v>
      </c>
      <c r="B20" s="1" t="s">
        <v>138</v>
      </c>
      <c r="C20" s="1" t="s">
        <v>139</v>
      </c>
      <c r="D20" s="1" t="s">
        <v>140</v>
      </c>
      <c r="E20" s="1" t="s">
        <v>141</v>
      </c>
      <c r="F20" s="1">
        <v>46159</v>
      </c>
      <c r="G20" s="1">
        <v>46160</v>
      </c>
      <c r="H20" s="1">
        <v>46163</v>
      </c>
      <c r="I20" s="1" t="s">
        <v>72</v>
      </c>
      <c r="J20" s="1" t="s">
        <v>18</v>
      </c>
      <c r="K20" s="1" t="s">
        <v>19</v>
      </c>
      <c r="L20" s="1" t="s">
        <v>24</v>
      </c>
      <c r="M20" s="1" t="s">
        <v>35</v>
      </c>
      <c r="N20" s="1" t="s">
        <v>33</v>
      </c>
      <c r="O20" s="1" t="s">
        <v>36</v>
      </c>
      <c r="P20" s="1">
        <v>8</v>
      </c>
      <c r="Q20" s="1">
        <v>1530</v>
      </c>
      <c r="R20" s="1">
        <v>1790.1</v>
      </c>
      <c r="S20" s="1">
        <v>0.05</v>
      </c>
    </row>
    <row r="21" spans="1:19" x14ac:dyDescent="0.3">
      <c r="A21" s="1" t="s">
        <v>142</v>
      </c>
      <c r="B21" s="1" t="s">
        <v>143</v>
      </c>
      <c r="C21" s="1" t="s">
        <v>144</v>
      </c>
      <c r="D21" s="1" t="s">
        <v>145</v>
      </c>
      <c r="E21" s="1" t="s">
        <v>109</v>
      </c>
      <c r="F21" s="1">
        <v>46049</v>
      </c>
      <c r="G21" s="1">
        <v>46050</v>
      </c>
      <c r="H21" s="1">
        <v>46051</v>
      </c>
      <c r="I21" s="1" t="s">
        <v>72</v>
      </c>
      <c r="J21" s="1" t="s">
        <v>1</v>
      </c>
      <c r="K21" s="1" t="s">
        <v>21</v>
      </c>
      <c r="L21" s="1" t="s">
        <v>23</v>
      </c>
      <c r="M21" s="1" t="s">
        <v>55</v>
      </c>
      <c r="N21" s="1" t="s">
        <v>27</v>
      </c>
      <c r="O21" s="1" t="s">
        <v>56</v>
      </c>
      <c r="P21" s="1">
        <v>11</v>
      </c>
      <c r="Q21" s="1">
        <v>650</v>
      </c>
      <c r="R21" s="1">
        <v>663</v>
      </c>
      <c r="S21" s="1">
        <v>0.09</v>
      </c>
    </row>
    <row r="22" spans="1:19" x14ac:dyDescent="0.3">
      <c r="A22" s="1" t="s">
        <v>146</v>
      </c>
      <c r="B22" s="1" t="s">
        <v>147</v>
      </c>
      <c r="C22" s="1" t="s">
        <v>148</v>
      </c>
      <c r="D22" s="1" t="s">
        <v>2338</v>
      </c>
      <c r="E22" s="1" t="s">
        <v>119</v>
      </c>
      <c r="F22" s="1">
        <v>45673</v>
      </c>
      <c r="G22" s="1">
        <v>45674</v>
      </c>
      <c r="H22" s="1">
        <v>45678</v>
      </c>
      <c r="I22" s="1" t="s">
        <v>72</v>
      </c>
      <c r="J22" s="1" t="s">
        <v>16</v>
      </c>
      <c r="K22" s="1" t="s">
        <v>20</v>
      </c>
      <c r="L22" s="1" t="s">
        <v>25</v>
      </c>
      <c r="M22" s="1" t="s">
        <v>37</v>
      </c>
      <c r="N22" s="1" t="s">
        <v>38</v>
      </c>
      <c r="O22" s="1" t="s">
        <v>39</v>
      </c>
      <c r="P22" s="1">
        <v>9</v>
      </c>
      <c r="Q22" s="1">
        <v>250</v>
      </c>
      <c r="R22" s="1" t="s">
        <v>2330</v>
      </c>
      <c r="S22" s="1">
        <v>7.0000000000000007E-2</v>
      </c>
    </row>
    <row r="23" spans="1:19" x14ac:dyDescent="0.3">
      <c r="A23" s="1" t="s">
        <v>150</v>
      </c>
      <c r="B23" s="1" t="s">
        <v>151</v>
      </c>
      <c r="C23" s="1" t="s">
        <v>152</v>
      </c>
      <c r="D23" s="1" t="s">
        <v>2337</v>
      </c>
      <c r="E23" s="1" t="s">
        <v>95</v>
      </c>
      <c r="F23" s="1">
        <v>45626</v>
      </c>
      <c r="G23" s="1">
        <v>45627</v>
      </c>
      <c r="H23" s="1">
        <v>45630</v>
      </c>
      <c r="I23" s="1" t="s">
        <v>82</v>
      </c>
      <c r="J23" s="1" t="s">
        <v>16</v>
      </c>
      <c r="K23" s="1" t="s">
        <v>19</v>
      </c>
      <c r="L23" s="1" t="s">
        <v>22</v>
      </c>
      <c r="M23" s="1" t="s">
        <v>49</v>
      </c>
      <c r="N23" s="1" t="s">
        <v>33</v>
      </c>
      <c r="O23" s="1" t="s">
        <v>34</v>
      </c>
      <c r="P23" s="1">
        <v>2</v>
      </c>
      <c r="Q23" s="1">
        <v>1080</v>
      </c>
      <c r="R23" s="1">
        <v>1112.4000000000001</v>
      </c>
      <c r="S23" s="1">
        <v>0.02</v>
      </c>
    </row>
    <row r="24" spans="1:19" x14ac:dyDescent="0.3">
      <c r="A24" s="1" t="s">
        <v>154</v>
      </c>
      <c r="B24" s="1" t="s">
        <v>155</v>
      </c>
      <c r="C24" s="1" t="s">
        <v>156</v>
      </c>
      <c r="D24" s="1" t="s">
        <v>2339</v>
      </c>
      <c r="E24" s="1" t="s">
        <v>114</v>
      </c>
      <c r="F24" s="1">
        <v>45981</v>
      </c>
      <c r="G24" s="1">
        <v>45982</v>
      </c>
      <c r="H24" s="1">
        <v>45986</v>
      </c>
      <c r="I24" s="1" t="s">
        <v>82</v>
      </c>
      <c r="J24" s="1" t="s">
        <v>16</v>
      </c>
      <c r="K24" s="1" t="s">
        <v>20</v>
      </c>
      <c r="L24" s="1" t="s">
        <v>23</v>
      </c>
      <c r="M24" s="1" t="s">
        <v>51</v>
      </c>
      <c r="N24" s="1" t="s">
        <v>33</v>
      </c>
      <c r="O24" s="1" t="s">
        <v>52</v>
      </c>
      <c r="P24" s="1">
        <v>2</v>
      </c>
      <c r="Q24" s="1">
        <v>280</v>
      </c>
      <c r="R24" s="1">
        <v>336</v>
      </c>
      <c r="S24" s="1">
        <v>0.05</v>
      </c>
    </row>
    <row r="25" spans="1:19" x14ac:dyDescent="0.3">
      <c r="A25" s="1" t="s">
        <v>157</v>
      </c>
      <c r="B25" s="1" t="s">
        <v>158</v>
      </c>
      <c r="C25" s="1" t="s">
        <v>159</v>
      </c>
      <c r="D25" s="1" t="s">
        <v>2340</v>
      </c>
      <c r="E25" s="1" t="s">
        <v>87</v>
      </c>
      <c r="F25" s="1">
        <v>46033</v>
      </c>
      <c r="G25" s="1">
        <v>46033</v>
      </c>
      <c r="H25" s="1">
        <v>46035</v>
      </c>
      <c r="I25" s="1" t="s">
        <v>72</v>
      </c>
      <c r="J25" s="1" t="s">
        <v>1</v>
      </c>
      <c r="K25" s="1" t="s">
        <v>21</v>
      </c>
      <c r="L25" s="1" t="s">
        <v>61</v>
      </c>
      <c r="M25" s="1" t="s">
        <v>30</v>
      </c>
      <c r="N25" s="1" t="s">
        <v>27</v>
      </c>
      <c r="O25" s="1" t="s">
        <v>31</v>
      </c>
      <c r="P25" s="1">
        <v>13</v>
      </c>
      <c r="Q25" s="1">
        <v>1030</v>
      </c>
      <c r="R25" s="1">
        <v>1174.2</v>
      </c>
      <c r="S25" s="1">
        <v>0</v>
      </c>
    </row>
    <row r="26" spans="1:19" x14ac:dyDescent="0.3">
      <c r="A26" s="1" t="s">
        <v>160</v>
      </c>
      <c r="B26" s="1" t="s">
        <v>161</v>
      </c>
      <c r="C26" s="1" t="s">
        <v>162</v>
      </c>
      <c r="D26" s="1" t="s">
        <v>163</v>
      </c>
      <c r="E26" s="1" t="s">
        <v>164</v>
      </c>
      <c r="F26" s="1">
        <v>45810</v>
      </c>
      <c r="G26" s="1">
        <v>45811</v>
      </c>
      <c r="H26" s="1">
        <v>45815</v>
      </c>
      <c r="I26" s="1" t="s">
        <v>82</v>
      </c>
      <c r="J26" s="1" t="s">
        <v>2</v>
      </c>
      <c r="K26" s="1" t="s">
        <v>20</v>
      </c>
      <c r="L26" s="1" t="s">
        <v>61</v>
      </c>
      <c r="M26" s="1" t="s">
        <v>43</v>
      </c>
      <c r="N26" s="1" t="s">
        <v>27</v>
      </c>
      <c r="O26" s="1" t="s">
        <v>31</v>
      </c>
      <c r="P26" s="1">
        <v>1</v>
      </c>
      <c r="Q26" s="1">
        <v>1630</v>
      </c>
      <c r="R26" s="1" t="s">
        <v>2334</v>
      </c>
      <c r="S26" s="1">
        <v>0.09</v>
      </c>
    </row>
    <row r="27" spans="1:19" x14ac:dyDescent="0.3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77</v>
      </c>
      <c r="F27" s="1">
        <v>46131</v>
      </c>
      <c r="G27" s="1">
        <v>46132</v>
      </c>
      <c r="H27" s="1">
        <v>46133</v>
      </c>
      <c r="I27" s="1" t="s">
        <v>82</v>
      </c>
      <c r="J27" s="1" t="s">
        <v>17</v>
      </c>
      <c r="K27" s="1" t="s">
        <v>20</v>
      </c>
      <c r="L27" s="1" t="s">
        <v>23</v>
      </c>
      <c r="M27" s="1" t="s">
        <v>44</v>
      </c>
      <c r="N27" s="1" t="s">
        <v>38</v>
      </c>
      <c r="O27" s="1" t="s">
        <v>45</v>
      </c>
      <c r="P27" s="1">
        <v>2</v>
      </c>
      <c r="Q27" s="1">
        <v>210</v>
      </c>
      <c r="R27" s="1">
        <v>222.60000000000002</v>
      </c>
      <c r="S27" s="1">
        <v>0.05</v>
      </c>
    </row>
    <row r="28" spans="1:19" x14ac:dyDescent="0.3">
      <c r="A28" s="1" t="s">
        <v>169</v>
      </c>
      <c r="B28" s="1" t="s">
        <v>170</v>
      </c>
      <c r="C28" s="1" t="s">
        <v>171</v>
      </c>
      <c r="D28" s="1" t="s">
        <v>172</v>
      </c>
      <c r="E28" s="1" t="s">
        <v>173</v>
      </c>
      <c r="F28" s="1">
        <v>45629</v>
      </c>
      <c r="G28" s="1">
        <v>45630</v>
      </c>
      <c r="H28" s="1">
        <v>45631</v>
      </c>
      <c r="I28" s="1" t="s">
        <v>72</v>
      </c>
      <c r="J28" s="1" t="s">
        <v>1</v>
      </c>
      <c r="K28" s="1" t="s">
        <v>20</v>
      </c>
      <c r="L28" s="1" t="s">
        <v>24</v>
      </c>
      <c r="M28" s="1" t="s">
        <v>48</v>
      </c>
      <c r="N28" s="1" t="s">
        <v>38</v>
      </c>
      <c r="O28" s="1" t="s">
        <v>41</v>
      </c>
      <c r="P28" s="1">
        <v>5</v>
      </c>
      <c r="Q28" s="1">
        <v>580</v>
      </c>
      <c r="R28" s="1">
        <v>667</v>
      </c>
      <c r="S28" s="1">
        <v>0</v>
      </c>
    </row>
    <row r="29" spans="1:19" x14ac:dyDescent="0.3">
      <c r="A29" s="1" t="s">
        <v>174</v>
      </c>
      <c r="B29" s="1" t="s">
        <v>175</v>
      </c>
      <c r="C29" s="1" t="s">
        <v>176</v>
      </c>
      <c r="D29" s="1" t="s">
        <v>177</v>
      </c>
      <c r="E29" s="1" t="s">
        <v>178</v>
      </c>
      <c r="F29" s="1">
        <v>45680</v>
      </c>
      <c r="G29" s="1">
        <v>45680</v>
      </c>
      <c r="H29" s="1">
        <v>45684</v>
      </c>
      <c r="I29" s="1" t="s">
        <v>72</v>
      </c>
      <c r="J29" s="1" t="s">
        <v>16</v>
      </c>
      <c r="K29" s="1" t="s">
        <v>21</v>
      </c>
      <c r="L29" s="1" t="s">
        <v>22</v>
      </c>
      <c r="M29" s="1" t="s">
        <v>47</v>
      </c>
      <c r="N29" s="1" t="s">
        <v>38</v>
      </c>
      <c r="O29" s="1" t="s">
        <v>39</v>
      </c>
      <c r="P29" s="1">
        <v>8</v>
      </c>
      <c r="Q29" s="1">
        <v>390</v>
      </c>
      <c r="R29" s="1">
        <v>468</v>
      </c>
      <c r="S29" s="1">
        <v>0.01</v>
      </c>
    </row>
    <row r="30" spans="1:19" x14ac:dyDescent="0.3">
      <c r="A30" s="1" t="s">
        <v>179</v>
      </c>
      <c r="B30" s="1" t="s">
        <v>180</v>
      </c>
      <c r="C30" s="1" t="s">
        <v>181</v>
      </c>
      <c r="D30" s="1" t="s">
        <v>182</v>
      </c>
      <c r="E30" s="1" t="s">
        <v>178</v>
      </c>
      <c r="F30" s="1">
        <v>46048</v>
      </c>
      <c r="G30" s="1">
        <v>46048</v>
      </c>
      <c r="H30" s="1">
        <v>46051</v>
      </c>
      <c r="I30" s="1" t="s">
        <v>72</v>
      </c>
      <c r="J30" s="1" t="s">
        <v>16</v>
      </c>
      <c r="K30" s="1" t="s">
        <v>20</v>
      </c>
      <c r="L30" s="1" t="s">
        <v>23</v>
      </c>
      <c r="M30" s="1" t="s">
        <v>47</v>
      </c>
      <c r="N30" s="1" t="s">
        <v>38</v>
      </c>
      <c r="O30" s="1" t="s">
        <v>39</v>
      </c>
      <c r="P30" s="1">
        <v>5</v>
      </c>
      <c r="Q30" s="1">
        <v>390</v>
      </c>
      <c r="R30" s="1">
        <v>468</v>
      </c>
      <c r="S30" s="1">
        <v>0.08</v>
      </c>
    </row>
    <row r="31" spans="1:19" x14ac:dyDescent="0.3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187</v>
      </c>
      <c r="F31" s="1">
        <v>46153</v>
      </c>
      <c r="G31" s="1">
        <v>46153</v>
      </c>
      <c r="H31" s="1">
        <v>46158</v>
      </c>
      <c r="I31" s="1" t="s">
        <v>72</v>
      </c>
      <c r="J31" s="1" t="s">
        <v>1</v>
      </c>
      <c r="K31" s="1" t="s">
        <v>21</v>
      </c>
      <c r="L31" s="1" t="s">
        <v>22</v>
      </c>
      <c r="M31" s="1" t="s">
        <v>40</v>
      </c>
      <c r="N31" s="1" t="s">
        <v>38</v>
      </c>
      <c r="O31" s="1" t="s">
        <v>41</v>
      </c>
      <c r="P31" s="1">
        <v>15</v>
      </c>
      <c r="Q31" s="1">
        <v>170</v>
      </c>
      <c r="R31" s="1">
        <v>188.70000000000002</v>
      </c>
      <c r="S31" s="1">
        <v>0.05</v>
      </c>
    </row>
    <row r="32" spans="1:19" x14ac:dyDescent="0.3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>
        <v>45665</v>
      </c>
      <c r="G32" s="1">
        <v>45666</v>
      </c>
      <c r="H32" s="1">
        <v>45669</v>
      </c>
      <c r="I32" s="1" t="s">
        <v>72</v>
      </c>
      <c r="J32" s="1" t="s">
        <v>16</v>
      </c>
      <c r="K32" s="1" t="s">
        <v>20</v>
      </c>
      <c r="L32" s="1" t="s">
        <v>61</v>
      </c>
      <c r="M32" s="1" t="s">
        <v>46</v>
      </c>
      <c r="N32" s="1" t="s">
        <v>38</v>
      </c>
      <c r="O32" s="1" t="s">
        <v>45</v>
      </c>
      <c r="P32" s="1">
        <v>7</v>
      </c>
      <c r="Q32" s="1">
        <v>350</v>
      </c>
      <c r="R32" s="1">
        <v>364</v>
      </c>
      <c r="S32" s="1">
        <v>0.04</v>
      </c>
    </row>
    <row r="33" spans="1:19" x14ac:dyDescent="0.3">
      <c r="A33" s="1" t="s">
        <v>193</v>
      </c>
      <c r="B33" s="1" t="s">
        <v>97</v>
      </c>
      <c r="C33" s="1" t="s">
        <v>194</v>
      </c>
      <c r="D33" s="1" t="s">
        <v>195</v>
      </c>
      <c r="E33" s="1" t="s">
        <v>87</v>
      </c>
      <c r="F33" s="1">
        <v>46141</v>
      </c>
      <c r="G33" s="1">
        <v>46142</v>
      </c>
      <c r="H33" s="1">
        <v>46143</v>
      </c>
      <c r="I33" s="1" t="s">
        <v>72</v>
      </c>
      <c r="J33" s="1" t="s">
        <v>17</v>
      </c>
      <c r="K33" s="1" t="s">
        <v>19</v>
      </c>
      <c r="L33" s="1" t="s">
        <v>22</v>
      </c>
      <c r="M33" s="1" t="s">
        <v>30</v>
      </c>
      <c r="N33" s="1" t="s">
        <v>27</v>
      </c>
      <c r="O33" s="1" t="s">
        <v>31</v>
      </c>
      <c r="P33" s="1">
        <v>8</v>
      </c>
      <c r="Q33" s="1">
        <v>1030</v>
      </c>
      <c r="R33" s="1">
        <v>1174.2</v>
      </c>
      <c r="S33" s="1">
        <v>0.04</v>
      </c>
    </row>
    <row r="34" spans="1:19" x14ac:dyDescent="0.3">
      <c r="A34" s="1" t="s">
        <v>196</v>
      </c>
      <c r="B34" s="1" t="s">
        <v>197</v>
      </c>
      <c r="C34" s="1" t="s">
        <v>198</v>
      </c>
      <c r="D34" s="1" t="s">
        <v>199</v>
      </c>
      <c r="E34" s="1" t="s">
        <v>95</v>
      </c>
      <c r="F34" s="1">
        <v>46007</v>
      </c>
      <c r="G34" s="1">
        <v>46007</v>
      </c>
      <c r="H34" s="1">
        <v>46010</v>
      </c>
      <c r="I34" s="1" t="s">
        <v>72</v>
      </c>
      <c r="J34" s="1" t="s">
        <v>17</v>
      </c>
      <c r="K34" s="1" t="s">
        <v>21</v>
      </c>
      <c r="L34" s="1" t="s">
        <v>24</v>
      </c>
      <c r="M34" s="1" t="s">
        <v>49</v>
      </c>
      <c r="N34" s="1" t="s">
        <v>33</v>
      </c>
      <c r="O34" s="1" t="s">
        <v>34</v>
      </c>
      <c r="P34" s="1">
        <v>11</v>
      </c>
      <c r="Q34" s="1">
        <v>1080</v>
      </c>
      <c r="R34" s="1">
        <v>1112.4000000000001</v>
      </c>
      <c r="S34" s="1">
        <v>0.08</v>
      </c>
    </row>
    <row r="35" spans="1:19" x14ac:dyDescent="0.3">
      <c r="A35" s="1" t="s">
        <v>200</v>
      </c>
      <c r="B35" s="1" t="s">
        <v>201</v>
      </c>
      <c r="C35" s="1" t="s">
        <v>202</v>
      </c>
      <c r="D35" s="1" t="s">
        <v>203</v>
      </c>
      <c r="E35" s="1" t="s">
        <v>100</v>
      </c>
      <c r="F35" s="1">
        <v>45431</v>
      </c>
      <c r="G35" s="1">
        <v>45432</v>
      </c>
      <c r="H35" s="1">
        <v>45433</v>
      </c>
      <c r="I35" s="1" t="s">
        <v>72</v>
      </c>
      <c r="J35" s="1" t="s">
        <v>18</v>
      </c>
      <c r="K35" s="1" t="s">
        <v>21</v>
      </c>
      <c r="L35" s="1" t="s">
        <v>24</v>
      </c>
      <c r="M35" s="1" t="s">
        <v>42</v>
      </c>
      <c r="N35" s="1" t="s">
        <v>27</v>
      </c>
      <c r="O35" s="1" t="s">
        <v>28</v>
      </c>
      <c r="P35" s="1">
        <v>13</v>
      </c>
      <c r="Q35" s="1">
        <v>3030</v>
      </c>
      <c r="R35" s="1">
        <v>3211.8</v>
      </c>
      <c r="S35" s="1">
        <v>0.1</v>
      </c>
    </row>
    <row r="36" spans="1:19" x14ac:dyDescent="0.3">
      <c r="A36" s="1" t="s">
        <v>204</v>
      </c>
      <c r="B36" s="1" t="s">
        <v>205</v>
      </c>
      <c r="C36" s="1" t="s">
        <v>206</v>
      </c>
      <c r="D36" s="1" t="s">
        <v>207</v>
      </c>
      <c r="E36" s="1" t="s">
        <v>208</v>
      </c>
      <c r="F36" s="1">
        <v>45885</v>
      </c>
      <c r="G36" s="1">
        <v>45886</v>
      </c>
      <c r="H36" s="1">
        <v>45889</v>
      </c>
      <c r="I36" s="1" t="s">
        <v>82</v>
      </c>
      <c r="J36" s="1" t="s">
        <v>18</v>
      </c>
      <c r="K36" s="1" t="s">
        <v>19</v>
      </c>
      <c r="L36" s="1" t="s">
        <v>24</v>
      </c>
      <c r="M36" s="1" t="s">
        <v>50</v>
      </c>
      <c r="N36" s="1" t="s">
        <v>33</v>
      </c>
      <c r="O36" s="1" t="s">
        <v>36</v>
      </c>
      <c r="P36" s="1">
        <v>4</v>
      </c>
      <c r="Q36" s="1">
        <v>930</v>
      </c>
      <c r="R36" s="1">
        <v>1078.8</v>
      </c>
      <c r="S36" s="1">
        <v>0.08</v>
      </c>
    </row>
    <row r="37" spans="1:19" x14ac:dyDescent="0.3">
      <c r="A37" s="1" t="s">
        <v>209</v>
      </c>
      <c r="B37" s="1" t="s">
        <v>210</v>
      </c>
      <c r="C37" s="1" t="s">
        <v>211</v>
      </c>
      <c r="D37" s="1" t="s">
        <v>212</v>
      </c>
      <c r="E37" s="1" t="s">
        <v>81</v>
      </c>
      <c r="F37" s="1">
        <v>46072</v>
      </c>
      <c r="G37" s="1">
        <v>46073</v>
      </c>
      <c r="H37" s="1">
        <v>46076</v>
      </c>
      <c r="I37" s="1" t="s">
        <v>72</v>
      </c>
      <c r="J37" s="1" t="s">
        <v>18</v>
      </c>
      <c r="K37" s="1" t="s">
        <v>21</v>
      </c>
      <c r="L37" s="1" t="s">
        <v>22</v>
      </c>
      <c r="M37" s="1" t="s">
        <v>59</v>
      </c>
      <c r="N37" s="1" t="s">
        <v>27</v>
      </c>
      <c r="O37" s="1" t="s">
        <v>60</v>
      </c>
      <c r="P37" s="1">
        <v>8</v>
      </c>
      <c r="Q37" s="1">
        <v>1230</v>
      </c>
      <c r="R37" s="1">
        <v>1328.4</v>
      </c>
      <c r="S37" s="1">
        <v>0.01</v>
      </c>
    </row>
    <row r="38" spans="1:19" x14ac:dyDescent="0.3">
      <c r="A38" s="1" t="s">
        <v>213</v>
      </c>
      <c r="B38" s="1" t="s">
        <v>214</v>
      </c>
      <c r="C38" s="1" t="s">
        <v>215</v>
      </c>
      <c r="D38" s="1" t="s">
        <v>216</v>
      </c>
      <c r="E38" s="1" t="s">
        <v>217</v>
      </c>
      <c r="F38" s="1">
        <v>46062</v>
      </c>
      <c r="G38" s="1">
        <v>46063</v>
      </c>
      <c r="H38" s="1">
        <v>46066</v>
      </c>
      <c r="I38" s="1" t="s">
        <v>72</v>
      </c>
      <c r="J38" s="1" t="s">
        <v>17</v>
      </c>
      <c r="K38" s="1" t="s">
        <v>21</v>
      </c>
      <c r="L38" s="1" t="s">
        <v>25</v>
      </c>
      <c r="M38" s="1" t="s">
        <v>29</v>
      </c>
      <c r="N38" s="1" t="s">
        <v>27</v>
      </c>
      <c r="O38" s="1" t="s">
        <v>28</v>
      </c>
      <c r="P38" s="1">
        <v>8</v>
      </c>
      <c r="Q38" s="1">
        <v>3930</v>
      </c>
      <c r="R38" s="1" t="s">
        <v>2331</v>
      </c>
      <c r="S38" s="1">
        <v>0.1</v>
      </c>
    </row>
    <row r="39" spans="1:19" x14ac:dyDescent="0.3">
      <c r="A39" s="1" t="s">
        <v>218</v>
      </c>
      <c r="B39" s="1" t="s">
        <v>158</v>
      </c>
      <c r="C39" s="1" t="s">
        <v>219</v>
      </c>
      <c r="D39" s="1" t="s">
        <v>220</v>
      </c>
      <c r="E39" s="1" t="s">
        <v>178</v>
      </c>
      <c r="F39" s="1">
        <v>46062</v>
      </c>
      <c r="G39" s="1">
        <v>46063</v>
      </c>
      <c r="H39" s="1">
        <v>46065</v>
      </c>
      <c r="I39" s="1" t="s">
        <v>72</v>
      </c>
      <c r="J39" s="1" t="s">
        <v>1</v>
      </c>
      <c r="K39" s="1" t="s">
        <v>19</v>
      </c>
      <c r="L39" s="1" t="s">
        <v>22</v>
      </c>
      <c r="M39" s="1" t="s">
        <v>47</v>
      </c>
      <c r="N39" s="1" t="s">
        <v>38</v>
      </c>
      <c r="O39" s="1" t="s">
        <v>39</v>
      </c>
      <c r="P39" s="1">
        <v>5</v>
      </c>
      <c r="Q39" s="1">
        <v>390</v>
      </c>
      <c r="R39" s="1" t="s">
        <v>2332</v>
      </c>
      <c r="S39" s="1">
        <v>7.0000000000000007E-2</v>
      </c>
    </row>
    <row r="40" spans="1:19" x14ac:dyDescent="0.3">
      <c r="A40" s="1" t="s">
        <v>221</v>
      </c>
      <c r="B40" s="1" t="s">
        <v>222</v>
      </c>
      <c r="C40" s="1" t="s">
        <v>223</v>
      </c>
      <c r="D40" s="1" t="s">
        <v>224</v>
      </c>
      <c r="E40" s="1" t="s">
        <v>81</v>
      </c>
      <c r="F40" s="1">
        <v>45901</v>
      </c>
      <c r="G40" s="1">
        <v>45901</v>
      </c>
      <c r="H40" s="1">
        <v>45906</v>
      </c>
      <c r="I40" s="1" t="s">
        <v>72</v>
      </c>
      <c r="J40" s="1" t="s">
        <v>17</v>
      </c>
      <c r="K40" s="1" t="s">
        <v>21</v>
      </c>
      <c r="L40" s="1" t="s">
        <v>25</v>
      </c>
      <c r="M40" s="1" t="s">
        <v>59</v>
      </c>
      <c r="N40" s="1" t="s">
        <v>27</v>
      </c>
      <c r="O40" s="1" t="s">
        <v>60</v>
      </c>
      <c r="P40" s="1">
        <v>11</v>
      </c>
      <c r="Q40" s="1">
        <v>1230</v>
      </c>
      <c r="R40" s="1">
        <v>1328.4</v>
      </c>
      <c r="S40" s="1">
        <v>0.09</v>
      </c>
    </row>
    <row r="41" spans="1:19" x14ac:dyDescent="0.3">
      <c r="A41" s="1" t="s">
        <v>225</v>
      </c>
      <c r="B41" s="1" t="s">
        <v>226</v>
      </c>
      <c r="C41" s="1" t="s">
        <v>227</v>
      </c>
      <c r="D41" s="1" t="s">
        <v>228</v>
      </c>
      <c r="E41" s="1" t="s">
        <v>208</v>
      </c>
      <c r="F41" s="1">
        <v>45844</v>
      </c>
      <c r="G41" s="1">
        <v>45845</v>
      </c>
      <c r="H41" s="1">
        <v>45849</v>
      </c>
      <c r="I41" s="1" t="s">
        <v>72</v>
      </c>
      <c r="J41" s="1" t="s">
        <v>16</v>
      </c>
      <c r="K41" s="1" t="s">
        <v>20</v>
      </c>
      <c r="L41" s="1" t="s">
        <v>22</v>
      </c>
      <c r="M41" s="1" t="s">
        <v>50</v>
      </c>
      <c r="N41" s="1" t="s">
        <v>33</v>
      </c>
      <c r="O41" s="1" t="s">
        <v>36</v>
      </c>
      <c r="P41" s="1">
        <v>6</v>
      </c>
      <c r="Q41" s="1">
        <v>930</v>
      </c>
      <c r="R41" s="1">
        <v>1078.8</v>
      </c>
      <c r="S41" s="1">
        <v>0.03</v>
      </c>
    </row>
    <row r="42" spans="1:19" x14ac:dyDescent="0.3">
      <c r="A42" s="1" t="s">
        <v>229</v>
      </c>
      <c r="B42" s="1" t="s">
        <v>230</v>
      </c>
      <c r="C42" s="1" t="s">
        <v>231</v>
      </c>
      <c r="D42" s="1" t="s">
        <v>232</v>
      </c>
      <c r="E42" s="1" t="s">
        <v>132</v>
      </c>
      <c r="F42" s="1">
        <v>45624</v>
      </c>
      <c r="G42" s="1">
        <v>45624</v>
      </c>
      <c r="H42" s="1">
        <v>45627</v>
      </c>
      <c r="I42" s="1" t="s">
        <v>72</v>
      </c>
      <c r="J42" s="1" t="s">
        <v>17</v>
      </c>
      <c r="K42" s="1" t="s">
        <v>21</v>
      </c>
      <c r="L42" s="1" t="s">
        <v>61</v>
      </c>
      <c r="M42" s="1" t="s">
        <v>53</v>
      </c>
      <c r="N42" s="1" t="s">
        <v>27</v>
      </c>
      <c r="O42" s="1" t="s">
        <v>54</v>
      </c>
      <c r="P42" s="1">
        <v>8</v>
      </c>
      <c r="Q42" s="1">
        <v>430</v>
      </c>
      <c r="R42" s="1">
        <v>455.8</v>
      </c>
      <c r="S42" s="1">
        <v>0.05</v>
      </c>
    </row>
    <row r="43" spans="1:19" x14ac:dyDescent="0.3">
      <c r="A43" s="1" t="s">
        <v>233</v>
      </c>
      <c r="B43" s="1" t="s">
        <v>84</v>
      </c>
      <c r="C43" s="1" t="s">
        <v>234</v>
      </c>
      <c r="D43" s="1" t="s">
        <v>235</v>
      </c>
      <c r="E43" s="1" t="s">
        <v>114</v>
      </c>
      <c r="F43" s="1">
        <v>45466</v>
      </c>
      <c r="G43" s="1">
        <v>45466</v>
      </c>
      <c r="H43" s="1">
        <v>45469</v>
      </c>
      <c r="I43" s="1" t="s">
        <v>82</v>
      </c>
      <c r="J43" s="1" t="s">
        <v>18</v>
      </c>
      <c r="K43" s="1" t="s">
        <v>19</v>
      </c>
      <c r="L43" s="1" t="s">
        <v>22</v>
      </c>
      <c r="M43" s="1" t="s">
        <v>51</v>
      </c>
      <c r="N43" s="1" t="s">
        <v>33</v>
      </c>
      <c r="O43" s="1" t="s">
        <v>52</v>
      </c>
      <c r="P43" s="1">
        <v>1</v>
      </c>
      <c r="Q43" s="1">
        <v>280</v>
      </c>
      <c r="R43" s="1">
        <v>336</v>
      </c>
      <c r="S43" s="1">
        <v>0.1</v>
      </c>
    </row>
    <row r="44" spans="1:19" x14ac:dyDescent="0.3">
      <c r="A44" s="1" t="s">
        <v>236</v>
      </c>
      <c r="B44" s="1" t="s">
        <v>116</v>
      </c>
      <c r="C44" s="1" t="s">
        <v>237</v>
      </c>
      <c r="D44" s="1" t="s">
        <v>238</v>
      </c>
      <c r="E44" s="1" t="s">
        <v>100</v>
      </c>
      <c r="F44" s="1">
        <v>45979</v>
      </c>
      <c r="G44" s="1">
        <v>45980</v>
      </c>
      <c r="H44" s="1">
        <v>45984</v>
      </c>
      <c r="I44" s="1" t="s">
        <v>72</v>
      </c>
      <c r="J44" s="1" t="s">
        <v>18</v>
      </c>
      <c r="K44" s="1" t="s">
        <v>21</v>
      </c>
      <c r="L44" s="1" t="s">
        <v>24</v>
      </c>
      <c r="M44" s="1" t="s">
        <v>42</v>
      </c>
      <c r="N44" s="1" t="s">
        <v>27</v>
      </c>
      <c r="O44" s="1" t="s">
        <v>28</v>
      </c>
      <c r="P44" s="1">
        <v>9</v>
      </c>
      <c r="Q44" s="1">
        <v>3030</v>
      </c>
      <c r="R44" s="1">
        <v>3211.8</v>
      </c>
      <c r="S44" s="1">
        <v>0.01</v>
      </c>
    </row>
    <row r="45" spans="1:19" x14ac:dyDescent="0.3">
      <c r="A45" s="1" t="s">
        <v>239</v>
      </c>
      <c r="B45" s="1" t="s">
        <v>240</v>
      </c>
      <c r="C45" s="1" t="s">
        <v>241</v>
      </c>
      <c r="D45" s="1" t="s">
        <v>242</v>
      </c>
      <c r="E45" s="1" t="s">
        <v>178</v>
      </c>
      <c r="F45" s="1">
        <v>45763</v>
      </c>
      <c r="G45" s="1">
        <v>45763</v>
      </c>
      <c r="H45" s="1">
        <v>45767</v>
      </c>
      <c r="I45" s="1" t="s">
        <v>72</v>
      </c>
      <c r="J45" s="1" t="s">
        <v>1</v>
      </c>
      <c r="K45" s="1" t="s">
        <v>19</v>
      </c>
      <c r="L45" s="1" t="s">
        <v>23</v>
      </c>
      <c r="M45" s="1" t="s">
        <v>47</v>
      </c>
      <c r="N45" s="1" t="s">
        <v>38</v>
      </c>
      <c r="O45" s="1" t="s">
        <v>39</v>
      </c>
      <c r="P45" s="1">
        <v>9</v>
      </c>
      <c r="Q45" s="1">
        <v>390</v>
      </c>
      <c r="R45" s="1">
        <v>468</v>
      </c>
      <c r="S45" s="1">
        <v>0.02</v>
      </c>
    </row>
    <row r="46" spans="1:19" x14ac:dyDescent="0.3">
      <c r="A46" s="1" t="s">
        <v>243</v>
      </c>
      <c r="B46" s="1" t="s">
        <v>244</v>
      </c>
      <c r="C46" s="1" t="s">
        <v>245</v>
      </c>
      <c r="D46" s="1" t="s">
        <v>246</v>
      </c>
      <c r="E46" s="1" t="s">
        <v>77</v>
      </c>
      <c r="F46" s="1">
        <v>45424</v>
      </c>
      <c r="G46" s="1">
        <v>45425</v>
      </c>
      <c r="H46" s="1">
        <v>45429</v>
      </c>
      <c r="I46" s="1" t="s">
        <v>82</v>
      </c>
      <c r="J46" s="1" t="s">
        <v>18</v>
      </c>
      <c r="K46" s="1" t="s">
        <v>19</v>
      </c>
      <c r="L46" s="1" t="s">
        <v>61</v>
      </c>
      <c r="M46" s="1" t="s">
        <v>44</v>
      </c>
      <c r="N46" s="1" t="s">
        <v>38</v>
      </c>
      <c r="O46" s="1" t="s">
        <v>45</v>
      </c>
      <c r="P46" s="1">
        <v>1</v>
      </c>
      <c r="Q46" s="1">
        <v>210</v>
      </c>
      <c r="R46" s="1">
        <v>222.60000000000002</v>
      </c>
      <c r="S46" s="1">
        <v>0.09</v>
      </c>
    </row>
    <row r="47" spans="1:19" x14ac:dyDescent="0.3">
      <c r="A47" s="1" t="s">
        <v>247</v>
      </c>
      <c r="B47" s="1" t="s">
        <v>248</v>
      </c>
      <c r="C47" s="1" t="s">
        <v>249</v>
      </c>
      <c r="D47" s="1" t="s">
        <v>250</v>
      </c>
      <c r="E47" s="1" t="s">
        <v>77</v>
      </c>
      <c r="F47" s="1">
        <v>45727</v>
      </c>
      <c r="G47" s="1">
        <v>45728</v>
      </c>
      <c r="H47" s="1">
        <v>45732</v>
      </c>
      <c r="I47" s="1" t="s">
        <v>72</v>
      </c>
      <c r="J47" s="1" t="s">
        <v>18</v>
      </c>
      <c r="K47" s="1" t="s">
        <v>21</v>
      </c>
      <c r="L47" s="1" t="s">
        <v>61</v>
      </c>
      <c r="M47" s="1" t="s">
        <v>44</v>
      </c>
      <c r="N47" s="1" t="s">
        <v>38</v>
      </c>
      <c r="O47" s="1" t="s">
        <v>45</v>
      </c>
      <c r="P47" s="1">
        <v>11</v>
      </c>
      <c r="Q47" s="1">
        <v>210</v>
      </c>
      <c r="R47" s="1">
        <v>222.60000000000002</v>
      </c>
      <c r="S47" s="1">
        <v>0.1</v>
      </c>
    </row>
    <row r="48" spans="1:19" x14ac:dyDescent="0.3">
      <c r="A48" s="1" t="s">
        <v>251</v>
      </c>
      <c r="B48" s="1" t="s">
        <v>252</v>
      </c>
      <c r="C48" s="1" t="s">
        <v>253</v>
      </c>
      <c r="D48" s="1" t="s">
        <v>254</v>
      </c>
      <c r="E48" s="1" t="s">
        <v>132</v>
      </c>
      <c r="F48" s="1">
        <v>45428</v>
      </c>
      <c r="G48" s="1">
        <v>45428</v>
      </c>
      <c r="H48" s="1">
        <v>45431</v>
      </c>
      <c r="I48" s="1" t="s">
        <v>72</v>
      </c>
      <c r="J48" s="1" t="s">
        <v>1</v>
      </c>
      <c r="K48" s="1" t="s">
        <v>19</v>
      </c>
      <c r="L48" s="1" t="s">
        <v>61</v>
      </c>
      <c r="M48" s="1" t="s">
        <v>53</v>
      </c>
      <c r="N48" s="1" t="s">
        <v>27</v>
      </c>
      <c r="O48" s="1" t="s">
        <v>54</v>
      </c>
      <c r="P48" s="1">
        <v>7</v>
      </c>
      <c r="Q48" s="1">
        <v>430</v>
      </c>
      <c r="R48" s="1">
        <v>455.8</v>
      </c>
      <c r="S48" s="1">
        <v>0.06</v>
      </c>
    </row>
    <row r="49" spans="1:19" x14ac:dyDescent="0.3">
      <c r="A49" s="1" t="s">
        <v>255</v>
      </c>
      <c r="B49" s="1" t="s">
        <v>248</v>
      </c>
      <c r="C49" s="1" t="s">
        <v>256</v>
      </c>
      <c r="D49" s="1" t="s">
        <v>257</v>
      </c>
      <c r="E49" s="1" t="s">
        <v>217</v>
      </c>
      <c r="F49" s="1">
        <v>45661</v>
      </c>
      <c r="G49" s="1">
        <v>45661</v>
      </c>
      <c r="H49" s="1">
        <v>45665</v>
      </c>
      <c r="I49" s="1" t="s">
        <v>72</v>
      </c>
      <c r="J49" s="1" t="s">
        <v>2</v>
      </c>
      <c r="K49" s="1" t="s">
        <v>19</v>
      </c>
      <c r="L49" s="1" t="s">
        <v>24</v>
      </c>
      <c r="M49" s="1" t="s">
        <v>29</v>
      </c>
      <c r="N49" s="1" t="s">
        <v>27</v>
      </c>
      <c r="O49" s="1" t="s">
        <v>28</v>
      </c>
      <c r="P49" s="1">
        <v>7</v>
      </c>
      <c r="Q49" s="1">
        <v>3930</v>
      </c>
      <c r="R49" s="1">
        <v>4362.3</v>
      </c>
      <c r="S49" s="1">
        <v>0.04</v>
      </c>
    </row>
    <row r="50" spans="1:19" x14ac:dyDescent="0.3">
      <c r="A50" s="1" t="s">
        <v>258</v>
      </c>
      <c r="B50" s="1" t="s">
        <v>259</v>
      </c>
      <c r="C50" s="1" t="s">
        <v>260</v>
      </c>
      <c r="D50" s="1" t="s">
        <v>261</v>
      </c>
      <c r="E50" s="1" t="s">
        <v>71</v>
      </c>
      <c r="F50" s="1">
        <v>46027</v>
      </c>
      <c r="G50" s="1">
        <v>46028</v>
      </c>
      <c r="H50" s="1">
        <v>46029</v>
      </c>
      <c r="I50" s="1" t="s">
        <v>82</v>
      </c>
      <c r="J50" s="1" t="s">
        <v>1</v>
      </c>
      <c r="K50" s="1" t="s">
        <v>20</v>
      </c>
      <c r="L50" s="1" t="s">
        <v>25</v>
      </c>
      <c r="M50" s="1" t="s">
        <v>32</v>
      </c>
      <c r="N50" s="1" t="s">
        <v>33</v>
      </c>
      <c r="O50" s="1" t="s">
        <v>34</v>
      </c>
      <c r="P50" s="1">
        <v>1</v>
      </c>
      <c r="Q50" s="1">
        <v>730</v>
      </c>
      <c r="R50" s="1">
        <v>824.9</v>
      </c>
      <c r="S50" s="1">
        <v>7.0000000000000007E-2</v>
      </c>
    </row>
    <row r="51" spans="1:19" x14ac:dyDescent="0.3">
      <c r="A51" s="1" t="s">
        <v>262</v>
      </c>
      <c r="B51" s="1" t="s">
        <v>263</v>
      </c>
      <c r="C51" s="1" t="s">
        <v>264</v>
      </c>
      <c r="D51" s="1" t="s">
        <v>265</v>
      </c>
      <c r="E51" s="1" t="s">
        <v>81</v>
      </c>
      <c r="F51" s="1">
        <v>45874</v>
      </c>
      <c r="G51" s="1">
        <v>45875</v>
      </c>
      <c r="H51" s="1">
        <v>45879</v>
      </c>
      <c r="I51" s="1" t="s">
        <v>72</v>
      </c>
      <c r="J51" s="1" t="s">
        <v>1</v>
      </c>
      <c r="K51" s="1" t="s">
        <v>19</v>
      </c>
      <c r="L51" s="1" t="s">
        <v>23</v>
      </c>
      <c r="M51" s="1" t="s">
        <v>59</v>
      </c>
      <c r="N51" s="1" t="s">
        <v>27</v>
      </c>
      <c r="O51" s="1" t="s">
        <v>60</v>
      </c>
      <c r="P51" s="1">
        <v>7</v>
      </c>
      <c r="Q51" s="1">
        <v>1230</v>
      </c>
      <c r="R51" s="1">
        <v>1328.4</v>
      </c>
      <c r="S51" s="1">
        <v>0.03</v>
      </c>
    </row>
    <row r="52" spans="1:19" x14ac:dyDescent="0.3">
      <c r="A52" s="1" t="s">
        <v>266</v>
      </c>
      <c r="B52" s="1" t="s">
        <v>267</v>
      </c>
      <c r="C52" s="1" t="s">
        <v>268</v>
      </c>
      <c r="D52" s="1" t="s">
        <v>269</v>
      </c>
      <c r="E52" s="1" t="s">
        <v>217</v>
      </c>
      <c r="F52" s="1">
        <v>45478</v>
      </c>
      <c r="G52" s="1">
        <v>45478</v>
      </c>
      <c r="H52" s="1">
        <v>45481</v>
      </c>
      <c r="I52" s="1" t="s">
        <v>82</v>
      </c>
      <c r="J52" s="1" t="s">
        <v>17</v>
      </c>
      <c r="K52" s="1" t="s">
        <v>20</v>
      </c>
      <c r="L52" s="1" t="s">
        <v>22</v>
      </c>
      <c r="M52" s="1" t="s">
        <v>29</v>
      </c>
      <c r="N52" s="1" t="s">
        <v>27</v>
      </c>
      <c r="O52" s="1" t="s">
        <v>28</v>
      </c>
      <c r="P52" s="1">
        <v>4</v>
      </c>
      <c r="Q52" s="1">
        <v>3930</v>
      </c>
      <c r="R52" s="1">
        <v>4362.3</v>
      </c>
      <c r="S52" s="1">
        <v>0.06</v>
      </c>
    </row>
    <row r="53" spans="1:19" x14ac:dyDescent="0.3">
      <c r="A53" s="1" t="s">
        <v>270</v>
      </c>
      <c r="B53" s="1" t="s">
        <v>271</v>
      </c>
      <c r="C53" s="1" t="s">
        <v>272</v>
      </c>
      <c r="D53" s="1" t="s">
        <v>273</v>
      </c>
      <c r="E53" s="1" t="s">
        <v>114</v>
      </c>
      <c r="F53" s="1">
        <v>45767</v>
      </c>
      <c r="G53" s="1">
        <v>45767</v>
      </c>
      <c r="H53" s="1">
        <v>45770</v>
      </c>
      <c r="I53" s="1" t="s">
        <v>72</v>
      </c>
      <c r="J53" s="1" t="s">
        <v>17</v>
      </c>
      <c r="K53" s="1" t="s">
        <v>20</v>
      </c>
      <c r="L53" s="1" t="s">
        <v>25</v>
      </c>
      <c r="M53" s="1" t="s">
        <v>51</v>
      </c>
      <c r="N53" s="1" t="s">
        <v>33</v>
      </c>
      <c r="O53" s="1" t="s">
        <v>52</v>
      </c>
      <c r="P53" s="1">
        <v>9</v>
      </c>
      <c r="Q53" s="1">
        <v>280</v>
      </c>
      <c r="R53" s="1">
        <v>336</v>
      </c>
      <c r="S53" s="1">
        <v>0.02</v>
      </c>
    </row>
    <row r="54" spans="1:19" x14ac:dyDescent="0.3">
      <c r="A54" s="1" t="s">
        <v>274</v>
      </c>
      <c r="B54" s="1" t="s">
        <v>275</v>
      </c>
      <c r="C54" s="1" t="s">
        <v>276</v>
      </c>
      <c r="D54" s="1" t="s">
        <v>277</v>
      </c>
      <c r="E54" s="1" t="s">
        <v>141</v>
      </c>
      <c r="F54" s="1">
        <v>46012</v>
      </c>
      <c r="G54" s="1">
        <v>46012</v>
      </c>
      <c r="H54" s="1">
        <v>46015</v>
      </c>
      <c r="I54" s="1" t="s">
        <v>72</v>
      </c>
      <c r="J54" s="1" t="s">
        <v>18</v>
      </c>
      <c r="K54" s="1" t="s">
        <v>21</v>
      </c>
      <c r="L54" s="1" t="s">
        <v>25</v>
      </c>
      <c r="M54" s="1" t="s">
        <v>35</v>
      </c>
      <c r="N54" s="1" t="s">
        <v>33</v>
      </c>
      <c r="O54" s="1" t="s">
        <v>36</v>
      </c>
      <c r="P54" s="1">
        <v>14</v>
      </c>
      <c r="Q54" s="1">
        <v>1530</v>
      </c>
      <c r="R54" s="1">
        <v>1790.1</v>
      </c>
      <c r="S54" s="1">
        <v>0.08</v>
      </c>
    </row>
    <row r="55" spans="1:19" x14ac:dyDescent="0.3">
      <c r="A55" s="1" t="s">
        <v>278</v>
      </c>
      <c r="B55" s="1" t="s">
        <v>205</v>
      </c>
      <c r="C55" s="1" t="s">
        <v>279</v>
      </c>
      <c r="D55" s="1" t="s">
        <v>280</v>
      </c>
      <c r="E55" s="1" t="s">
        <v>100</v>
      </c>
      <c r="F55" s="1">
        <v>45363</v>
      </c>
      <c r="G55" s="1">
        <v>45363</v>
      </c>
      <c r="H55" s="1">
        <v>45366</v>
      </c>
      <c r="I55" s="1" t="s">
        <v>72</v>
      </c>
      <c r="J55" s="1" t="s">
        <v>2</v>
      </c>
      <c r="K55" s="1" t="s">
        <v>20</v>
      </c>
      <c r="L55" s="1" t="s">
        <v>61</v>
      </c>
      <c r="M55" s="1" t="s">
        <v>42</v>
      </c>
      <c r="N55" s="1" t="s">
        <v>27</v>
      </c>
      <c r="O55" s="1" t="s">
        <v>28</v>
      </c>
      <c r="P55" s="1">
        <v>9</v>
      </c>
      <c r="Q55" s="1">
        <v>3030</v>
      </c>
      <c r="R55" s="1">
        <v>3211.8</v>
      </c>
      <c r="S55" s="1">
        <v>0.1</v>
      </c>
    </row>
    <row r="56" spans="1:19" x14ac:dyDescent="0.3">
      <c r="A56" s="1" t="s">
        <v>281</v>
      </c>
      <c r="B56" s="1" t="s">
        <v>74</v>
      </c>
      <c r="C56" s="1" t="s">
        <v>282</v>
      </c>
      <c r="D56" s="1" t="s">
        <v>283</v>
      </c>
      <c r="E56" s="1" t="s">
        <v>109</v>
      </c>
      <c r="F56" s="1">
        <v>45594</v>
      </c>
      <c r="G56" s="1">
        <v>45594</v>
      </c>
      <c r="H56" s="1">
        <v>45599</v>
      </c>
      <c r="I56" s="1" t="s">
        <v>72</v>
      </c>
      <c r="J56" s="1" t="s">
        <v>2</v>
      </c>
      <c r="K56" s="1" t="s">
        <v>19</v>
      </c>
      <c r="L56" s="1" t="s">
        <v>61</v>
      </c>
      <c r="M56" s="1" t="s">
        <v>55</v>
      </c>
      <c r="N56" s="1" t="s">
        <v>27</v>
      </c>
      <c r="O56" s="1" t="s">
        <v>56</v>
      </c>
      <c r="P56" s="1">
        <v>7</v>
      </c>
      <c r="Q56" s="1">
        <v>650</v>
      </c>
      <c r="R56" s="1">
        <v>663</v>
      </c>
      <c r="S56" s="1">
        <v>0.02</v>
      </c>
    </row>
    <row r="57" spans="1:19" x14ac:dyDescent="0.3">
      <c r="A57" s="1" t="s">
        <v>284</v>
      </c>
      <c r="B57" s="1" t="s">
        <v>285</v>
      </c>
      <c r="C57" s="1" t="s">
        <v>286</v>
      </c>
      <c r="D57" s="1" t="s">
        <v>287</v>
      </c>
      <c r="E57" s="1" t="s">
        <v>187</v>
      </c>
      <c r="F57" s="1">
        <v>45857</v>
      </c>
      <c r="G57" s="1">
        <v>45857</v>
      </c>
      <c r="H57" s="1">
        <v>45862</v>
      </c>
      <c r="I57" s="1" t="s">
        <v>72</v>
      </c>
      <c r="J57" s="1" t="s">
        <v>2</v>
      </c>
      <c r="K57" s="1" t="s">
        <v>21</v>
      </c>
      <c r="L57" s="1" t="s">
        <v>22</v>
      </c>
      <c r="M57" s="1" t="s">
        <v>40</v>
      </c>
      <c r="N57" s="1" t="s">
        <v>38</v>
      </c>
      <c r="O57" s="1" t="s">
        <v>41</v>
      </c>
      <c r="P57" s="1">
        <v>14</v>
      </c>
      <c r="Q57" s="1">
        <v>170</v>
      </c>
      <c r="R57" s="1">
        <v>188.70000000000002</v>
      </c>
      <c r="S57" s="1">
        <v>0.02</v>
      </c>
    </row>
    <row r="58" spans="1:19" x14ac:dyDescent="0.3">
      <c r="A58" s="1" t="s">
        <v>288</v>
      </c>
      <c r="B58" s="1" t="s">
        <v>271</v>
      </c>
      <c r="C58" s="1" t="s">
        <v>289</v>
      </c>
      <c r="D58" s="1" t="s">
        <v>290</v>
      </c>
      <c r="E58" s="1" t="s">
        <v>291</v>
      </c>
      <c r="F58" s="1">
        <v>45999</v>
      </c>
      <c r="G58" s="1">
        <v>45999</v>
      </c>
      <c r="H58" s="1">
        <v>46001</v>
      </c>
      <c r="I58" s="1" t="s">
        <v>72</v>
      </c>
      <c r="J58" s="1" t="s">
        <v>16</v>
      </c>
      <c r="K58" s="1" t="s">
        <v>20</v>
      </c>
      <c r="L58" s="1" t="s">
        <v>25</v>
      </c>
      <c r="M58" s="1" t="s">
        <v>57</v>
      </c>
      <c r="N58" s="1" t="s">
        <v>27</v>
      </c>
      <c r="O58" s="1" t="s">
        <v>58</v>
      </c>
      <c r="P58" s="1">
        <v>8</v>
      </c>
      <c r="Q58" s="1">
        <v>480</v>
      </c>
      <c r="R58" s="1">
        <v>513.6</v>
      </c>
      <c r="S58" s="1">
        <v>0.03</v>
      </c>
    </row>
    <row r="59" spans="1:19" x14ac:dyDescent="0.3">
      <c r="A59" s="1" t="s">
        <v>292</v>
      </c>
      <c r="B59" s="1" t="s">
        <v>293</v>
      </c>
      <c r="C59" s="1" t="s">
        <v>294</v>
      </c>
      <c r="D59" s="1" t="s">
        <v>295</v>
      </c>
      <c r="E59" s="1" t="s">
        <v>71</v>
      </c>
      <c r="F59" s="1">
        <v>46073</v>
      </c>
      <c r="G59" s="1">
        <v>46074</v>
      </c>
      <c r="H59" s="1">
        <v>46077</v>
      </c>
      <c r="I59" s="1" t="s">
        <v>72</v>
      </c>
      <c r="J59" s="1" t="s">
        <v>18</v>
      </c>
      <c r="K59" s="1" t="s">
        <v>21</v>
      </c>
      <c r="L59" s="1" t="s">
        <v>61</v>
      </c>
      <c r="M59" s="1" t="s">
        <v>32</v>
      </c>
      <c r="N59" s="1" t="s">
        <v>33</v>
      </c>
      <c r="O59" s="1" t="s">
        <v>34</v>
      </c>
      <c r="P59" s="1">
        <v>7</v>
      </c>
      <c r="Q59" s="1">
        <v>730</v>
      </c>
      <c r="R59" s="1">
        <v>824.9</v>
      </c>
      <c r="S59" s="1">
        <v>0.05</v>
      </c>
    </row>
    <row r="60" spans="1:19" x14ac:dyDescent="0.3">
      <c r="A60" s="1" t="s">
        <v>296</v>
      </c>
      <c r="B60" s="1" t="s">
        <v>297</v>
      </c>
      <c r="C60" s="1" t="s">
        <v>298</v>
      </c>
      <c r="D60" s="1" t="s">
        <v>299</v>
      </c>
      <c r="E60" s="1" t="s">
        <v>178</v>
      </c>
      <c r="F60" s="1">
        <v>45293</v>
      </c>
      <c r="G60" s="1">
        <v>45294</v>
      </c>
      <c r="H60" s="1">
        <v>45295</v>
      </c>
      <c r="I60" s="1" t="s">
        <v>72</v>
      </c>
      <c r="J60" s="1" t="s">
        <v>17</v>
      </c>
      <c r="K60" s="1" t="s">
        <v>19</v>
      </c>
      <c r="L60" s="1" t="s">
        <v>25</v>
      </c>
      <c r="M60" s="1" t="s">
        <v>47</v>
      </c>
      <c r="N60" s="1" t="s">
        <v>38</v>
      </c>
      <c r="O60" s="1" t="s">
        <v>39</v>
      </c>
      <c r="P60" s="1">
        <v>6</v>
      </c>
      <c r="Q60" s="1">
        <v>390</v>
      </c>
      <c r="R60" s="1">
        <v>468</v>
      </c>
      <c r="S60" s="1">
        <v>0</v>
      </c>
    </row>
    <row r="61" spans="1:19" x14ac:dyDescent="0.3">
      <c r="A61" s="1" t="s">
        <v>300</v>
      </c>
      <c r="B61" s="1" t="s">
        <v>175</v>
      </c>
      <c r="C61" s="1" t="s">
        <v>301</v>
      </c>
      <c r="D61" s="1" t="s">
        <v>302</v>
      </c>
      <c r="E61" s="1" t="s">
        <v>81</v>
      </c>
      <c r="F61" s="1">
        <v>45852</v>
      </c>
      <c r="G61" s="1">
        <v>45853</v>
      </c>
      <c r="H61" s="1">
        <v>45857</v>
      </c>
      <c r="I61" s="1" t="s">
        <v>82</v>
      </c>
      <c r="J61" s="1" t="s">
        <v>17</v>
      </c>
      <c r="K61" s="1" t="s">
        <v>20</v>
      </c>
      <c r="L61" s="1" t="s">
        <v>61</v>
      </c>
      <c r="M61" s="1" t="s">
        <v>59</v>
      </c>
      <c r="N61" s="1" t="s">
        <v>27</v>
      </c>
      <c r="O61" s="1" t="s">
        <v>60</v>
      </c>
      <c r="P61" s="1">
        <v>3</v>
      </c>
      <c r="Q61" s="1">
        <v>1230</v>
      </c>
      <c r="R61" s="1">
        <v>1328.4</v>
      </c>
      <c r="S61" s="1">
        <v>0.08</v>
      </c>
    </row>
    <row r="62" spans="1:19" x14ac:dyDescent="0.3">
      <c r="A62" s="1" t="s">
        <v>303</v>
      </c>
      <c r="B62" s="1" t="s">
        <v>304</v>
      </c>
      <c r="C62" s="1" t="s">
        <v>305</v>
      </c>
      <c r="D62" s="1" t="s">
        <v>306</v>
      </c>
      <c r="E62" s="1" t="s">
        <v>87</v>
      </c>
      <c r="F62" s="1">
        <v>45972</v>
      </c>
      <c r="G62" s="1">
        <v>45972</v>
      </c>
      <c r="H62" s="1">
        <v>45975</v>
      </c>
      <c r="I62" s="1" t="s">
        <v>72</v>
      </c>
      <c r="J62" s="1" t="s">
        <v>16</v>
      </c>
      <c r="K62" s="1" t="s">
        <v>20</v>
      </c>
      <c r="L62" s="1" t="s">
        <v>22</v>
      </c>
      <c r="M62" s="1" t="s">
        <v>30</v>
      </c>
      <c r="N62" s="1" t="s">
        <v>27</v>
      </c>
      <c r="O62" s="1" t="s">
        <v>31</v>
      </c>
      <c r="P62" s="1">
        <v>8</v>
      </c>
      <c r="Q62" s="1">
        <v>1030</v>
      </c>
      <c r="R62" s="1">
        <v>1174.2</v>
      </c>
      <c r="S62" s="1">
        <v>0.04</v>
      </c>
    </row>
    <row r="63" spans="1:19" x14ac:dyDescent="0.3">
      <c r="A63" s="1" t="s">
        <v>307</v>
      </c>
      <c r="B63" s="1" t="s">
        <v>267</v>
      </c>
      <c r="C63" s="1" t="s">
        <v>308</v>
      </c>
      <c r="D63" s="1" t="s">
        <v>309</v>
      </c>
      <c r="E63" s="1" t="s">
        <v>81</v>
      </c>
      <c r="F63" s="1">
        <v>45795</v>
      </c>
      <c r="G63" s="1">
        <v>45795</v>
      </c>
      <c r="H63" s="1">
        <v>45798</v>
      </c>
      <c r="I63" s="1" t="s">
        <v>82</v>
      </c>
      <c r="J63" s="1" t="s">
        <v>17</v>
      </c>
      <c r="K63" s="1" t="s">
        <v>19</v>
      </c>
      <c r="L63" s="1" t="s">
        <v>22</v>
      </c>
      <c r="M63" s="1" t="s">
        <v>59</v>
      </c>
      <c r="N63" s="1" t="s">
        <v>27</v>
      </c>
      <c r="O63" s="1" t="s">
        <v>60</v>
      </c>
      <c r="P63" s="1">
        <v>4</v>
      </c>
      <c r="Q63" s="1">
        <v>1230</v>
      </c>
      <c r="R63" s="1">
        <v>1328.4</v>
      </c>
      <c r="S63" s="1">
        <v>0.1</v>
      </c>
    </row>
    <row r="64" spans="1:19" x14ac:dyDescent="0.3">
      <c r="A64" s="1" t="s">
        <v>310</v>
      </c>
      <c r="B64" s="1" t="s">
        <v>311</v>
      </c>
      <c r="C64" s="1" t="s">
        <v>312</v>
      </c>
      <c r="D64" s="1" t="s">
        <v>313</v>
      </c>
      <c r="E64" s="1" t="s">
        <v>173</v>
      </c>
      <c r="F64" s="1">
        <v>45506</v>
      </c>
      <c r="G64" s="1">
        <v>45506</v>
      </c>
      <c r="H64" s="1">
        <v>45509</v>
      </c>
      <c r="I64" s="1" t="s">
        <v>82</v>
      </c>
      <c r="J64" s="1" t="s">
        <v>17</v>
      </c>
      <c r="K64" s="1" t="s">
        <v>19</v>
      </c>
      <c r="L64" s="1" t="s">
        <v>22</v>
      </c>
      <c r="M64" s="1" t="s">
        <v>48</v>
      </c>
      <c r="N64" s="1" t="s">
        <v>38</v>
      </c>
      <c r="O64" s="1" t="s">
        <v>41</v>
      </c>
      <c r="P64" s="1">
        <v>4</v>
      </c>
      <c r="Q64" s="1">
        <v>580</v>
      </c>
      <c r="R64" s="1">
        <v>667</v>
      </c>
      <c r="S64" s="1">
        <v>0.08</v>
      </c>
    </row>
    <row r="65" spans="1:19" x14ac:dyDescent="0.3">
      <c r="A65" s="1" t="s">
        <v>314</v>
      </c>
      <c r="B65" s="1" t="s">
        <v>315</v>
      </c>
      <c r="C65" s="1" t="s">
        <v>316</v>
      </c>
      <c r="D65" s="1" t="s">
        <v>317</v>
      </c>
      <c r="E65" s="1" t="s">
        <v>141</v>
      </c>
      <c r="F65" s="1">
        <v>45792</v>
      </c>
      <c r="G65" s="1">
        <v>45793</v>
      </c>
      <c r="H65" s="1">
        <v>45794</v>
      </c>
      <c r="I65" s="1" t="s">
        <v>82</v>
      </c>
      <c r="J65" s="1" t="s">
        <v>1</v>
      </c>
      <c r="K65" s="1" t="s">
        <v>20</v>
      </c>
      <c r="L65" s="1" t="s">
        <v>61</v>
      </c>
      <c r="M65" s="1" t="s">
        <v>35</v>
      </c>
      <c r="N65" s="1" t="s">
        <v>33</v>
      </c>
      <c r="O65" s="1" t="s">
        <v>36</v>
      </c>
      <c r="P65" s="1">
        <v>3</v>
      </c>
      <c r="Q65" s="1">
        <v>1530</v>
      </c>
      <c r="R65" s="1">
        <v>1790.1</v>
      </c>
      <c r="S65" s="1">
        <v>0</v>
      </c>
    </row>
    <row r="66" spans="1:19" x14ac:dyDescent="0.3">
      <c r="A66" s="1" t="s">
        <v>318</v>
      </c>
      <c r="B66" s="1" t="s">
        <v>319</v>
      </c>
      <c r="C66" s="1" t="s">
        <v>320</v>
      </c>
      <c r="D66" s="1" t="s">
        <v>321</v>
      </c>
      <c r="E66" s="1" t="s">
        <v>322</v>
      </c>
      <c r="F66" s="1">
        <v>45612</v>
      </c>
      <c r="G66" s="1">
        <v>45612</v>
      </c>
      <c r="H66" s="1">
        <v>45615</v>
      </c>
      <c r="I66" s="1" t="s">
        <v>72</v>
      </c>
      <c r="J66" s="1" t="s">
        <v>2</v>
      </c>
      <c r="K66" s="1" t="s">
        <v>21</v>
      </c>
      <c r="L66" s="1" t="s">
        <v>23</v>
      </c>
      <c r="M66" s="1" t="s">
        <v>26</v>
      </c>
      <c r="N66" s="1" t="s">
        <v>27</v>
      </c>
      <c r="O66" s="1" t="s">
        <v>28</v>
      </c>
      <c r="P66" s="1">
        <v>12</v>
      </c>
      <c r="Q66" s="1">
        <v>3330</v>
      </c>
      <c r="R66" s="1">
        <v>3629.7000000000003</v>
      </c>
      <c r="S66" s="1">
        <v>0.04</v>
      </c>
    </row>
    <row r="67" spans="1:19" x14ac:dyDescent="0.3">
      <c r="A67" s="1" t="s">
        <v>323</v>
      </c>
      <c r="B67" s="1" t="s">
        <v>324</v>
      </c>
      <c r="C67" s="1" t="s">
        <v>325</v>
      </c>
      <c r="D67" s="1" t="s">
        <v>326</v>
      </c>
      <c r="E67" s="1" t="s">
        <v>81</v>
      </c>
      <c r="F67" s="1">
        <v>45994</v>
      </c>
      <c r="G67" s="1">
        <v>45994</v>
      </c>
      <c r="H67" s="1">
        <v>45999</v>
      </c>
      <c r="I67" s="1" t="s">
        <v>72</v>
      </c>
      <c r="J67" s="1" t="s">
        <v>18</v>
      </c>
      <c r="K67" s="1" t="s">
        <v>21</v>
      </c>
      <c r="L67" s="1" t="s">
        <v>25</v>
      </c>
      <c r="M67" s="1" t="s">
        <v>59</v>
      </c>
      <c r="N67" s="1" t="s">
        <v>27</v>
      </c>
      <c r="O67" s="1" t="s">
        <v>60</v>
      </c>
      <c r="P67" s="1">
        <v>6</v>
      </c>
      <c r="Q67" s="1">
        <v>1230</v>
      </c>
      <c r="R67" s="1">
        <v>1328.4</v>
      </c>
      <c r="S67" s="1">
        <v>0.09</v>
      </c>
    </row>
    <row r="68" spans="1:19" x14ac:dyDescent="0.3">
      <c r="A68" s="1" t="s">
        <v>327</v>
      </c>
      <c r="B68" s="1" t="s">
        <v>275</v>
      </c>
      <c r="C68" s="1" t="s">
        <v>328</v>
      </c>
      <c r="D68" s="1" t="s">
        <v>329</v>
      </c>
      <c r="E68" s="1" t="s">
        <v>87</v>
      </c>
      <c r="F68" s="1">
        <v>45953</v>
      </c>
      <c r="G68" s="1">
        <v>45953</v>
      </c>
      <c r="H68" s="1">
        <v>45955</v>
      </c>
      <c r="I68" s="1" t="s">
        <v>82</v>
      </c>
      <c r="J68" s="1" t="s">
        <v>16</v>
      </c>
      <c r="K68" s="1" t="s">
        <v>20</v>
      </c>
      <c r="L68" s="1" t="s">
        <v>25</v>
      </c>
      <c r="M68" s="1" t="s">
        <v>30</v>
      </c>
      <c r="N68" s="1" t="s">
        <v>27</v>
      </c>
      <c r="O68" s="1" t="s">
        <v>31</v>
      </c>
      <c r="P68" s="1">
        <v>3</v>
      </c>
      <c r="Q68" s="1">
        <v>1030</v>
      </c>
      <c r="R68" s="1">
        <v>1174.2</v>
      </c>
      <c r="S68" s="1">
        <v>0.09</v>
      </c>
    </row>
    <row r="69" spans="1:19" x14ac:dyDescent="0.3">
      <c r="A69" s="1" t="s">
        <v>330</v>
      </c>
      <c r="B69" s="1" t="s">
        <v>331</v>
      </c>
      <c r="C69" s="1" t="s">
        <v>332</v>
      </c>
      <c r="D69" s="1" t="s">
        <v>333</v>
      </c>
      <c r="E69" s="1" t="s">
        <v>81</v>
      </c>
      <c r="F69" s="1">
        <v>45300</v>
      </c>
      <c r="G69" s="1">
        <v>45300</v>
      </c>
      <c r="H69" s="1">
        <v>45303</v>
      </c>
      <c r="I69" s="1" t="s">
        <v>82</v>
      </c>
      <c r="J69" s="1" t="s">
        <v>2</v>
      </c>
      <c r="K69" s="1" t="s">
        <v>19</v>
      </c>
      <c r="L69" s="1" t="s">
        <v>61</v>
      </c>
      <c r="M69" s="1" t="s">
        <v>59</v>
      </c>
      <c r="N69" s="1" t="s">
        <v>27</v>
      </c>
      <c r="O69" s="1" t="s">
        <v>60</v>
      </c>
      <c r="P69" s="1">
        <v>2</v>
      </c>
      <c r="Q69" s="1">
        <v>1230</v>
      </c>
      <c r="R69" s="1">
        <v>1328.4</v>
      </c>
      <c r="S69" s="1">
        <v>0.05</v>
      </c>
    </row>
    <row r="70" spans="1:19" x14ac:dyDescent="0.3">
      <c r="A70" s="1" t="s">
        <v>334</v>
      </c>
      <c r="B70" s="1" t="s">
        <v>335</v>
      </c>
      <c r="C70" s="1" t="s">
        <v>336</v>
      </c>
      <c r="D70" s="1" t="s">
        <v>337</v>
      </c>
      <c r="E70" s="1" t="s">
        <v>173</v>
      </c>
      <c r="F70" s="1">
        <v>45301</v>
      </c>
      <c r="G70" s="1">
        <v>45302</v>
      </c>
      <c r="H70" s="1">
        <v>45306</v>
      </c>
      <c r="I70" s="1" t="s">
        <v>72</v>
      </c>
      <c r="J70" s="1" t="s">
        <v>1</v>
      </c>
      <c r="K70" s="1" t="s">
        <v>21</v>
      </c>
      <c r="L70" s="1" t="s">
        <v>61</v>
      </c>
      <c r="M70" s="1" t="s">
        <v>48</v>
      </c>
      <c r="N70" s="1" t="s">
        <v>38</v>
      </c>
      <c r="O70" s="1" t="s">
        <v>41</v>
      </c>
      <c r="P70" s="1">
        <v>6</v>
      </c>
      <c r="Q70" s="1">
        <v>580</v>
      </c>
      <c r="R70" s="1">
        <v>667</v>
      </c>
      <c r="S70" s="1">
        <v>0.05</v>
      </c>
    </row>
    <row r="71" spans="1:19" x14ac:dyDescent="0.3">
      <c r="A71" s="1" t="s">
        <v>338</v>
      </c>
      <c r="B71" s="1" t="s">
        <v>339</v>
      </c>
      <c r="C71" s="1" t="s">
        <v>340</v>
      </c>
      <c r="D71" s="1" t="s">
        <v>341</v>
      </c>
      <c r="E71" s="1" t="s">
        <v>95</v>
      </c>
      <c r="F71" s="1">
        <v>46107</v>
      </c>
      <c r="G71" s="1">
        <v>46108</v>
      </c>
      <c r="H71" s="1">
        <v>46112</v>
      </c>
      <c r="I71" s="1" t="s">
        <v>72</v>
      </c>
      <c r="J71" s="1" t="s">
        <v>18</v>
      </c>
      <c r="K71" s="1" t="s">
        <v>21</v>
      </c>
      <c r="L71" s="1" t="s">
        <v>22</v>
      </c>
      <c r="M71" s="1" t="s">
        <v>49</v>
      </c>
      <c r="N71" s="1" t="s">
        <v>33</v>
      </c>
      <c r="O71" s="1" t="s">
        <v>34</v>
      </c>
      <c r="P71" s="1">
        <v>14</v>
      </c>
      <c r="Q71" s="1">
        <v>1080</v>
      </c>
      <c r="R71" s="1">
        <v>1112.4000000000001</v>
      </c>
      <c r="S71" s="1">
        <v>0.09</v>
      </c>
    </row>
    <row r="72" spans="1:19" x14ac:dyDescent="0.3">
      <c r="A72" s="1" t="s">
        <v>342</v>
      </c>
      <c r="B72" s="1" t="s">
        <v>252</v>
      </c>
      <c r="C72" s="1" t="s">
        <v>343</v>
      </c>
      <c r="D72" s="1" t="s">
        <v>344</v>
      </c>
      <c r="E72" s="1" t="s">
        <v>217</v>
      </c>
      <c r="F72" s="1">
        <v>45593</v>
      </c>
      <c r="G72" s="1">
        <v>45593</v>
      </c>
      <c r="H72" s="1">
        <v>45598</v>
      </c>
      <c r="I72" s="1" t="s">
        <v>82</v>
      </c>
      <c r="J72" s="1" t="s">
        <v>2</v>
      </c>
      <c r="K72" s="1" t="s">
        <v>19</v>
      </c>
      <c r="L72" s="1" t="s">
        <v>22</v>
      </c>
      <c r="M72" s="1" t="s">
        <v>29</v>
      </c>
      <c r="N72" s="1" t="s">
        <v>27</v>
      </c>
      <c r="O72" s="1" t="s">
        <v>28</v>
      </c>
      <c r="P72" s="1">
        <v>1</v>
      </c>
      <c r="Q72" s="1">
        <v>3930</v>
      </c>
      <c r="R72" s="1">
        <v>4362.3</v>
      </c>
      <c r="S72" s="1">
        <v>0.08</v>
      </c>
    </row>
    <row r="73" spans="1:19" x14ac:dyDescent="0.3">
      <c r="A73" s="1" t="s">
        <v>345</v>
      </c>
      <c r="B73" s="1" t="s">
        <v>346</v>
      </c>
      <c r="C73" s="1" t="s">
        <v>347</v>
      </c>
      <c r="D73" s="1" t="s">
        <v>348</v>
      </c>
      <c r="E73" s="1" t="s">
        <v>187</v>
      </c>
      <c r="F73" s="1">
        <v>45453</v>
      </c>
      <c r="G73" s="1">
        <v>45453</v>
      </c>
      <c r="H73" s="1">
        <v>45458</v>
      </c>
      <c r="I73" s="1" t="s">
        <v>72</v>
      </c>
      <c r="J73" s="1" t="s">
        <v>17</v>
      </c>
      <c r="K73" s="1" t="s">
        <v>21</v>
      </c>
      <c r="L73" s="1" t="s">
        <v>61</v>
      </c>
      <c r="M73" s="1" t="s">
        <v>40</v>
      </c>
      <c r="N73" s="1" t="s">
        <v>38</v>
      </c>
      <c r="O73" s="1" t="s">
        <v>41</v>
      </c>
      <c r="P73" s="1">
        <v>14</v>
      </c>
      <c r="Q73" s="1">
        <v>170</v>
      </c>
      <c r="R73" s="1">
        <v>188.70000000000002</v>
      </c>
      <c r="S73" s="1">
        <v>0.04</v>
      </c>
    </row>
    <row r="74" spans="1:19" x14ac:dyDescent="0.3">
      <c r="A74" s="1" t="s">
        <v>349</v>
      </c>
      <c r="B74" s="1" t="s">
        <v>350</v>
      </c>
      <c r="C74" s="1" t="s">
        <v>351</v>
      </c>
      <c r="D74" s="1" t="s">
        <v>352</v>
      </c>
      <c r="E74" s="1" t="s">
        <v>132</v>
      </c>
      <c r="F74" s="1">
        <v>45333</v>
      </c>
      <c r="G74" s="1">
        <v>45333</v>
      </c>
      <c r="H74" s="1">
        <v>45337</v>
      </c>
      <c r="I74" s="1" t="s">
        <v>72</v>
      </c>
      <c r="J74" s="1" t="s">
        <v>1</v>
      </c>
      <c r="K74" s="1" t="s">
        <v>19</v>
      </c>
      <c r="L74" s="1" t="s">
        <v>24</v>
      </c>
      <c r="M74" s="1" t="s">
        <v>53</v>
      </c>
      <c r="N74" s="1" t="s">
        <v>27</v>
      </c>
      <c r="O74" s="1" t="s">
        <v>54</v>
      </c>
      <c r="P74" s="1">
        <v>8</v>
      </c>
      <c r="Q74" s="1">
        <v>430</v>
      </c>
      <c r="R74" s="1">
        <v>455.8</v>
      </c>
      <c r="S74" s="1">
        <v>0.1</v>
      </c>
    </row>
    <row r="75" spans="1:19" x14ac:dyDescent="0.3">
      <c r="A75" s="1" t="s">
        <v>353</v>
      </c>
      <c r="B75" s="1" t="s">
        <v>354</v>
      </c>
      <c r="C75" s="1" t="s">
        <v>355</v>
      </c>
      <c r="D75" s="1" t="s">
        <v>356</v>
      </c>
      <c r="E75" s="1" t="s">
        <v>141</v>
      </c>
      <c r="F75" s="1">
        <v>45325</v>
      </c>
      <c r="G75" s="1">
        <v>45325</v>
      </c>
      <c r="H75" s="1">
        <v>45328</v>
      </c>
      <c r="I75" s="1" t="s">
        <v>72</v>
      </c>
      <c r="J75" s="1" t="s">
        <v>1</v>
      </c>
      <c r="K75" s="1" t="s">
        <v>21</v>
      </c>
      <c r="L75" s="1" t="s">
        <v>24</v>
      </c>
      <c r="M75" s="1" t="s">
        <v>35</v>
      </c>
      <c r="N75" s="1" t="s">
        <v>33</v>
      </c>
      <c r="O75" s="1" t="s">
        <v>36</v>
      </c>
      <c r="P75" s="1">
        <v>13</v>
      </c>
      <c r="Q75" s="1">
        <v>1530</v>
      </c>
      <c r="R75" s="1">
        <v>1790.1</v>
      </c>
      <c r="S75" s="1">
        <v>0.02</v>
      </c>
    </row>
    <row r="76" spans="1:19" x14ac:dyDescent="0.3">
      <c r="A76" s="1" t="s">
        <v>357</v>
      </c>
      <c r="B76" s="1" t="s">
        <v>358</v>
      </c>
      <c r="C76" s="1" t="s">
        <v>359</v>
      </c>
      <c r="D76" s="1" t="s">
        <v>360</v>
      </c>
      <c r="E76" s="1" t="s">
        <v>109</v>
      </c>
      <c r="F76" s="1">
        <v>45526</v>
      </c>
      <c r="G76" s="1">
        <v>45527</v>
      </c>
      <c r="H76" s="1">
        <v>45531</v>
      </c>
      <c r="I76" s="1" t="s">
        <v>72</v>
      </c>
      <c r="J76" s="1" t="s">
        <v>16</v>
      </c>
      <c r="K76" s="1" t="s">
        <v>21</v>
      </c>
      <c r="L76" s="1" t="s">
        <v>25</v>
      </c>
      <c r="M76" s="1" t="s">
        <v>55</v>
      </c>
      <c r="N76" s="1" t="s">
        <v>27</v>
      </c>
      <c r="O76" s="1" t="s">
        <v>56</v>
      </c>
      <c r="P76" s="1">
        <v>6</v>
      </c>
      <c r="Q76" s="1">
        <v>650</v>
      </c>
      <c r="R76" s="1">
        <v>663</v>
      </c>
      <c r="S76" s="1">
        <v>0.02</v>
      </c>
    </row>
    <row r="77" spans="1:19" x14ac:dyDescent="0.3">
      <c r="A77" s="1" t="s">
        <v>361</v>
      </c>
      <c r="B77" s="1" t="s">
        <v>297</v>
      </c>
      <c r="C77" s="1" t="s">
        <v>362</v>
      </c>
      <c r="D77" s="1" t="s">
        <v>363</v>
      </c>
      <c r="E77" s="1" t="s">
        <v>164</v>
      </c>
      <c r="F77" s="1">
        <v>46126</v>
      </c>
      <c r="G77" s="1">
        <v>46126</v>
      </c>
      <c r="H77" s="1">
        <v>46128</v>
      </c>
      <c r="I77" s="1" t="s">
        <v>72</v>
      </c>
      <c r="J77" s="1" t="s">
        <v>16</v>
      </c>
      <c r="K77" s="1" t="s">
        <v>20</v>
      </c>
      <c r="L77" s="1" t="s">
        <v>24</v>
      </c>
      <c r="M77" s="1" t="s">
        <v>43</v>
      </c>
      <c r="N77" s="1" t="s">
        <v>27</v>
      </c>
      <c r="O77" s="1" t="s">
        <v>31</v>
      </c>
      <c r="P77" s="1">
        <v>7</v>
      </c>
      <c r="Q77" s="1">
        <v>1630</v>
      </c>
      <c r="R77" s="1">
        <v>1744.1000000000001</v>
      </c>
      <c r="S77" s="1">
        <v>0.09</v>
      </c>
    </row>
    <row r="78" spans="1:19" x14ac:dyDescent="0.3">
      <c r="A78" s="1" t="s">
        <v>364</v>
      </c>
      <c r="B78" s="1" t="s">
        <v>365</v>
      </c>
      <c r="C78" s="1" t="s">
        <v>366</v>
      </c>
      <c r="D78" s="1" t="s">
        <v>367</v>
      </c>
      <c r="E78" s="1" t="s">
        <v>164</v>
      </c>
      <c r="F78" s="1">
        <v>45517</v>
      </c>
      <c r="G78" s="1">
        <v>45518</v>
      </c>
      <c r="H78" s="1">
        <v>45520</v>
      </c>
      <c r="I78" s="1" t="s">
        <v>72</v>
      </c>
      <c r="J78" s="1" t="s">
        <v>1</v>
      </c>
      <c r="K78" s="1" t="s">
        <v>21</v>
      </c>
      <c r="L78" s="1" t="s">
        <v>23</v>
      </c>
      <c r="M78" s="1" t="s">
        <v>43</v>
      </c>
      <c r="N78" s="1" t="s">
        <v>27</v>
      </c>
      <c r="O78" s="1" t="s">
        <v>31</v>
      </c>
      <c r="P78" s="1">
        <v>15</v>
      </c>
      <c r="Q78" s="1">
        <v>1630</v>
      </c>
      <c r="R78" s="1">
        <v>1744.1000000000001</v>
      </c>
      <c r="S78" s="1">
        <v>7.0000000000000007E-2</v>
      </c>
    </row>
    <row r="79" spans="1:19" x14ac:dyDescent="0.3">
      <c r="A79" s="1" t="s">
        <v>368</v>
      </c>
      <c r="B79" s="1" t="s">
        <v>369</v>
      </c>
      <c r="C79" s="1" t="s">
        <v>370</v>
      </c>
      <c r="D79" s="1" t="s">
        <v>371</v>
      </c>
      <c r="E79" s="1" t="s">
        <v>100</v>
      </c>
      <c r="F79" s="1">
        <v>45972</v>
      </c>
      <c r="G79" s="1">
        <v>45973</v>
      </c>
      <c r="H79" s="1">
        <v>45974</v>
      </c>
      <c r="I79" s="1" t="s">
        <v>72</v>
      </c>
      <c r="J79" s="1" t="s">
        <v>18</v>
      </c>
      <c r="K79" s="1" t="s">
        <v>19</v>
      </c>
      <c r="L79" s="1" t="s">
        <v>23</v>
      </c>
      <c r="M79" s="1" t="s">
        <v>42</v>
      </c>
      <c r="N79" s="1" t="s">
        <v>27</v>
      </c>
      <c r="O79" s="1" t="s">
        <v>28</v>
      </c>
      <c r="P79" s="1">
        <v>10</v>
      </c>
      <c r="Q79" s="1">
        <v>3030</v>
      </c>
      <c r="R79" s="1">
        <v>3211.8</v>
      </c>
      <c r="S79" s="1">
        <v>0.04</v>
      </c>
    </row>
    <row r="80" spans="1:19" x14ac:dyDescent="0.3">
      <c r="A80" s="1" t="s">
        <v>372</v>
      </c>
      <c r="B80" s="1" t="s">
        <v>373</v>
      </c>
      <c r="C80" s="1" t="s">
        <v>374</v>
      </c>
      <c r="D80" s="1" t="s">
        <v>375</v>
      </c>
      <c r="E80" s="1" t="s">
        <v>81</v>
      </c>
      <c r="F80" s="1">
        <v>45545</v>
      </c>
      <c r="G80" s="1">
        <v>45545</v>
      </c>
      <c r="H80" s="1">
        <v>45550</v>
      </c>
      <c r="I80" s="1" t="s">
        <v>72</v>
      </c>
      <c r="J80" s="1" t="s">
        <v>18</v>
      </c>
      <c r="K80" s="1" t="s">
        <v>20</v>
      </c>
      <c r="L80" s="1" t="s">
        <v>23</v>
      </c>
      <c r="M80" s="1" t="s">
        <v>59</v>
      </c>
      <c r="N80" s="1" t="s">
        <v>27</v>
      </c>
      <c r="O80" s="1" t="s">
        <v>60</v>
      </c>
      <c r="P80" s="1">
        <v>7</v>
      </c>
      <c r="Q80" s="1">
        <v>1230</v>
      </c>
      <c r="R80" s="1">
        <v>1328.4</v>
      </c>
      <c r="S80" s="1">
        <v>7.0000000000000007E-2</v>
      </c>
    </row>
    <row r="81" spans="1:19" x14ac:dyDescent="0.3">
      <c r="A81" s="1" t="s">
        <v>376</v>
      </c>
      <c r="B81" s="1" t="s">
        <v>377</v>
      </c>
      <c r="C81" s="1" t="s">
        <v>378</v>
      </c>
      <c r="D81" s="1" t="s">
        <v>379</v>
      </c>
      <c r="E81" s="1" t="s">
        <v>322</v>
      </c>
      <c r="F81" s="1">
        <v>45537</v>
      </c>
      <c r="G81" s="1">
        <v>45538</v>
      </c>
      <c r="H81" s="1">
        <v>45541</v>
      </c>
      <c r="I81" s="1" t="s">
        <v>72</v>
      </c>
      <c r="J81" s="1" t="s">
        <v>18</v>
      </c>
      <c r="K81" s="1" t="s">
        <v>19</v>
      </c>
      <c r="L81" s="1" t="s">
        <v>24</v>
      </c>
      <c r="M81" s="1" t="s">
        <v>26</v>
      </c>
      <c r="N81" s="1" t="s">
        <v>27</v>
      </c>
      <c r="O81" s="1" t="s">
        <v>28</v>
      </c>
      <c r="P81" s="1">
        <v>8</v>
      </c>
      <c r="Q81" s="1">
        <v>3330</v>
      </c>
      <c r="R81" s="1">
        <v>3629.7000000000003</v>
      </c>
      <c r="S81" s="1">
        <v>0.03</v>
      </c>
    </row>
    <row r="82" spans="1:19" x14ac:dyDescent="0.3">
      <c r="A82" s="1" t="s">
        <v>380</v>
      </c>
      <c r="B82" s="1" t="s">
        <v>381</v>
      </c>
      <c r="C82" s="1" t="s">
        <v>382</v>
      </c>
      <c r="D82" s="1" t="s">
        <v>383</v>
      </c>
      <c r="E82" s="1" t="s">
        <v>87</v>
      </c>
      <c r="F82" s="1">
        <v>45736</v>
      </c>
      <c r="G82" s="1">
        <v>45737</v>
      </c>
      <c r="H82" s="1">
        <v>45738</v>
      </c>
      <c r="I82" s="1" t="s">
        <v>72</v>
      </c>
      <c r="J82" s="1" t="s">
        <v>2</v>
      </c>
      <c r="K82" s="1" t="s">
        <v>20</v>
      </c>
      <c r="L82" s="1" t="s">
        <v>61</v>
      </c>
      <c r="M82" s="1" t="s">
        <v>30</v>
      </c>
      <c r="N82" s="1" t="s">
        <v>27</v>
      </c>
      <c r="O82" s="1" t="s">
        <v>31</v>
      </c>
      <c r="P82" s="1">
        <v>9</v>
      </c>
      <c r="Q82" s="1">
        <v>1030</v>
      </c>
      <c r="R82" s="1">
        <v>1174.2</v>
      </c>
      <c r="S82" s="1">
        <v>0.01</v>
      </c>
    </row>
    <row r="83" spans="1:19" x14ac:dyDescent="0.3">
      <c r="A83" s="1" t="s">
        <v>384</v>
      </c>
      <c r="B83" s="1" t="s">
        <v>385</v>
      </c>
      <c r="C83" s="1" t="s">
        <v>386</v>
      </c>
      <c r="D83" s="1" t="s">
        <v>387</v>
      </c>
      <c r="E83" s="1" t="s">
        <v>109</v>
      </c>
      <c r="F83" s="1">
        <v>46037</v>
      </c>
      <c r="G83" s="1">
        <v>46037</v>
      </c>
      <c r="H83" s="1">
        <v>46041</v>
      </c>
      <c r="I83" s="1" t="s">
        <v>72</v>
      </c>
      <c r="J83" s="1" t="s">
        <v>16</v>
      </c>
      <c r="K83" s="1" t="s">
        <v>21</v>
      </c>
      <c r="L83" s="1" t="s">
        <v>22</v>
      </c>
      <c r="M83" s="1" t="s">
        <v>55</v>
      </c>
      <c r="N83" s="1" t="s">
        <v>27</v>
      </c>
      <c r="O83" s="1" t="s">
        <v>56</v>
      </c>
      <c r="P83" s="1">
        <v>8</v>
      </c>
      <c r="Q83" s="1">
        <v>650</v>
      </c>
      <c r="R83" s="1">
        <v>663</v>
      </c>
      <c r="S83" s="1">
        <v>0.04</v>
      </c>
    </row>
    <row r="84" spans="1:19" x14ac:dyDescent="0.3">
      <c r="A84" s="1" t="s">
        <v>388</v>
      </c>
      <c r="B84" s="1" t="s">
        <v>389</v>
      </c>
      <c r="C84" s="1" t="s">
        <v>390</v>
      </c>
      <c r="D84" s="1" t="s">
        <v>391</v>
      </c>
      <c r="E84" s="1" t="s">
        <v>187</v>
      </c>
      <c r="F84" s="1">
        <v>45787</v>
      </c>
      <c r="G84" s="1">
        <v>45788</v>
      </c>
      <c r="H84" s="1">
        <v>45790</v>
      </c>
      <c r="I84" s="1" t="s">
        <v>72</v>
      </c>
      <c r="J84" s="1" t="s">
        <v>1</v>
      </c>
      <c r="K84" s="1" t="s">
        <v>19</v>
      </c>
      <c r="L84" s="1" t="s">
        <v>61</v>
      </c>
      <c r="M84" s="1" t="s">
        <v>40</v>
      </c>
      <c r="N84" s="1" t="s">
        <v>38</v>
      </c>
      <c r="O84" s="1" t="s">
        <v>41</v>
      </c>
      <c r="P84" s="1">
        <v>8</v>
      </c>
      <c r="Q84" s="1">
        <v>170</v>
      </c>
      <c r="R84" s="1">
        <v>188.70000000000002</v>
      </c>
      <c r="S84" s="1">
        <v>0.06</v>
      </c>
    </row>
    <row r="85" spans="1:19" x14ac:dyDescent="0.3">
      <c r="A85" s="1" t="s">
        <v>392</v>
      </c>
      <c r="B85" s="1" t="s">
        <v>393</v>
      </c>
      <c r="C85" s="1" t="s">
        <v>394</v>
      </c>
      <c r="D85" s="1" t="s">
        <v>395</v>
      </c>
      <c r="E85" s="1" t="s">
        <v>119</v>
      </c>
      <c r="F85" s="1">
        <v>46090</v>
      </c>
      <c r="G85" s="1">
        <v>46090</v>
      </c>
      <c r="H85" s="1">
        <v>46094</v>
      </c>
      <c r="I85" s="1" t="s">
        <v>72</v>
      </c>
      <c r="J85" s="1" t="s">
        <v>17</v>
      </c>
      <c r="K85" s="1" t="s">
        <v>20</v>
      </c>
      <c r="L85" s="1" t="s">
        <v>25</v>
      </c>
      <c r="M85" s="1" t="s">
        <v>37</v>
      </c>
      <c r="N85" s="1" t="s">
        <v>38</v>
      </c>
      <c r="O85" s="1" t="s">
        <v>39</v>
      </c>
      <c r="P85" s="1">
        <v>7</v>
      </c>
      <c r="Q85" s="1">
        <v>250</v>
      </c>
      <c r="R85" s="1" t="s">
        <v>2330</v>
      </c>
      <c r="S85" s="1">
        <v>0.03</v>
      </c>
    </row>
    <row r="86" spans="1:19" x14ac:dyDescent="0.3">
      <c r="A86" s="1" t="s">
        <v>396</v>
      </c>
      <c r="B86" s="1" t="s">
        <v>134</v>
      </c>
      <c r="C86" s="1" t="s">
        <v>397</v>
      </c>
      <c r="D86" s="1" t="s">
        <v>398</v>
      </c>
      <c r="E86" s="1" t="s">
        <v>187</v>
      </c>
      <c r="F86" s="1">
        <v>45463</v>
      </c>
      <c r="G86" s="1">
        <v>45464</v>
      </c>
      <c r="H86" s="1">
        <v>45466</v>
      </c>
      <c r="I86" s="1" t="s">
        <v>82</v>
      </c>
      <c r="J86" s="1" t="s">
        <v>16</v>
      </c>
      <c r="K86" s="1" t="s">
        <v>20</v>
      </c>
      <c r="L86" s="1" t="s">
        <v>25</v>
      </c>
      <c r="M86" s="1" t="s">
        <v>40</v>
      </c>
      <c r="N86" s="1" t="s">
        <v>38</v>
      </c>
      <c r="O86" s="1" t="s">
        <v>41</v>
      </c>
      <c r="P86" s="1">
        <v>2</v>
      </c>
      <c r="Q86" s="1">
        <v>170</v>
      </c>
      <c r="R86" s="1">
        <v>188.70000000000002</v>
      </c>
      <c r="S86" s="1">
        <v>0.02</v>
      </c>
    </row>
    <row r="87" spans="1:19" x14ac:dyDescent="0.3">
      <c r="A87" s="1" t="s">
        <v>399</v>
      </c>
      <c r="B87" s="1" t="s">
        <v>400</v>
      </c>
      <c r="C87" s="1" t="s">
        <v>401</v>
      </c>
      <c r="D87" s="1" t="s">
        <v>402</v>
      </c>
      <c r="E87" s="1" t="s">
        <v>114</v>
      </c>
      <c r="F87" s="1">
        <v>45484</v>
      </c>
      <c r="G87" s="1">
        <v>45484</v>
      </c>
      <c r="H87" s="1">
        <v>45487</v>
      </c>
      <c r="I87" s="1" t="s">
        <v>72</v>
      </c>
      <c r="J87" s="1" t="s">
        <v>1</v>
      </c>
      <c r="K87" s="1" t="s">
        <v>21</v>
      </c>
      <c r="L87" s="1" t="s">
        <v>24</v>
      </c>
      <c r="M87" s="1" t="s">
        <v>51</v>
      </c>
      <c r="N87" s="1" t="s">
        <v>33</v>
      </c>
      <c r="O87" s="1" t="s">
        <v>52</v>
      </c>
      <c r="P87" s="1">
        <v>7</v>
      </c>
      <c r="Q87" s="1">
        <v>280</v>
      </c>
      <c r="R87" s="1">
        <v>336</v>
      </c>
      <c r="S87" s="1">
        <v>0.1</v>
      </c>
    </row>
    <row r="88" spans="1:19" x14ac:dyDescent="0.3">
      <c r="A88" s="1" t="s">
        <v>403</v>
      </c>
      <c r="B88" s="1" t="s">
        <v>404</v>
      </c>
      <c r="C88" s="1" t="s">
        <v>405</v>
      </c>
      <c r="D88" s="1" t="s">
        <v>406</v>
      </c>
      <c r="E88" s="1" t="s">
        <v>217</v>
      </c>
      <c r="F88" s="1">
        <v>45439</v>
      </c>
      <c r="G88" s="1">
        <v>45439</v>
      </c>
      <c r="H88" s="1">
        <v>45441</v>
      </c>
      <c r="I88" s="1" t="s">
        <v>72</v>
      </c>
      <c r="J88" s="1" t="s">
        <v>1</v>
      </c>
      <c r="K88" s="1" t="s">
        <v>20</v>
      </c>
      <c r="L88" s="1" t="s">
        <v>25</v>
      </c>
      <c r="M88" s="1" t="s">
        <v>29</v>
      </c>
      <c r="N88" s="1" t="s">
        <v>27</v>
      </c>
      <c r="O88" s="1" t="s">
        <v>28</v>
      </c>
      <c r="P88" s="1">
        <v>9</v>
      </c>
      <c r="Q88" s="1">
        <v>3930</v>
      </c>
      <c r="R88" s="1">
        <v>4362.3</v>
      </c>
      <c r="S88" s="1">
        <v>7.0000000000000007E-2</v>
      </c>
    </row>
    <row r="90" spans="1:19" x14ac:dyDescent="0.3">
      <c r="A90" s="1" t="s">
        <v>407</v>
      </c>
      <c r="B90" s="1" t="s">
        <v>408</v>
      </c>
      <c r="C90" s="1" t="s">
        <v>409</v>
      </c>
      <c r="D90" s="1" t="s">
        <v>410</v>
      </c>
      <c r="E90" s="1" t="s">
        <v>187</v>
      </c>
      <c r="F90" s="1">
        <v>45584</v>
      </c>
      <c r="G90" s="1">
        <v>45585</v>
      </c>
      <c r="H90" s="1">
        <v>45586</v>
      </c>
      <c r="I90" s="1" t="s">
        <v>72</v>
      </c>
      <c r="J90" s="1" t="s">
        <v>1</v>
      </c>
      <c r="K90" s="1" t="s">
        <v>21</v>
      </c>
      <c r="L90" s="1" t="s">
        <v>24</v>
      </c>
      <c r="M90" s="1" t="s">
        <v>40</v>
      </c>
      <c r="N90" s="1" t="s">
        <v>38</v>
      </c>
      <c r="O90" s="1" t="s">
        <v>41</v>
      </c>
      <c r="P90" s="1">
        <v>5</v>
      </c>
      <c r="Q90" s="1">
        <v>170</v>
      </c>
      <c r="R90" s="1">
        <v>188.70000000000002</v>
      </c>
      <c r="S90" s="1">
        <v>0.03</v>
      </c>
    </row>
    <row r="91" spans="1:19" x14ac:dyDescent="0.3">
      <c r="A91" s="1" t="s">
        <v>411</v>
      </c>
      <c r="B91" s="1" t="s">
        <v>412</v>
      </c>
      <c r="C91" s="1" t="s">
        <v>413</v>
      </c>
      <c r="D91" s="1" t="s">
        <v>414</v>
      </c>
      <c r="E91" s="1" t="s">
        <v>109</v>
      </c>
      <c r="F91" s="1">
        <v>45798</v>
      </c>
      <c r="G91" s="1">
        <v>45798</v>
      </c>
      <c r="H91" s="1">
        <v>45800</v>
      </c>
      <c r="I91" s="1" t="s">
        <v>72</v>
      </c>
      <c r="J91" s="1" t="s">
        <v>17</v>
      </c>
      <c r="K91" s="1" t="s">
        <v>19</v>
      </c>
      <c r="L91" s="1" t="s">
        <v>61</v>
      </c>
      <c r="M91" s="1" t="s">
        <v>55</v>
      </c>
      <c r="N91" s="1" t="s">
        <v>27</v>
      </c>
      <c r="O91" s="1" t="s">
        <v>56</v>
      </c>
      <c r="P91" s="1">
        <v>5</v>
      </c>
      <c r="Q91" s="1">
        <v>650</v>
      </c>
      <c r="R91" s="1">
        <v>663</v>
      </c>
      <c r="S91" s="1">
        <v>0.09</v>
      </c>
    </row>
    <row r="92" spans="1:19" x14ac:dyDescent="0.3">
      <c r="A92" s="1" t="s">
        <v>415</v>
      </c>
      <c r="B92" s="1" t="s">
        <v>416</v>
      </c>
      <c r="C92" s="1" t="s">
        <v>417</v>
      </c>
      <c r="D92" s="1" t="s">
        <v>418</v>
      </c>
      <c r="E92" s="1" t="s">
        <v>141</v>
      </c>
      <c r="F92" s="1">
        <v>45459</v>
      </c>
      <c r="G92" s="1">
        <v>45460</v>
      </c>
      <c r="H92" s="1">
        <v>45462</v>
      </c>
      <c r="I92" s="1" t="s">
        <v>72</v>
      </c>
      <c r="J92" s="1" t="s">
        <v>1</v>
      </c>
      <c r="K92" s="1" t="s">
        <v>19</v>
      </c>
      <c r="L92" s="1" t="s">
        <v>25</v>
      </c>
      <c r="M92" s="1" t="s">
        <v>35</v>
      </c>
      <c r="N92" s="1" t="s">
        <v>33</v>
      </c>
      <c r="O92" s="1" t="s">
        <v>36</v>
      </c>
      <c r="P92" s="1">
        <v>9</v>
      </c>
      <c r="Q92" s="1">
        <v>1530</v>
      </c>
      <c r="R92" s="1">
        <v>1790.1</v>
      </c>
      <c r="S92" s="1">
        <v>0</v>
      </c>
    </row>
    <row r="93" spans="1:19" x14ac:dyDescent="0.3">
      <c r="A93" s="1" t="s">
        <v>419</v>
      </c>
      <c r="B93" s="1" t="s">
        <v>420</v>
      </c>
      <c r="C93" s="1" t="s">
        <v>421</v>
      </c>
      <c r="D93" s="1" t="s">
        <v>422</v>
      </c>
      <c r="E93" s="1" t="s">
        <v>192</v>
      </c>
      <c r="F93" s="1">
        <v>45400</v>
      </c>
      <c r="G93" s="1">
        <v>45401</v>
      </c>
      <c r="H93" s="1">
        <v>45405</v>
      </c>
      <c r="I93" s="1" t="s">
        <v>72</v>
      </c>
      <c r="J93" s="1" t="s">
        <v>16</v>
      </c>
      <c r="K93" s="1" t="s">
        <v>21</v>
      </c>
      <c r="L93" s="1" t="s">
        <v>22</v>
      </c>
      <c r="M93" s="1" t="s">
        <v>46</v>
      </c>
      <c r="N93" s="1" t="s">
        <v>38</v>
      </c>
      <c r="O93" s="1" t="s">
        <v>45</v>
      </c>
      <c r="P93" s="1">
        <v>11</v>
      </c>
      <c r="Q93" s="1">
        <v>350</v>
      </c>
      <c r="R93" s="1">
        <v>364</v>
      </c>
      <c r="S93" s="1">
        <v>7.0000000000000007E-2</v>
      </c>
    </row>
    <row r="94" spans="1:19" x14ac:dyDescent="0.3">
      <c r="A94" s="1" t="s">
        <v>423</v>
      </c>
      <c r="B94" s="1" t="s">
        <v>424</v>
      </c>
      <c r="C94" s="1" t="s">
        <v>425</v>
      </c>
      <c r="D94" s="1" t="s">
        <v>426</v>
      </c>
      <c r="E94" s="1" t="s">
        <v>164</v>
      </c>
      <c r="F94" s="1">
        <v>46044</v>
      </c>
      <c r="G94" s="1">
        <v>46044</v>
      </c>
      <c r="H94" s="1">
        <v>46048</v>
      </c>
      <c r="I94" s="1" t="s">
        <v>72</v>
      </c>
      <c r="J94" s="1" t="s">
        <v>1</v>
      </c>
      <c r="K94" s="1" t="s">
        <v>21</v>
      </c>
      <c r="L94" s="1" t="s">
        <v>25</v>
      </c>
      <c r="M94" s="1" t="s">
        <v>43</v>
      </c>
      <c r="N94" s="1" t="s">
        <v>27</v>
      </c>
      <c r="O94" s="1" t="s">
        <v>31</v>
      </c>
      <c r="P94" s="1">
        <v>7</v>
      </c>
      <c r="Q94" s="1">
        <v>1630</v>
      </c>
      <c r="R94" s="1">
        <v>1744.1000000000001</v>
      </c>
      <c r="S94" s="1">
        <v>7.0000000000000007E-2</v>
      </c>
    </row>
    <row r="95" spans="1:19" x14ac:dyDescent="0.3">
      <c r="A95" s="1" t="s">
        <v>427</v>
      </c>
      <c r="B95" s="1" t="s">
        <v>428</v>
      </c>
      <c r="C95" s="1" t="s">
        <v>429</v>
      </c>
      <c r="D95" s="1" t="s">
        <v>430</v>
      </c>
      <c r="E95" s="1" t="s">
        <v>100</v>
      </c>
      <c r="F95" s="1">
        <v>45420</v>
      </c>
      <c r="G95" s="1">
        <v>45421</v>
      </c>
      <c r="H95" s="1">
        <v>45425</v>
      </c>
      <c r="I95" s="1" t="s">
        <v>72</v>
      </c>
      <c r="J95" s="1" t="s">
        <v>1</v>
      </c>
      <c r="K95" s="1" t="s">
        <v>21</v>
      </c>
      <c r="L95" s="1" t="s">
        <v>61</v>
      </c>
      <c r="M95" s="1" t="s">
        <v>42</v>
      </c>
      <c r="N95" s="1" t="s">
        <v>27</v>
      </c>
      <c r="O95" s="1" t="s">
        <v>28</v>
      </c>
      <c r="P95" s="1">
        <v>10</v>
      </c>
      <c r="Q95" s="1">
        <v>3030</v>
      </c>
      <c r="R95" s="1">
        <v>3211.8</v>
      </c>
      <c r="S95" s="1">
        <v>0.1</v>
      </c>
    </row>
    <row r="96" spans="1:19" x14ac:dyDescent="0.3">
      <c r="A96" s="1" t="s">
        <v>431</v>
      </c>
      <c r="B96" s="1" t="s">
        <v>138</v>
      </c>
      <c r="C96" s="1" t="s">
        <v>432</v>
      </c>
      <c r="D96" s="1" t="s">
        <v>433</v>
      </c>
      <c r="E96" s="1" t="s">
        <v>77</v>
      </c>
      <c r="F96" s="1">
        <v>45911</v>
      </c>
      <c r="G96" s="1">
        <v>45912</v>
      </c>
      <c r="H96" s="1">
        <v>45913</v>
      </c>
      <c r="I96" s="1" t="s">
        <v>82</v>
      </c>
      <c r="J96" s="1" t="s">
        <v>1</v>
      </c>
      <c r="K96" s="1" t="s">
        <v>19</v>
      </c>
      <c r="L96" s="1" t="s">
        <v>23</v>
      </c>
      <c r="M96" s="1" t="s">
        <v>44</v>
      </c>
      <c r="N96" s="1" t="s">
        <v>38</v>
      </c>
      <c r="O96" s="1" t="s">
        <v>45</v>
      </c>
      <c r="P96" s="1">
        <v>1</v>
      </c>
      <c r="Q96" s="1">
        <v>210</v>
      </c>
      <c r="R96" s="1">
        <v>222.60000000000002</v>
      </c>
      <c r="S96" s="1">
        <v>0.04</v>
      </c>
    </row>
    <row r="97" spans="1:19" x14ac:dyDescent="0.3">
      <c r="A97" s="1" t="s">
        <v>434</v>
      </c>
      <c r="B97" s="1" t="s">
        <v>435</v>
      </c>
      <c r="C97" s="1" t="s">
        <v>436</v>
      </c>
      <c r="D97" s="1" t="s">
        <v>437</v>
      </c>
      <c r="E97" s="1" t="s">
        <v>109</v>
      </c>
      <c r="F97" s="1">
        <v>45696</v>
      </c>
      <c r="G97" s="1">
        <v>45697</v>
      </c>
      <c r="H97" s="1">
        <v>45698</v>
      </c>
      <c r="I97" s="1" t="s">
        <v>72</v>
      </c>
      <c r="J97" s="1" t="s">
        <v>18</v>
      </c>
      <c r="K97" s="1" t="s">
        <v>19</v>
      </c>
      <c r="L97" s="1" t="s">
        <v>23</v>
      </c>
      <c r="M97" s="1" t="s">
        <v>55</v>
      </c>
      <c r="N97" s="1" t="s">
        <v>27</v>
      </c>
      <c r="O97" s="1" t="s">
        <v>56</v>
      </c>
      <c r="P97" s="1">
        <v>8</v>
      </c>
      <c r="Q97" s="1">
        <v>650</v>
      </c>
      <c r="R97" s="1">
        <v>663</v>
      </c>
      <c r="S97" s="1">
        <v>0.01</v>
      </c>
    </row>
    <row r="98" spans="1:19" x14ac:dyDescent="0.3">
      <c r="A98" s="1" t="s">
        <v>438</v>
      </c>
      <c r="B98" s="1" t="s">
        <v>158</v>
      </c>
      <c r="C98" s="1" t="s">
        <v>439</v>
      </c>
      <c r="D98" s="1" t="s">
        <v>440</v>
      </c>
      <c r="E98" s="1" t="s">
        <v>322</v>
      </c>
      <c r="F98" s="1">
        <v>45419</v>
      </c>
      <c r="G98" s="1">
        <v>45420</v>
      </c>
      <c r="H98" s="1">
        <v>45424</v>
      </c>
      <c r="I98" s="1" t="s">
        <v>82</v>
      </c>
      <c r="J98" s="1" t="s">
        <v>2</v>
      </c>
      <c r="K98" s="1" t="s">
        <v>20</v>
      </c>
      <c r="L98" s="1" t="s">
        <v>23</v>
      </c>
      <c r="M98" s="1" t="s">
        <v>26</v>
      </c>
      <c r="N98" s="1" t="s">
        <v>27</v>
      </c>
      <c r="O98" s="1" t="s">
        <v>28</v>
      </c>
      <c r="P98" s="1">
        <v>4</v>
      </c>
      <c r="Q98" s="1">
        <v>3330</v>
      </c>
      <c r="R98" s="1">
        <v>3629.7000000000003</v>
      </c>
      <c r="S98" s="1">
        <v>0</v>
      </c>
    </row>
    <row r="99" spans="1:19" x14ac:dyDescent="0.3">
      <c r="A99" s="1" t="s">
        <v>441</v>
      </c>
      <c r="B99" s="1" t="s">
        <v>442</v>
      </c>
      <c r="C99" s="1" t="s">
        <v>443</v>
      </c>
      <c r="D99" s="1" t="s">
        <v>444</v>
      </c>
      <c r="E99" s="1" t="s">
        <v>291</v>
      </c>
      <c r="F99" s="1">
        <v>45474</v>
      </c>
      <c r="G99" s="1">
        <v>45474</v>
      </c>
      <c r="H99" s="1">
        <v>45476</v>
      </c>
      <c r="I99" s="1" t="s">
        <v>72</v>
      </c>
      <c r="J99" s="1" t="s">
        <v>16</v>
      </c>
      <c r="K99" s="1" t="s">
        <v>21</v>
      </c>
      <c r="L99" s="1" t="s">
        <v>24</v>
      </c>
      <c r="M99" s="1" t="s">
        <v>57</v>
      </c>
      <c r="N99" s="1" t="s">
        <v>27</v>
      </c>
      <c r="O99" s="1" t="s">
        <v>58</v>
      </c>
      <c r="P99" s="1">
        <v>11</v>
      </c>
      <c r="Q99" s="1">
        <v>480</v>
      </c>
      <c r="R99" s="1">
        <v>513.6</v>
      </c>
      <c r="S99" s="1">
        <v>0.05</v>
      </c>
    </row>
    <row r="100" spans="1:19" x14ac:dyDescent="0.3">
      <c r="A100" s="1" t="s">
        <v>445</v>
      </c>
      <c r="B100" s="1" t="s">
        <v>446</v>
      </c>
      <c r="C100" s="1" t="s">
        <v>447</v>
      </c>
      <c r="D100" s="1" t="s">
        <v>448</v>
      </c>
      <c r="E100" s="1" t="s">
        <v>192</v>
      </c>
      <c r="F100" s="1">
        <v>45665</v>
      </c>
      <c r="G100" s="1">
        <v>45665</v>
      </c>
      <c r="H100" s="1">
        <v>45669</v>
      </c>
      <c r="I100" s="1" t="s">
        <v>72</v>
      </c>
      <c r="J100" s="1" t="s">
        <v>17</v>
      </c>
      <c r="K100" s="1" t="s">
        <v>19</v>
      </c>
      <c r="L100" s="1" t="s">
        <v>61</v>
      </c>
      <c r="M100" s="1" t="s">
        <v>46</v>
      </c>
      <c r="N100" s="1" t="s">
        <v>38</v>
      </c>
      <c r="O100" s="1" t="s">
        <v>45</v>
      </c>
      <c r="P100" s="1">
        <v>9</v>
      </c>
      <c r="Q100" s="1">
        <v>350</v>
      </c>
      <c r="R100" s="1">
        <v>364</v>
      </c>
      <c r="S100" s="1">
        <v>0</v>
      </c>
    </row>
    <row r="101" spans="1:19" x14ac:dyDescent="0.3">
      <c r="A101" s="1" t="s">
        <v>449</v>
      </c>
      <c r="B101" s="1" t="s">
        <v>450</v>
      </c>
      <c r="C101" s="1" t="s">
        <v>451</v>
      </c>
      <c r="D101" s="1" t="s">
        <v>452</v>
      </c>
      <c r="E101" s="1" t="s">
        <v>132</v>
      </c>
      <c r="F101" s="1">
        <v>46157</v>
      </c>
      <c r="G101" s="1">
        <v>46158</v>
      </c>
      <c r="H101" s="1">
        <v>46162</v>
      </c>
      <c r="I101" s="1" t="s">
        <v>72</v>
      </c>
      <c r="J101" s="1" t="s">
        <v>1</v>
      </c>
      <c r="K101" s="1" t="s">
        <v>19</v>
      </c>
      <c r="L101" s="1" t="s">
        <v>61</v>
      </c>
      <c r="M101" s="1" t="s">
        <v>53</v>
      </c>
      <c r="N101" s="1" t="s">
        <v>27</v>
      </c>
      <c r="O101" s="1" t="s">
        <v>54</v>
      </c>
      <c r="P101" s="1">
        <v>7</v>
      </c>
      <c r="Q101" s="1">
        <v>430</v>
      </c>
      <c r="R101" s="1">
        <v>455.8</v>
      </c>
      <c r="S101" s="1">
        <v>0.05</v>
      </c>
    </row>
    <row r="102" spans="1:19" x14ac:dyDescent="0.3">
      <c r="A102" s="1" t="s">
        <v>453</v>
      </c>
      <c r="B102" s="1" t="s">
        <v>454</v>
      </c>
      <c r="C102" s="1" t="s">
        <v>455</v>
      </c>
      <c r="D102" s="1" t="s">
        <v>456</v>
      </c>
      <c r="E102" s="1" t="s">
        <v>141</v>
      </c>
      <c r="F102" s="1">
        <v>46137</v>
      </c>
      <c r="G102" s="1">
        <v>46137</v>
      </c>
      <c r="H102" s="1">
        <v>46139</v>
      </c>
      <c r="I102" s="1" t="s">
        <v>72</v>
      </c>
      <c r="J102" s="1" t="s">
        <v>17</v>
      </c>
      <c r="K102" s="1" t="s">
        <v>21</v>
      </c>
      <c r="L102" s="1" t="s">
        <v>22</v>
      </c>
      <c r="M102" s="1" t="s">
        <v>35</v>
      </c>
      <c r="N102" s="1" t="s">
        <v>33</v>
      </c>
      <c r="O102" s="1" t="s">
        <v>36</v>
      </c>
      <c r="P102" s="1">
        <v>12</v>
      </c>
      <c r="Q102" s="1">
        <v>1530</v>
      </c>
      <c r="R102" s="1">
        <v>1790.1</v>
      </c>
      <c r="S102" s="1">
        <v>0</v>
      </c>
    </row>
    <row r="103" spans="1:19" x14ac:dyDescent="0.3">
      <c r="A103" s="1" t="s">
        <v>457</v>
      </c>
      <c r="B103" s="1" t="s">
        <v>458</v>
      </c>
      <c r="C103" s="1" t="s">
        <v>459</v>
      </c>
      <c r="D103" s="1" t="s">
        <v>460</v>
      </c>
      <c r="E103" s="1" t="s">
        <v>77</v>
      </c>
      <c r="F103" s="1">
        <v>45932</v>
      </c>
      <c r="G103" s="1">
        <v>45933</v>
      </c>
      <c r="H103" s="1">
        <v>45934</v>
      </c>
      <c r="I103" s="1" t="s">
        <v>72</v>
      </c>
      <c r="J103" s="1" t="s">
        <v>2</v>
      </c>
      <c r="K103" s="1" t="s">
        <v>21</v>
      </c>
      <c r="L103" s="1" t="s">
        <v>24</v>
      </c>
      <c r="M103" s="1" t="s">
        <v>44</v>
      </c>
      <c r="N103" s="1" t="s">
        <v>38</v>
      </c>
      <c r="O103" s="1" t="s">
        <v>45</v>
      </c>
      <c r="P103" s="1">
        <v>15</v>
      </c>
      <c r="Q103" s="1">
        <v>210</v>
      </c>
      <c r="R103" s="1">
        <v>222.60000000000002</v>
      </c>
      <c r="S103" s="1">
        <v>0.06</v>
      </c>
    </row>
    <row r="106" spans="1:19" x14ac:dyDescent="0.3">
      <c r="A106" s="1" t="s">
        <v>461</v>
      </c>
      <c r="B106" s="1" t="s">
        <v>462</v>
      </c>
      <c r="C106" s="1" t="s">
        <v>463</v>
      </c>
      <c r="D106" s="1" t="s">
        <v>464</v>
      </c>
      <c r="E106" s="1" t="s">
        <v>114</v>
      </c>
      <c r="F106" s="1">
        <v>45297</v>
      </c>
      <c r="G106" s="1">
        <v>45298</v>
      </c>
      <c r="H106" s="1">
        <v>45302</v>
      </c>
      <c r="I106" s="1" t="s">
        <v>72</v>
      </c>
      <c r="J106" s="1" t="s">
        <v>16</v>
      </c>
      <c r="K106" s="1" t="s">
        <v>19</v>
      </c>
      <c r="L106" s="1" t="s">
        <v>22</v>
      </c>
      <c r="M106" s="1" t="s">
        <v>51</v>
      </c>
      <c r="N106" s="1" t="s">
        <v>33</v>
      </c>
      <c r="O106" s="1" t="s">
        <v>52</v>
      </c>
      <c r="P106" s="1">
        <v>10</v>
      </c>
      <c r="Q106" s="1">
        <v>280</v>
      </c>
      <c r="R106" s="1">
        <v>336</v>
      </c>
      <c r="S106" s="1">
        <v>0.08</v>
      </c>
    </row>
    <row r="107" spans="1:19" x14ac:dyDescent="0.3">
      <c r="A107" s="1" t="s">
        <v>465</v>
      </c>
      <c r="B107" s="1" t="s">
        <v>466</v>
      </c>
      <c r="C107" s="1" t="s">
        <v>467</v>
      </c>
      <c r="D107" s="1" t="s">
        <v>468</v>
      </c>
      <c r="E107" s="1" t="s">
        <v>187</v>
      </c>
      <c r="F107" s="1">
        <v>46003</v>
      </c>
      <c r="G107" s="1">
        <v>46003</v>
      </c>
      <c r="H107" s="1">
        <v>46007</v>
      </c>
      <c r="I107" s="1" t="s">
        <v>72</v>
      </c>
      <c r="J107" s="1" t="s">
        <v>2</v>
      </c>
      <c r="K107" s="1" t="s">
        <v>21</v>
      </c>
      <c r="L107" s="1" t="s">
        <v>22</v>
      </c>
      <c r="M107" s="1" t="s">
        <v>40</v>
      </c>
      <c r="N107" s="1" t="s">
        <v>38</v>
      </c>
      <c r="O107" s="1" t="s">
        <v>41</v>
      </c>
      <c r="P107" s="1">
        <v>15</v>
      </c>
      <c r="Q107" s="1">
        <v>170</v>
      </c>
      <c r="R107" s="1">
        <v>188.70000000000002</v>
      </c>
      <c r="S107" s="1">
        <v>0.02</v>
      </c>
    </row>
    <row r="108" spans="1:19" x14ac:dyDescent="0.3">
      <c r="A108" s="1" t="s">
        <v>469</v>
      </c>
      <c r="B108" s="1" t="s">
        <v>470</v>
      </c>
      <c r="C108" s="1" t="s">
        <v>471</v>
      </c>
      <c r="D108" s="1" t="s">
        <v>472</v>
      </c>
      <c r="E108" s="1" t="s">
        <v>164</v>
      </c>
      <c r="F108" s="1">
        <v>45437</v>
      </c>
      <c r="G108" s="1">
        <v>45437</v>
      </c>
      <c r="H108" s="1">
        <v>45441</v>
      </c>
      <c r="I108" s="1" t="s">
        <v>72</v>
      </c>
      <c r="J108" s="1" t="s">
        <v>18</v>
      </c>
      <c r="K108" s="1" t="s">
        <v>21</v>
      </c>
      <c r="L108" s="1" t="s">
        <v>25</v>
      </c>
      <c r="M108" s="1" t="s">
        <v>43</v>
      </c>
      <c r="N108" s="1" t="s">
        <v>27</v>
      </c>
      <c r="O108" s="1" t="s">
        <v>31</v>
      </c>
      <c r="P108" s="1">
        <v>7</v>
      </c>
      <c r="Q108" s="1">
        <v>1630</v>
      </c>
      <c r="R108" s="1">
        <v>1744.1000000000001</v>
      </c>
      <c r="S108" s="1">
        <v>0.01</v>
      </c>
    </row>
    <row r="109" spans="1:19" x14ac:dyDescent="0.3">
      <c r="A109" s="1" t="s">
        <v>473</v>
      </c>
      <c r="B109" s="1" t="s">
        <v>474</v>
      </c>
      <c r="C109" s="1" t="s">
        <v>475</v>
      </c>
      <c r="D109" s="1" t="s">
        <v>476</v>
      </c>
      <c r="E109" s="1" t="s">
        <v>187</v>
      </c>
      <c r="F109" s="1">
        <v>45375</v>
      </c>
      <c r="G109" s="1">
        <v>45375</v>
      </c>
      <c r="H109" s="1">
        <v>45379</v>
      </c>
      <c r="I109" s="1" t="s">
        <v>72</v>
      </c>
      <c r="J109" s="1" t="s">
        <v>1</v>
      </c>
      <c r="K109" s="1" t="s">
        <v>21</v>
      </c>
      <c r="L109" s="1" t="s">
        <v>22</v>
      </c>
      <c r="M109" s="1" t="s">
        <v>40</v>
      </c>
      <c r="N109" s="1" t="s">
        <v>38</v>
      </c>
      <c r="O109" s="1" t="s">
        <v>41</v>
      </c>
      <c r="P109" s="1">
        <v>8</v>
      </c>
      <c r="Q109" s="1">
        <v>170</v>
      </c>
      <c r="R109" s="1">
        <v>188.70000000000002</v>
      </c>
      <c r="S109" s="1">
        <v>0.06</v>
      </c>
    </row>
    <row r="110" spans="1:19" x14ac:dyDescent="0.3">
      <c r="A110" s="1" t="s">
        <v>477</v>
      </c>
      <c r="B110" s="1" t="s">
        <v>478</v>
      </c>
      <c r="C110" s="1" t="s">
        <v>479</v>
      </c>
      <c r="D110" s="1" t="s">
        <v>480</v>
      </c>
      <c r="E110" s="1" t="s">
        <v>119</v>
      </c>
      <c r="F110" s="1">
        <v>45709</v>
      </c>
      <c r="G110" s="1">
        <v>45710</v>
      </c>
      <c r="H110" s="1">
        <v>45713</v>
      </c>
      <c r="I110" s="1" t="s">
        <v>72</v>
      </c>
      <c r="J110" s="1" t="s">
        <v>17</v>
      </c>
      <c r="K110" s="1" t="s">
        <v>21</v>
      </c>
      <c r="L110" s="1" t="s">
        <v>24</v>
      </c>
      <c r="M110" s="1" t="s">
        <v>37</v>
      </c>
      <c r="N110" s="1" t="s">
        <v>38</v>
      </c>
      <c r="O110" s="1" t="s">
        <v>39</v>
      </c>
      <c r="P110" s="1">
        <v>12</v>
      </c>
      <c r="Q110" s="1">
        <v>250</v>
      </c>
      <c r="R110" s="1">
        <v>270</v>
      </c>
      <c r="S110" s="1">
        <v>0.02</v>
      </c>
    </row>
    <row r="111" spans="1:19" x14ac:dyDescent="0.3">
      <c r="A111" s="1" t="s">
        <v>481</v>
      </c>
      <c r="B111" s="1" t="s">
        <v>482</v>
      </c>
      <c r="C111" s="1" t="s">
        <v>483</v>
      </c>
      <c r="D111" s="1" t="s">
        <v>484</v>
      </c>
      <c r="E111" s="1" t="s">
        <v>114</v>
      </c>
      <c r="F111" s="1">
        <v>45952</v>
      </c>
      <c r="G111" s="1">
        <v>45952</v>
      </c>
      <c r="H111" s="1">
        <v>45955</v>
      </c>
      <c r="I111" s="1" t="s">
        <v>72</v>
      </c>
      <c r="J111" s="1" t="s">
        <v>17</v>
      </c>
      <c r="K111" s="1" t="s">
        <v>20</v>
      </c>
      <c r="L111" s="1" t="s">
        <v>25</v>
      </c>
      <c r="M111" s="1" t="s">
        <v>51</v>
      </c>
      <c r="N111" s="1" t="s">
        <v>33</v>
      </c>
      <c r="O111" s="1" t="s">
        <v>52</v>
      </c>
      <c r="P111" s="1">
        <v>6</v>
      </c>
      <c r="Q111" s="1">
        <v>280</v>
      </c>
      <c r="R111" s="1">
        <v>336</v>
      </c>
      <c r="S111" s="1">
        <v>0.09</v>
      </c>
    </row>
    <row r="112" spans="1:19" x14ac:dyDescent="0.3">
      <c r="A112" s="1" t="s">
        <v>485</v>
      </c>
      <c r="B112" s="1" t="s">
        <v>486</v>
      </c>
      <c r="C112" s="1" t="s">
        <v>487</v>
      </c>
      <c r="D112" s="1" t="s">
        <v>488</v>
      </c>
      <c r="E112" s="1" t="s">
        <v>77</v>
      </c>
      <c r="F112" s="1">
        <v>45599</v>
      </c>
      <c r="G112" s="1">
        <v>45599</v>
      </c>
      <c r="H112" s="1">
        <v>45602</v>
      </c>
      <c r="I112" s="1" t="s">
        <v>82</v>
      </c>
      <c r="J112" s="1" t="s">
        <v>2</v>
      </c>
      <c r="K112" s="1" t="s">
        <v>19</v>
      </c>
      <c r="L112" s="1" t="s">
        <v>61</v>
      </c>
      <c r="M112" s="1" t="s">
        <v>44</v>
      </c>
      <c r="N112" s="1" t="s">
        <v>38</v>
      </c>
      <c r="O112" s="1" t="s">
        <v>45</v>
      </c>
      <c r="P112" s="1">
        <v>4</v>
      </c>
      <c r="Q112" s="1">
        <v>210</v>
      </c>
      <c r="R112" s="1">
        <v>222.60000000000002</v>
      </c>
      <c r="S112" s="1">
        <v>0.06</v>
      </c>
    </row>
    <row r="113" spans="1:19" x14ac:dyDescent="0.3">
      <c r="A113" s="1" t="s">
        <v>489</v>
      </c>
      <c r="B113" s="1" t="s">
        <v>490</v>
      </c>
      <c r="C113" s="1" t="s">
        <v>491</v>
      </c>
      <c r="D113" s="1" t="s">
        <v>492</v>
      </c>
      <c r="E113" s="1" t="s">
        <v>132</v>
      </c>
      <c r="F113" s="1">
        <v>45547</v>
      </c>
      <c r="G113" s="1">
        <v>45547</v>
      </c>
      <c r="H113" s="1">
        <v>45550</v>
      </c>
      <c r="I113" s="1" t="s">
        <v>72</v>
      </c>
      <c r="J113" s="1" t="s">
        <v>2</v>
      </c>
      <c r="K113" s="1" t="s">
        <v>19</v>
      </c>
      <c r="L113" s="1" t="s">
        <v>25</v>
      </c>
      <c r="M113" s="1" t="s">
        <v>53</v>
      </c>
      <c r="N113" s="1" t="s">
        <v>27</v>
      </c>
      <c r="O113" s="1" t="s">
        <v>54</v>
      </c>
      <c r="P113" s="1">
        <v>8</v>
      </c>
      <c r="Q113" s="1">
        <v>430</v>
      </c>
      <c r="R113" s="1">
        <v>455.8</v>
      </c>
      <c r="S113" s="1">
        <v>7.0000000000000007E-2</v>
      </c>
    </row>
    <row r="114" spans="1:19" x14ac:dyDescent="0.3">
      <c r="A114" s="1" t="s">
        <v>493</v>
      </c>
      <c r="B114" s="1" t="s">
        <v>155</v>
      </c>
      <c r="C114" s="1" t="s">
        <v>494</v>
      </c>
      <c r="D114" s="1" t="s">
        <v>495</v>
      </c>
      <c r="E114" s="1" t="s">
        <v>291</v>
      </c>
      <c r="F114" s="1">
        <v>46164</v>
      </c>
      <c r="G114" s="1">
        <v>46164</v>
      </c>
      <c r="H114" s="1">
        <v>46166</v>
      </c>
      <c r="I114" s="1" t="s">
        <v>72</v>
      </c>
      <c r="J114" s="1" t="s">
        <v>2</v>
      </c>
      <c r="K114" s="1" t="s">
        <v>21</v>
      </c>
      <c r="L114" s="1" t="s">
        <v>24</v>
      </c>
      <c r="M114" s="1" t="s">
        <v>57</v>
      </c>
      <c r="N114" s="1" t="s">
        <v>27</v>
      </c>
      <c r="O114" s="1" t="s">
        <v>58</v>
      </c>
      <c r="P114" s="1">
        <v>10</v>
      </c>
      <c r="Q114" s="1">
        <v>480</v>
      </c>
      <c r="R114" s="1">
        <v>513.6</v>
      </c>
      <c r="S114" s="1">
        <v>0.08</v>
      </c>
    </row>
    <row r="115" spans="1:19" x14ac:dyDescent="0.3">
      <c r="A115" s="1" t="s">
        <v>496</v>
      </c>
      <c r="B115" s="1" t="s">
        <v>497</v>
      </c>
      <c r="C115" s="1" t="s">
        <v>498</v>
      </c>
      <c r="D115" s="1" t="s">
        <v>499</v>
      </c>
      <c r="E115" s="1" t="s">
        <v>141</v>
      </c>
      <c r="F115" s="1">
        <v>45943</v>
      </c>
      <c r="G115" s="1">
        <v>45944</v>
      </c>
      <c r="H115" s="1">
        <v>45948</v>
      </c>
      <c r="I115" s="1" t="s">
        <v>72</v>
      </c>
      <c r="J115" s="1" t="s">
        <v>2</v>
      </c>
      <c r="K115" s="1" t="s">
        <v>19</v>
      </c>
      <c r="L115" s="1" t="s">
        <v>22</v>
      </c>
      <c r="M115" s="1" t="s">
        <v>35</v>
      </c>
      <c r="N115" s="1" t="s">
        <v>33</v>
      </c>
      <c r="O115" s="1" t="s">
        <v>36</v>
      </c>
      <c r="P115" s="1">
        <v>7</v>
      </c>
      <c r="Q115" s="1">
        <v>1530</v>
      </c>
      <c r="R115" s="1">
        <v>1790.1</v>
      </c>
      <c r="S115" s="1">
        <v>0.04</v>
      </c>
    </row>
    <row r="116" spans="1:19" x14ac:dyDescent="0.3">
      <c r="A116" s="1" t="s">
        <v>500</v>
      </c>
      <c r="B116" s="1" t="s">
        <v>501</v>
      </c>
      <c r="C116" s="1" t="s">
        <v>502</v>
      </c>
      <c r="D116" s="1" t="s">
        <v>503</v>
      </c>
      <c r="E116" s="1" t="s">
        <v>322</v>
      </c>
      <c r="F116" s="1">
        <v>45545</v>
      </c>
      <c r="G116" s="1">
        <v>45545</v>
      </c>
      <c r="H116" s="1">
        <v>45547</v>
      </c>
      <c r="I116" s="1" t="s">
        <v>72</v>
      </c>
      <c r="J116" s="1" t="s">
        <v>1</v>
      </c>
      <c r="K116" s="1" t="s">
        <v>20</v>
      </c>
      <c r="L116" s="1" t="s">
        <v>23</v>
      </c>
      <c r="M116" s="1" t="s">
        <v>26</v>
      </c>
      <c r="N116" s="1" t="s">
        <v>27</v>
      </c>
      <c r="O116" s="1" t="s">
        <v>28</v>
      </c>
      <c r="P116" s="1">
        <v>5</v>
      </c>
      <c r="Q116" s="1">
        <v>3330</v>
      </c>
      <c r="R116" s="1">
        <v>3629.7000000000003</v>
      </c>
      <c r="S116" s="1">
        <v>0.03</v>
      </c>
    </row>
    <row r="117" spans="1:19" x14ac:dyDescent="0.3">
      <c r="A117" s="1" t="s">
        <v>504</v>
      </c>
      <c r="B117" s="1" t="s">
        <v>151</v>
      </c>
      <c r="C117" s="1" t="s">
        <v>505</v>
      </c>
      <c r="D117" s="1" t="s">
        <v>506</v>
      </c>
      <c r="E117" s="1" t="s">
        <v>100</v>
      </c>
      <c r="F117" s="1">
        <v>45655</v>
      </c>
      <c r="G117" s="1">
        <v>45656</v>
      </c>
      <c r="H117" s="1">
        <v>45658</v>
      </c>
      <c r="I117" s="1" t="s">
        <v>72</v>
      </c>
      <c r="J117" s="1" t="s">
        <v>18</v>
      </c>
      <c r="K117" s="1" t="s">
        <v>21</v>
      </c>
      <c r="L117" s="1" t="s">
        <v>22</v>
      </c>
      <c r="M117" s="1" t="s">
        <v>42</v>
      </c>
      <c r="N117" s="1" t="s">
        <v>27</v>
      </c>
      <c r="O117" s="1" t="s">
        <v>28</v>
      </c>
      <c r="P117" s="1">
        <v>5</v>
      </c>
      <c r="Q117" s="1">
        <v>3030</v>
      </c>
      <c r="R117" s="1">
        <v>3211.8</v>
      </c>
      <c r="S117" s="1">
        <v>0.04</v>
      </c>
    </row>
    <row r="118" spans="1:19" x14ac:dyDescent="0.3">
      <c r="A118" s="1" t="s">
        <v>507</v>
      </c>
      <c r="B118" s="1" t="s">
        <v>508</v>
      </c>
      <c r="C118" s="1" t="s">
        <v>509</v>
      </c>
      <c r="D118" s="1" t="s">
        <v>510</v>
      </c>
      <c r="E118" s="1" t="s">
        <v>187</v>
      </c>
      <c r="F118" s="1">
        <v>45826</v>
      </c>
      <c r="G118" s="1">
        <v>45827</v>
      </c>
      <c r="H118" s="1">
        <v>45829</v>
      </c>
      <c r="I118" s="1" t="s">
        <v>72</v>
      </c>
      <c r="J118" s="1" t="s">
        <v>1</v>
      </c>
      <c r="K118" s="1" t="s">
        <v>19</v>
      </c>
      <c r="L118" s="1" t="s">
        <v>24</v>
      </c>
      <c r="M118" s="1" t="s">
        <v>40</v>
      </c>
      <c r="N118" s="1" t="s">
        <v>38</v>
      </c>
      <c r="O118" s="1" t="s">
        <v>41</v>
      </c>
      <c r="P118" s="1">
        <v>10</v>
      </c>
      <c r="Q118" s="1">
        <v>170</v>
      </c>
      <c r="R118" s="1">
        <v>188.70000000000002</v>
      </c>
      <c r="S118" s="1">
        <v>0.03</v>
      </c>
    </row>
    <row r="119" spans="1:19" x14ac:dyDescent="0.3">
      <c r="A119" s="1" t="s">
        <v>511</v>
      </c>
      <c r="B119" s="1" t="s">
        <v>408</v>
      </c>
      <c r="C119" s="1" t="s">
        <v>512</v>
      </c>
      <c r="D119" s="1" t="s">
        <v>513</v>
      </c>
      <c r="E119" s="1" t="s">
        <v>322</v>
      </c>
      <c r="F119" s="1">
        <v>45457</v>
      </c>
      <c r="G119" s="1">
        <v>45457</v>
      </c>
      <c r="H119" s="1">
        <v>45461</v>
      </c>
      <c r="I119" s="1" t="s">
        <v>72</v>
      </c>
      <c r="J119" s="1" t="s">
        <v>17</v>
      </c>
      <c r="K119" s="1" t="s">
        <v>21</v>
      </c>
      <c r="L119" s="1" t="s">
        <v>23</v>
      </c>
      <c r="M119" s="1" t="s">
        <v>26</v>
      </c>
      <c r="N119" s="1" t="s">
        <v>27</v>
      </c>
      <c r="O119" s="1" t="s">
        <v>28</v>
      </c>
      <c r="P119" s="1">
        <v>8</v>
      </c>
      <c r="Q119" s="1">
        <v>3330</v>
      </c>
      <c r="R119" s="1">
        <v>3629.7000000000003</v>
      </c>
      <c r="S119" s="1">
        <v>0.09</v>
      </c>
    </row>
    <row r="120" spans="1:19" x14ac:dyDescent="0.3">
      <c r="A120" s="1" t="s">
        <v>514</v>
      </c>
      <c r="B120" s="1" t="s">
        <v>508</v>
      </c>
      <c r="C120" s="1" t="s">
        <v>515</v>
      </c>
      <c r="D120" s="1" t="s">
        <v>516</v>
      </c>
      <c r="E120" s="1" t="s">
        <v>164</v>
      </c>
      <c r="F120" s="1">
        <v>45864</v>
      </c>
      <c r="G120" s="1">
        <v>45864</v>
      </c>
      <c r="H120" s="1">
        <v>45867</v>
      </c>
      <c r="I120" s="1" t="s">
        <v>82</v>
      </c>
      <c r="J120" s="1" t="s">
        <v>16</v>
      </c>
      <c r="K120" s="1" t="s">
        <v>20</v>
      </c>
      <c r="L120" s="1" t="s">
        <v>61</v>
      </c>
      <c r="M120" s="1" t="s">
        <v>43</v>
      </c>
      <c r="N120" s="1" t="s">
        <v>27</v>
      </c>
      <c r="O120" s="1" t="s">
        <v>31</v>
      </c>
      <c r="P120" s="1">
        <v>2</v>
      </c>
      <c r="Q120" s="1">
        <v>1630</v>
      </c>
      <c r="R120" s="1">
        <v>1744.1000000000001</v>
      </c>
      <c r="S120" s="1">
        <v>0.05</v>
      </c>
    </row>
    <row r="121" spans="1:19" x14ac:dyDescent="0.3">
      <c r="A121" s="1" t="s">
        <v>517</v>
      </c>
      <c r="B121" s="1" t="s">
        <v>518</v>
      </c>
      <c r="C121" s="1" t="s">
        <v>519</v>
      </c>
      <c r="D121" s="1" t="s">
        <v>520</v>
      </c>
      <c r="E121" s="1" t="s">
        <v>114</v>
      </c>
      <c r="F121" s="1">
        <v>46061</v>
      </c>
      <c r="G121" s="1">
        <v>46062</v>
      </c>
      <c r="H121" s="1">
        <v>46065</v>
      </c>
      <c r="I121" s="1" t="s">
        <v>82</v>
      </c>
      <c r="J121" s="1" t="s">
        <v>1</v>
      </c>
      <c r="K121" s="1" t="s">
        <v>19</v>
      </c>
      <c r="L121" s="1" t="s">
        <v>22</v>
      </c>
      <c r="M121" s="1" t="s">
        <v>51</v>
      </c>
      <c r="N121" s="1" t="s">
        <v>33</v>
      </c>
      <c r="O121" s="1" t="s">
        <v>52</v>
      </c>
      <c r="P121" s="1">
        <v>4</v>
      </c>
      <c r="Q121" s="1">
        <v>280</v>
      </c>
      <c r="R121" s="1">
        <v>336</v>
      </c>
      <c r="S121" s="1">
        <v>0.02</v>
      </c>
    </row>
    <row r="122" spans="1:19" x14ac:dyDescent="0.3">
      <c r="A122" s="1" t="s">
        <v>521</v>
      </c>
      <c r="B122" s="1" t="s">
        <v>508</v>
      </c>
      <c r="C122" s="1" t="s">
        <v>522</v>
      </c>
      <c r="D122" s="1" t="s">
        <v>460</v>
      </c>
      <c r="E122" s="1" t="s">
        <v>322</v>
      </c>
      <c r="F122" s="1">
        <v>46050</v>
      </c>
      <c r="G122" s="1">
        <v>46050</v>
      </c>
      <c r="H122" s="1">
        <v>46055</v>
      </c>
      <c r="I122" s="1" t="s">
        <v>72</v>
      </c>
      <c r="J122" s="1" t="s">
        <v>18</v>
      </c>
      <c r="K122" s="1" t="s">
        <v>21</v>
      </c>
      <c r="L122" s="1" t="s">
        <v>25</v>
      </c>
      <c r="M122" s="1" t="s">
        <v>26</v>
      </c>
      <c r="N122" s="1" t="s">
        <v>27</v>
      </c>
      <c r="O122" s="1" t="s">
        <v>28</v>
      </c>
      <c r="P122" s="1">
        <v>14</v>
      </c>
      <c r="Q122" s="1">
        <v>3330</v>
      </c>
      <c r="R122" s="1">
        <v>3629.7000000000003</v>
      </c>
      <c r="S122" s="1">
        <v>0.01</v>
      </c>
    </row>
    <row r="123" spans="1:19" x14ac:dyDescent="0.3">
      <c r="A123" s="1" t="s">
        <v>523</v>
      </c>
      <c r="B123" s="1" t="s">
        <v>524</v>
      </c>
      <c r="C123" s="1" t="s">
        <v>525</v>
      </c>
      <c r="D123" s="1" t="s">
        <v>526</v>
      </c>
      <c r="E123" s="1" t="s">
        <v>109</v>
      </c>
      <c r="F123" s="1">
        <v>45869</v>
      </c>
      <c r="G123" s="1">
        <v>45870</v>
      </c>
      <c r="H123" s="1">
        <v>45871</v>
      </c>
      <c r="I123" s="1" t="s">
        <v>72</v>
      </c>
      <c r="J123" s="1" t="s">
        <v>18</v>
      </c>
      <c r="K123" s="1" t="s">
        <v>21</v>
      </c>
      <c r="L123" s="1" t="s">
        <v>23</v>
      </c>
      <c r="M123" s="1" t="s">
        <v>55</v>
      </c>
      <c r="N123" s="1" t="s">
        <v>27</v>
      </c>
      <c r="O123" s="1" t="s">
        <v>56</v>
      </c>
      <c r="P123" s="1">
        <v>6</v>
      </c>
      <c r="Q123" s="1">
        <v>650</v>
      </c>
      <c r="R123" s="1">
        <v>663</v>
      </c>
      <c r="S123" s="1">
        <v>0</v>
      </c>
    </row>
    <row r="124" spans="1:19" x14ac:dyDescent="0.3">
      <c r="A124" s="1" t="s">
        <v>527</v>
      </c>
      <c r="B124" s="1" t="s">
        <v>420</v>
      </c>
      <c r="C124" s="1" t="s">
        <v>528</v>
      </c>
      <c r="D124" s="1" t="s">
        <v>529</v>
      </c>
      <c r="E124" s="1" t="s">
        <v>291</v>
      </c>
      <c r="F124" s="1">
        <v>45350</v>
      </c>
      <c r="G124" s="1">
        <v>45351</v>
      </c>
      <c r="H124" s="1">
        <v>45354</v>
      </c>
      <c r="I124" s="1" t="s">
        <v>72</v>
      </c>
      <c r="J124" s="1" t="s">
        <v>1</v>
      </c>
      <c r="K124" s="1" t="s">
        <v>21</v>
      </c>
      <c r="L124" s="1" t="s">
        <v>22</v>
      </c>
      <c r="M124" s="1" t="s">
        <v>57</v>
      </c>
      <c r="N124" s="1" t="s">
        <v>27</v>
      </c>
      <c r="O124" s="1" t="s">
        <v>58</v>
      </c>
      <c r="P124" s="1">
        <v>6</v>
      </c>
      <c r="Q124" s="1">
        <v>480</v>
      </c>
      <c r="R124" s="1">
        <v>513.6</v>
      </c>
      <c r="S124" s="1">
        <v>0.04</v>
      </c>
    </row>
    <row r="125" spans="1:19" x14ac:dyDescent="0.3">
      <c r="A125" s="1" t="s">
        <v>530</v>
      </c>
      <c r="B125" s="1" t="s">
        <v>531</v>
      </c>
      <c r="C125" s="1" t="s">
        <v>532</v>
      </c>
      <c r="D125" s="1" t="s">
        <v>533</v>
      </c>
      <c r="E125" s="1" t="s">
        <v>119</v>
      </c>
      <c r="F125" s="1">
        <v>46165</v>
      </c>
      <c r="G125" s="1">
        <v>46165</v>
      </c>
      <c r="H125" s="1">
        <v>46169</v>
      </c>
      <c r="I125" s="1" t="s">
        <v>82</v>
      </c>
      <c r="J125" s="1" t="s">
        <v>18</v>
      </c>
      <c r="K125" s="1" t="s">
        <v>19</v>
      </c>
      <c r="L125" s="1" t="s">
        <v>61</v>
      </c>
      <c r="M125" s="1" t="s">
        <v>37</v>
      </c>
      <c r="N125" s="1" t="s">
        <v>38</v>
      </c>
      <c r="O125" s="1" t="s">
        <v>39</v>
      </c>
      <c r="P125" s="1">
        <v>1</v>
      </c>
      <c r="Q125" s="1">
        <v>250</v>
      </c>
      <c r="R125" s="1">
        <v>270</v>
      </c>
      <c r="S125" s="1">
        <v>0</v>
      </c>
    </row>
    <row r="126" spans="1:19" x14ac:dyDescent="0.3">
      <c r="A126" s="1" t="s">
        <v>534</v>
      </c>
      <c r="B126" s="1" t="s">
        <v>285</v>
      </c>
      <c r="C126" s="1" t="s">
        <v>535</v>
      </c>
      <c r="D126" s="1" t="s">
        <v>536</v>
      </c>
      <c r="E126" s="1" t="s">
        <v>208</v>
      </c>
      <c r="F126" s="1">
        <v>45717</v>
      </c>
      <c r="G126" s="1">
        <v>45718</v>
      </c>
      <c r="H126" s="1">
        <v>45721</v>
      </c>
      <c r="I126" s="1" t="s">
        <v>72</v>
      </c>
      <c r="J126" s="1" t="s">
        <v>17</v>
      </c>
      <c r="K126" s="1" t="s">
        <v>19</v>
      </c>
      <c r="L126" s="1" t="s">
        <v>24</v>
      </c>
      <c r="M126" s="1" t="s">
        <v>50</v>
      </c>
      <c r="N126" s="1" t="s">
        <v>33</v>
      </c>
      <c r="O126" s="1" t="s">
        <v>36</v>
      </c>
      <c r="P126" s="1">
        <v>6</v>
      </c>
      <c r="Q126" s="1">
        <v>930</v>
      </c>
      <c r="R126" s="1">
        <v>1078.8</v>
      </c>
      <c r="S126" s="1">
        <v>0.1</v>
      </c>
    </row>
    <row r="127" spans="1:19" x14ac:dyDescent="0.3">
      <c r="A127" s="1" t="s">
        <v>537</v>
      </c>
      <c r="B127" s="1" t="s">
        <v>538</v>
      </c>
      <c r="C127" s="1" t="s">
        <v>539</v>
      </c>
      <c r="D127" s="1" t="s">
        <v>540</v>
      </c>
      <c r="E127" s="1" t="s">
        <v>141</v>
      </c>
      <c r="F127" s="1">
        <v>45474</v>
      </c>
      <c r="G127" s="1">
        <v>45474</v>
      </c>
      <c r="H127" s="1">
        <v>45479</v>
      </c>
      <c r="I127" s="1" t="s">
        <v>72</v>
      </c>
      <c r="J127" s="1" t="s">
        <v>16</v>
      </c>
      <c r="K127" s="1" t="s">
        <v>19</v>
      </c>
      <c r="L127" s="1" t="s">
        <v>23</v>
      </c>
      <c r="M127" s="1" t="s">
        <v>35</v>
      </c>
      <c r="N127" s="1" t="s">
        <v>33</v>
      </c>
      <c r="O127" s="1" t="s">
        <v>36</v>
      </c>
      <c r="P127" s="1">
        <v>7</v>
      </c>
      <c r="Q127" s="1">
        <v>1530</v>
      </c>
      <c r="R127" s="1">
        <v>1790.1</v>
      </c>
      <c r="S127" s="1">
        <v>0.02</v>
      </c>
    </row>
    <row r="128" spans="1:19" x14ac:dyDescent="0.3">
      <c r="A128" s="1" t="s">
        <v>541</v>
      </c>
      <c r="B128" s="1" t="s">
        <v>542</v>
      </c>
      <c r="C128" s="1" t="s">
        <v>543</v>
      </c>
      <c r="D128" s="1" t="s">
        <v>544</v>
      </c>
      <c r="E128" s="1" t="s">
        <v>164</v>
      </c>
      <c r="F128" s="1">
        <v>45916</v>
      </c>
      <c r="G128" s="1">
        <v>45916</v>
      </c>
      <c r="H128" s="1">
        <v>45921</v>
      </c>
      <c r="I128" s="1" t="s">
        <v>72</v>
      </c>
      <c r="J128" s="1" t="s">
        <v>1</v>
      </c>
      <c r="K128" s="1" t="s">
        <v>21</v>
      </c>
      <c r="L128" s="1" t="s">
        <v>24</v>
      </c>
      <c r="M128" s="1" t="s">
        <v>43</v>
      </c>
      <c r="N128" s="1" t="s">
        <v>27</v>
      </c>
      <c r="O128" s="1" t="s">
        <v>31</v>
      </c>
      <c r="P128" s="1">
        <v>8</v>
      </c>
      <c r="Q128" s="1">
        <v>1630</v>
      </c>
      <c r="R128" s="1">
        <v>1744.1000000000001</v>
      </c>
      <c r="S128" s="1">
        <v>0.02</v>
      </c>
    </row>
    <row r="129" spans="1:19" x14ac:dyDescent="0.3">
      <c r="A129" s="1" t="s">
        <v>545</v>
      </c>
      <c r="B129" s="1" t="s">
        <v>161</v>
      </c>
      <c r="C129" s="1" t="s">
        <v>546</v>
      </c>
      <c r="D129" s="1" t="s">
        <v>547</v>
      </c>
      <c r="E129" s="1" t="s">
        <v>109</v>
      </c>
      <c r="F129" s="1">
        <v>45469</v>
      </c>
      <c r="G129" s="1">
        <v>45470</v>
      </c>
      <c r="H129" s="1">
        <v>45473</v>
      </c>
      <c r="I129" s="1" t="s">
        <v>72</v>
      </c>
      <c r="J129" s="1" t="s">
        <v>17</v>
      </c>
      <c r="K129" s="1" t="s">
        <v>19</v>
      </c>
      <c r="L129" s="1" t="s">
        <v>25</v>
      </c>
      <c r="M129" s="1" t="s">
        <v>55</v>
      </c>
      <c r="N129" s="1" t="s">
        <v>27</v>
      </c>
      <c r="O129" s="1" t="s">
        <v>56</v>
      </c>
      <c r="P129" s="1">
        <v>9</v>
      </c>
      <c r="Q129" s="1">
        <v>650</v>
      </c>
      <c r="R129" s="1">
        <v>663</v>
      </c>
      <c r="S129" s="1">
        <v>0.04</v>
      </c>
    </row>
    <row r="130" spans="1:19" x14ac:dyDescent="0.3">
      <c r="A130" s="1" t="s">
        <v>548</v>
      </c>
      <c r="B130" s="1" t="s">
        <v>428</v>
      </c>
      <c r="C130" s="1" t="s">
        <v>549</v>
      </c>
      <c r="D130" s="1" t="s">
        <v>550</v>
      </c>
      <c r="E130" s="1" t="s">
        <v>109</v>
      </c>
      <c r="F130" s="1">
        <v>46180</v>
      </c>
      <c r="G130" s="1">
        <v>46180</v>
      </c>
      <c r="H130" s="1">
        <v>46185</v>
      </c>
      <c r="I130" s="1" t="s">
        <v>72</v>
      </c>
      <c r="J130" s="1" t="s">
        <v>2</v>
      </c>
      <c r="K130" s="1" t="s">
        <v>21</v>
      </c>
      <c r="L130" s="1" t="s">
        <v>25</v>
      </c>
      <c r="M130" s="1" t="s">
        <v>55</v>
      </c>
      <c r="N130" s="1" t="s">
        <v>27</v>
      </c>
      <c r="O130" s="1" t="s">
        <v>56</v>
      </c>
      <c r="P130" s="1">
        <v>9</v>
      </c>
      <c r="Q130" s="1">
        <v>650</v>
      </c>
      <c r="R130" s="1">
        <v>663</v>
      </c>
      <c r="S130" s="1">
        <v>7.0000000000000007E-2</v>
      </c>
    </row>
    <row r="131" spans="1:19" x14ac:dyDescent="0.3">
      <c r="A131" s="1" t="s">
        <v>551</v>
      </c>
      <c r="B131" s="1" t="s">
        <v>297</v>
      </c>
      <c r="C131" s="1" t="s">
        <v>552</v>
      </c>
      <c r="D131" s="1" t="s">
        <v>553</v>
      </c>
      <c r="E131" s="1" t="s">
        <v>291</v>
      </c>
      <c r="F131" s="1">
        <v>46017</v>
      </c>
      <c r="G131" s="1">
        <v>46018</v>
      </c>
      <c r="H131" s="1">
        <v>46021</v>
      </c>
      <c r="I131" s="1" t="s">
        <v>82</v>
      </c>
      <c r="J131" s="1" t="s">
        <v>2</v>
      </c>
      <c r="K131" s="1" t="s">
        <v>20</v>
      </c>
      <c r="L131" s="1" t="s">
        <v>61</v>
      </c>
      <c r="M131" s="1" t="s">
        <v>57</v>
      </c>
      <c r="N131" s="1" t="s">
        <v>27</v>
      </c>
      <c r="O131" s="1" t="s">
        <v>58</v>
      </c>
      <c r="P131" s="1">
        <v>4</v>
      </c>
      <c r="Q131" s="1">
        <v>480</v>
      </c>
      <c r="R131" s="1">
        <v>513.6</v>
      </c>
      <c r="S131" s="1">
        <v>0.08</v>
      </c>
    </row>
    <row r="132" spans="1:19" x14ac:dyDescent="0.3">
      <c r="A132" s="1" t="s">
        <v>554</v>
      </c>
      <c r="B132" s="1" t="s">
        <v>226</v>
      </c>
      <c r="C132" s="1" t="s">
        <v>555</v>
      </c>
      <c r="D132" s="1" t="s">
        <v>556</v>
      </c>
      <c r="E132" s="1" t="s">
        <v>192</v>
      </c>
      <c r="F132" s="1">
        <v>45749</v>
      </c>
      <c r="G132" s="1">
        <v>45750</v>
      </c>
      <c r="H132" s="1">
        <v>45753</v>
      </c>
      <c r="I132" s="1" t="s">
        <v>72</v>
      </c>
      <c r="J132" s="1" t="s">
        <v>16</v>
      </c>
      <c r="K132" s="1" t="s">
        <v>21</v>
      </c>
      <c r="L132" s="1" t="s">
        <v>24</v>
      </c>
      <c r="M132" s="1" t="s">
        <v>46</v>
      </c>
      <c r="N132" s="1" t="s">
        <v>38</v>
      </c>
      <c r="O132" s="1" t="s">
        <v>45</v>
      </c>
      <c r="P132" s="1">
        <v>9</v>
      </c>
      <c r="Q132" s="1">
        <v>350</v>
      </c>
      <c r="R132" s="1">
        <v>364</v>
      </c>
      <c r="S132" s="1">
        <v>0.09</v>
      </c>
    </row>
    <row r="133" spans="1:19" x14ac:dyDescent="0.3">
      <c r="A133" s="1" t="s">
        <v>557</v>
      </c>
      <c r="B133" s="1" t="s">
        <v>170</v>
      </c>
      <c r="C133" s="1" t="s">
        <v>558</v>
      </c>
      <c r="D133" s="1" t="s">
        <v>559</v>
      </c>
      <c r="E133" s="1" t="s">
        <v>173</v>
      </c>
      <c r="F133" s="1">
        <v>45619</v>
      </c>
      <c r="G133" s="1">
        <v>45620</v>
      </c>
      <c r="H133" s="1">
        <v>45623</v>
      </c>
      <c r="I133" s="1" t="s">
        <v>72</v>
      </c>
      <c r="J133" s="1" t="s">
        <v>17</v>
      </c>
      <c r="K133" s="1" t="s">
        <v>20</v>
      </c>
      <c r="L133" s="1" t="s">
        <v>22</v>
      </c>
      <c r="M133" s="1" t="s">
        <v>48</v>
      </c>
      <c r="N133" s="1" t="s">
        <v>38</v>
      </c>
      <c r="O133" s="1" t="s">
        <v>41</v>
      </c>
      <c r="P133" s="1">
        <v>7</v>
      </c>
      <c r="Q133" s="1">
        <v>580</v>
      </c>
      <c r="R133" s="1">
        <v>667</v>
      </c>
      <c r="S133" s="1">
        <v>0.03</v>
      </c>
    </row>
    <row r="134" spans="1:19" x14ac:dyDescent="0.3">
      <c r="A134" s="1" t="s">
        <v>560</v>
      </c>
      <c r="B134" s="1" t="s">
        <v>304</v>
      </c>
      <c r="C134" s="1" t="s">
        <v>561</v>
      </c>
      <c r="D134" s="1" t="s">
        <v>562</v>
      </c>
      <c r="E134" s="1" t="s">
        <v>132</v>
      </c>
      <c r="F134" s="1">
        <v>45629</v>
      </c>
      <c r="G134" s="1">
        <v>45629</v>
      </c>
      <c r="H134" s="1">
        <v>45632</v>
      </c>
      <c r="I134" s="1" t="s">
        <v>72</v>
      </c>
      <c r="J134" s="1" t="s">
        <v>2</v>
      </c>
      <c r="K134" s="1" t="s">
        <v>19</v>
      </c>
      <c r="L134" s="1" t="s">
        <v>61</v>
      </c>
      <c r="M134" s="1" t="s">
        <v>53</v>
      </c>
      <c r="N134" s="1" t="s">
        <v>27</v>
      </c>
      <c r="O134" s="1" t="s">
        <v>54</v>
      </c>
      <c r="P134" s="1">
        <v>6</v>
      </c>
      <c r="Q134" s="1">
        <v>430</v>
      </c>
      <c r="R134" s="1">
        <v>455.8</v>
      </c>
      <c r="S134" s="1">
        <v>0.08</v>
      </c>
    </row>
    <row r="135" spans="1:19" x14ac:dyDescent="0.3">
      <c r="A135" s="1" t="s">
        <v>563</v>
      </c>
      <c r="B135" s="1" t="s">
        <v>564</v>
      </c>
      <c r="C135" s="1" t="s">
        <v>565</v>
      </c>
      <c r="D135" s="1" t="s">
        <v>566</v>
      </c>
      <c r="E135" s="1" t="s">
        <v>291</v>
      </c>
      <c r="F135" s="1">
        <v>45469</v>
      </c>
      <c r="G135" s="1">
        <v>45469</v>
      </c>
      <c r="H135" s="1">
        <v>45471</v>
      </c>
      <c r="I135" s="1" t="s">
        <v>82</v>
      </c>
      <c r="J135" s="1" t="s">
        <v>16</v>
      </c>
      <c r="K135" s="1" t="s">
        <v>19</v>
      </c>
      <c r="L135" s="1" t="s">
        <v>22</v>
      </c>
      <c r="M135" s="1" t="s">
        <v>57</v>
      </c>
      <c r="N135" s="1" t="s">
        <v>27</v>
      </c>
      <c r="O135" s="1" t="s">
        <v>58</v>
      </c>
      <c r="P135" s="1">
        <v>4</v>
      </c>
      <c r="Q135" s="1">
        <v>480</v>
      </c>
      <c r="R135" s="1">
        <v>513.6</v>
      </c>
      <c r="S135" s="1">
        <v>7.0000000000000007E-2</v>
      </c>
    </row>
    <row r="136" spans="1:19" x14ac:dyDescent="0.3">
      <c r="A136" s="1" t="s">
        <v>567</v>
      </c>
      <c r="B136" s="1" t="s">
        <v>568</v>
      </c>
      <c r="C136" s="1" t="s">
        <v>569</v>
      </c>
      <c r="D136" s="1" t="s">
        <v>570</v>
      </c>
      <c r="E136" s="1" t="s">
        <v>77</v>
      </c>
      <c r="F136" s="1">
        <v>45777</v>
      </c>
      <c r="G136" s="1">
        <v>45777</v>
      </c>
      <c r="H136" s="1">
        <v>45780</v>
      </c>
      <c r="I136" s="1" t="s">
        <v>72</v>
      </c>
      <c r="J136" s="1" t="s">
        <v>18</v>
      </c>
      <c r="K136" s="1" t="s">
        <v>21</v>
      </c>
      <c r="L136" s="1" t="s">
        <v>22</v>
      </c>
      <c r="M136" s="1" t="s">
        <v>44</v>
      </c>
      <c r="N136" s="1" t="s">
        <v>38</v>
      </c>
      <c r="O136" s="1" t="s">
        <v>45</v>
      </c>
      <c r="P136" s="1">
        <v>5</v>
      </c>
      <c r="Q136" s="1">
        <v>210</v>
      </c>
      <c r="R136" s="1">
        <v>222.60000000000002</v>
      </c>
      <c r="S136" s="1">
        <v>0</v>
      </c>
    </row>
    <row r="137" spans="1:19" x14ac:dyDescent="0.3">
      <c r="A137" s="1" t="s">
        <v>571</v>
      </c>
      <c r="B137" s="1" t="s">
        <v>74</v>
      </c>
      <c r="C137" s="1" t="s">
        <v>572</v>
      </c>
      <c r="D137" s="1" t="s">
        <v>573</v>
      </c>
      <c r="E137" s="1" t="s">
        <v>100</v>
      </c>
      <c r="F137" s="1">
        <v>45759</v>
      </c>
      <c r="G137" s="1">
        <v>45759</v>
      </c>
      <c r="H137" s="1">
        <v>45761</v>
      </c>
      <c r="I137" s="1" t="s">
        <v>72</v>
      </c>
      <c r="J137" s="1" t="s">
        <v>16</v>
      </c>
      <c r="K137" s="1" t="s">
        <v>21</v>
      </c>
      <c r="L137" s="1" t="s">
        <v>61</v>
      </c>
      <c r="M137" s="1" t="s">
        <v>42</v>
      </c>
      <c r="N137" s="1" t="s">
        <v>27</v>
      </c>
      <c r="O137" s="1" t="s">
        <v>28</v>
      </c>
      <c r="P137" s="1">
        <v>7</v>
      </c>
      <c r="Q137" s="1">
        <v>3030</v>
      </c>
      <c r="R137" s="1">
        <v>3211.8</v>
      </c>
      <c r="S137" s="1">
        <v>0.05</v>
      </c>
    </row>
    <row r="138" spans="1:19" x14ac:dyDescent="0.3">
      <c r="A138" s="1" t="s">
        <v>574</v>
      </c>
      <c r="B138" s="1" t="s">
        <v>189</v>
      </c>
      <c r="C138" s="1" t="s">
        <v>575</v>
      </c>
      <c r="D138" s="1" t="s">
        <v>576</v>
      </c>
      <c r="E138" s="1" t="s">
        <v>87</v>
      </c>
      <c r="F138" s="1">
        <v>46087</v>
      </c>
      <c r="G138" s="1">
        <v>46087</v>
      </c>
      <c r="H138" s="1">
        <v>46089</v>
      </c>
      <c r="I138" s="1" t="s">
        <v>82</v>
      </c>
      <c r="J138" s="1" t="s">
        <v>16</v>
      </c>
      <c r="K138" s="1" t="s">
        <v>19</v>
      </c>
      <c r="L138" s="1" t="s">
        <v>61</v>
      </c>
      <c r="M138" s="1" t="s">
        <v>30</v>
      </c>
      <c r="N138" s="1" t="s">
        <v>27</v>
      </c>
      <c r="O138" s="1" t="s">
        <v>31</v>
      </c>
      <c r="P138" s="1">
        <v>3</v>
      </c>
      <c r="Q138" s="1">
        <v>1030</v>
      </c>
      <c r="R138" s="1">
        <v>1174.2</v>
      </c>
      <c r="S138" s="1">
        <v>0.1</v>
      </c>
    </row>
    <row r="139" spans="1:19" x14ac:dyDescent="0.3">
      <c r="A139" s="1" t="s">
        <v>577</v>
      </c>
      <c r="B139" s="1" t="s">
        <v>578</v>
      </c>
      <c r="C139" s="1" t="s">
        <v>579</v>
      </c>
      <c r="D139" s="1" t="s">
        <v>580</v>
      </c>
      <c r="E139" s="1" t="s">
        <v>187</v>
      </c>
      <c r="F139" s="1">
        <v>45588</v>
      </c>
      <c r="G139" s="1">
        <v>45589</v>
      </c>
      <c r="H139" s="1">
        <v>45592</v>
      </c>
      <c r="I139" s="1" t="s">
        <v>72</v>
      </c>
      <c r="J139" s="1" t="s">
        <v>16</v>
      </c>
      <c r="K139" s="1" t="s">
        <v>21</v>
      </c>
      <c r="L139" s="1" t="s">
        <v>25</v>
      </c>
      <c r="M139" s="1" t="s">
        <v>40</v>
      </c>
      <c r="N139" s="1" t="s">
        <v>38</v>
      </c>
      <c r="O139" s="1" t="s">
        <v>41</v>
      </c>
      <c r="P139" s="1">
        <v>14</v>
      </c>
      <c r="Q139" s="1">
        <v>170</v>
      </c>
      <c r="R139" s="1">
        <v>188.70000000000002</v>
      </c>
      <c r="S139" s="1">
        <v>0.09</v>
      </c>
    </row>
    <row r="140" spans="1:19" x14ac:dyDescent="0.3">
      <c r="A140" s="1" t="s">
        <v>581</v>
      </c>
      <c r="B140" s="1" t="s">
        <v>354</v>
      </c>
      <c r="C140" s="1" t="s">
        <v>582</v>
      </c>
      <c r="D140" s="1" t="s">
        <v>583</v>
      </c>
      <c r="E140" s="1" t="s">
        <v>164</v>
      </c>
      <c r="F140" s="1">
        <v>45775</v>
      </c>
      <c r="G140" s="1">
        <v>45776</v>
      </c>
      <c r="H140" s="1">
        <v>45777</v>
      </c>
      <c r="I140" s="1" t="s">
        <v>72</v>
      </c>
      <c r="J140" s="1" t="s">
        <v>16</v>
      </c>
      <c r="K140" s="1" t="s">
        <v>19</v>
      </c>
      <c r="L140" s="1" t="s">
        <v>24</v>
      </c>
      <c r="M140" s="1" t="s">
        <v>43</v>
      </c>
      <c r="N140" s="1" t="s">
        <v>27</v>
      </c>
      <c r="O140" s="1" t="s">
        <v>31</v>
      </c>
      <c r="P140" s="1">
        <v>5</v>
      </c>
      <c r="Q140" s="1">
        <v>1630</v>
      </c>
      <c r="R140" s="1">
        <v>1744.1000000000001</v>
      </c>
      <c r="S140" s="1">
        <v>0</v>
      </c>
    </row>
    <row r="141" spans="1:19" x14ac:dyDescent="0.3">
      <c r="A141" s="1" t="s">
        <v>584</v>
      </c>
      <c r="B141" s="1" t="s">
        <v>585</v>
      </c>
      <c r="C141" s="1" t="s">
        <v>586</v>
      </c>
      <c r="D141" s="1" t="s">
        <v>587</v>
      </c>
      <c r="E141" s="1" t="s">
        <v>173</v>
      </c>
      <c r="F141" s="1">
        <v>45829</v>
      </c>
      <c r="G141" s="1">
        <v>45829</v>
      </c>
      <c r="H141" s="1">
        <v>45833</v>
      </c>
      <c r="I141" s="1" t="s">
        <v>72</v>
      </c>
      <c r="J141" s="1" t="s">
        <v>2</v>
      </c>
      <c r="K141" s="1" t="s">
        <v>21</v>
      </c>
      <c r="L141" s="1" t="s">
        <v>23</v>
      </c>
      <c r="M141" s="1" t="s">
        <v>48</v>
      </c>
      <c r="N141" s="1" t="s">
        <v>38</v>
      </c>
      <c r="O141" s="1" t="s">
        <v>41</v>
      </c>
      <c r="P141" s="1">
        <v>8</v>
      </c>
      <c r="Q141" s="1">
        <v>580</v>
      </c>
      <c r="R141" s="1">
        <v>667</v>
      </c>
      <c r="S141" s="1">
        <v>0.04</v>
      </c>
    </row>
    <row r="142" spans="1:19" x14ac:dyDescent="0.3">
      <c r="A142" s="1" t="s">
        <v>588</v>
      </c>
      <c r="B142" s="1" t="s">
        <v>589</v>
      </c>
      <c r="C142" s="1" t="s">
        <v>590</v>
      </c>
      <c r="D142" s="1" t="s">
        <v>591</v>
      </c>
      <c r="E142" s="1" t="s">
        <v>77</v>
      </c>
      <c r="F142" s="1">
        <v>45973</v>
      </c>
      <c r="G142" s="1">
        <v>45973</v>
      </c>
      <c r="H142" s="1">
        <v>45977</v>
      </c>
      <c r="I142" s="1" t="s">
        <v>72</v>
      </c>
      <c r="J142" s="1" t="s">
        <v>17</v>
      </c>
      <c r="K142" s="1" t="s">
        <v>21</v>
      </c>
      <c r="L142" s="1" t="s">
        <v>24</v>
      </c>
      <c r="M142" s="1" t="s">
        <v>44</v>
      </c>
      <c r="N142" s="1" t="s">
        <v>38</v>
      </c>
      <c r="O142" s="1" t="s">
        <v>45</v>
      </c>
      <c r="P142" s="1">
        <v>13</v>
      </c>
      <c r="Q142" s="1">
        <v>210</v>
      </c>
      <c r="R142" s="1">
        <v>222.60000000000002</v>
      </c>
      <c r="S142" s="1">
        <v>0.1</v>
      </c>
    </row>
    <row r="143" spans="1:19" x14ac:dyDescent="0.3">
      <c r="A143" s="1" t="s">
        <v>592</v>
      </c>
      <c r="B143" s="1" t="s">
        <v>420</v>
      </c>
      <c r="C143" s="1" t="s">
        <v>593</v>
      </c>
      <c r="D143" s="1" t="s">
        <v>594</v>
      </c>
      <c r="E143" s="1" t="s">
        <v>100</v>
      </c>
      <c r="F143" s="1">
        <v>46058</v>
      </c>
      <c r="G143" s="1">
        <v>46058</v>
      </c>
      <c r="H143" s="1">
        <v>46060</v>
      </c>
      <c r="I143" s="1" t="s">
        <v>72</v>
      </c>
      <c r="J143" s="1" t="s">
        <v>18</v>
      </c>
      <c r="K143" s="1" t="s">
        <v>20</v>
      </c>
      <c r="L143" s="1" t="s">
        <v>24</v>
      </c>
      <c r="M143" s="1" t="s">
        <v>42</v>
      </c>
      <c r="N143" s="1" t="s">
        <v>27</v>
      </c>
      <c r="O143" s="1" t="s">
        <v>28</v>
      </c>
      <c r="P143" s="1">
        <v>6</v>
      </c>
      <c r="Q143" s="1">
        <v>3030</v>
      </c>
      <c r="R143" s="1">
        <v>3211.8</v>
      </c>
      <c r="S143" s="1">
        <v>0.01</v>
      </c>
    </row>
    <row r="144" spans="1:19" x14ac:dyDescent="0.3">
      <c r="A144" s="1" t="s">
        <v>595</v>
      </c>
      <c r="B144" s="1" t="s">
        <v>596</v>
      </c>
      <c r="C144" s="1" t="s">
        <v>597</v>
      </c>
      <c r="D144" s="1" t="s">
        <v>598</v>
      </c>
      <c r="E144" s="1" t="s">
        <v>119</v>
      </c>
      <c r="F144" s="1">
        <v>45556</v>
      </c>
      <c r="G144" s="1">
        <v>45557</v>
      </c>
      <c r="H144" s="1">
        <v>45561</v>
      </c>
      <c r="I144" s="1" t="s">
        <v>72</v>
      </c>
      <c r="J144" s="1" t="s">
        <v>1</v>
      </c>
      <c r="K144" s="1" t="s">
        <v>19</v>
      </c>
      <c r="L144" s="1" t="s">
        <v>25</v>
      </c>
      <c r="M144" s="1" t="s">
        <v>37</v>
      </c>
      <c r="N144" s="1" t="s">
        <v>38</v>
      </c>
      <c r="O144" s="1" t="s">
        <v>39</v>
      </c>
      <c r="P144" s="1">
        <v>7</v>
      </c>
      <c r="Q144" s="1">
        <v>250</v>
      </c>
      <c r="R144" s="1">
        <v>270</v>
      </c>
      <c r="S144" s="1">
        <v>0.06</v>
      </c>
    </row>
    <row r="145" spans="1:19" x14ac:dyDescent="0.3">
      <c r="A145" s="1" t="s">
        <v>599</v>
      </c>
      <c r="B145" s="1" t="s">
        <v>600</v>
      </c>
      <c r="C145" s="1" t="s">
        <v>601</v>
      </c>
      <c r="D145" s="1" t="s">
        <v>602</v>
      </c>
      <c r="E145" s="1" t="s">
        <v>114</v>
      </c>
      <c r="F145" s="1">
        <v>46174</v>
      </c>
      <c r="G145" s="1">
        <v>46175</v>
      </c>
      <c r="H145" s="1">
        <v>46177</v>
      </c>
      <c r="I145" s="1" t="s">
        <v>72</v>
      </c>
      <c r="J145" s="1" t="s">
        <v>18</v>
      </c>
      <c r="K145" s="1" t="s">
        <v>21</v>
      </c>
      <c r="L145" s="1" t="s">
        <v>24</v>
      </c>
      <c r="M145" s="1" t="s">
        <v>51</v>
      </c>
      <c r="N145" s="1" t="s">
        <v>33</v>
      </c>
      <c r="O145" s="1" t="s">
        <v>52</v>
      </c>
      <c r="P145" s="1">
        <v>6</v>
      </c>
      <c r="Q145" s="1">
        <v>280</v>
      </c>
      <c r="R145" s="1">
        <v>336</v>
      </c>
      <c r="S145" s="1">
        <v>0.04</v>
      </c>
    </row>
    <row r="146" spans="1:19" x14ac:dyDescent="0.3">
      <c r="A146" s="1" t="s">
        <v>603</v>
      </c>
      <c r="B146" s="1" t="s">
        <v>420</v>
      </c>
      <c r="C146" s="1" t="s">
        <v>604</v>
      </c>
      <c r="D146" s="1" t="s">
        <v>605</v>
      </c>
      <c r="E146" s="1" t="s">
        <v>192</v>
      </c>
      <c r="F146" s="1">
        <v>45834</v>
      </c>
      <c r="G146" s="1">
        <v>45835</v>
      </c>
      <c r="H146" s="1">
        <v>45838</v>
      </c>
      <c r="I146" s="1" t="s">
        <v>72</v>
      </c>
      <c r="J146" s="1" t="s">
        <v>17</v>
      </c>
      <c r="K146" s="1" t="s">
        <v>21</v>
      </c>
      <c r="L146" s="1" t="s">
        <v>61</v>
      </c>
      <c r="M146" s="1" t="s">
        <v>46</v>
      </c>
      <c r="N146" s="1" t="s">
        <v>38</v>
      </c>
      <c r="O146" s="1" t="s">
        <v>45</v>
      </c>
      <c r="P146" s="1">
        <v>7</v>
      </c>
      <c r="Q146" s="1">
        <v>350</v>
      </c>
      <c r="R146" s="1">
        <v>364</v>
      </c>
      <c r="S146" s="1">
        <v>0.06</v>
      </c>
    </row>
    <row r="147" spans="1:19" x14ac:dyDescent="0.3">
      <c r="A147" s="1" t="s">
        <v>606</v>
      </c>
      <c r="B147" s="1" t="s">
        <v>435</v>
      </c>
      <c r="C147" s="1" t="s">
        <v>607</v>
      </c>
      <c r="D147" s="1" t="s">
        <v>608</v>
      </c>
      <c r="E147" s="1" t="s">
        <v>141</v>
      </c>
      <c r="F147" s="1">
        <v>46086</v>
      </c>
      <c r="G147" s="1">
        <v>46086</v>
      </c>
      <c r="H147" s="1">
        <v>46089</v>
      </c>
      <c r="I147" s="1" t="s">
        <v>82</v>
      </c>
      <c r="J147" s="1" t="s">
        <v>2</v>
      </c>
      <c r="K147" s="1" t="s">
        <v>19</v>
      </c>
      <c r="L147" s="1" t="s">
        <v>61</v>
      </c>
      <c r="M147" s="1" t="s">
        <v>35</v>
      </c>
      <c r="N147" s="1" t="s">
        <v>33</v>
      </c>
      <c r="O147" s="1" t="s">
        <v>36</v>
      </c>
      <c r="P147" s="1">
        <v>1</v>
      </c>
      <c r="Q147" s="1">
        <v>1530</v>
      </c>
      <c r="R147" s="1">
        <v>1790.1</v>
      </c>
      <c r="S147" s="1">
        <v>0.04</v>
      </c>
    </row>
    <row r="148" spans="1:19" x14ac:dyDescent="0.3">
      <c r="A148" s="1" t="s">
        <v>609</v>
      </c>
      <c r="B148" s="1" t="s">
        <v>389</v>
      </c>
      <c r="C148" s="1" t="s">
        <v>610</v>
      </c>
      <c r="D148" s="1" t="s">
        <v>611</v>
      </c>
      <c r="E148" s="1" t="s">
        <v>100</v>
      </c>
      <c r="F148" s="1">
        <v>45346</v>
      </c>
      <c r="G148" s="1">
        <v>45347</v>
      </c>
      <c r="H148" s="1">
        <v>45351</v>
      </c>
      <c r="I148" s="1" t="s">
        <v>72</v>
      </c>
      <c r="J148" s="1" t="s">
        <v>16</v>
      </c>
      <c r="K148" s="1" t="s">
        <v>21</v>
      </c>
      <c r="L148" s="1" t="s">
        <v>24</v>
      </c>
      <c r="M148" s="1" t="s">
        <v>42</v>
      </c>
      <c r="N148" s="1" t="s">
        <v>27</v>
      </c>
      <c r="O148" s="1" t="s">
        <v>28</v>
      </c>
      <c r="P148" s="1">
        <v>6</v>
      </c>
      <c r="Q148" s="1">
        <v>3030</v>
      </c>
      <c r="R148" s="1">
        <v>3211.8</v>
      </c>
      <c r="S148" s="1">
        <v>0.09</v>
      </c>
    </row>
    <row r="149" spans="1:19" x14ac:dyDescent="0.3">
      <c r="A149" s="1" t="s">
        <v>612</v>
      </c>
      <c r="B149" s="1" t="s">
        <v>271</v>
      </c>
      <c r="C149" s="1" t="s">
        <v>613</v>
      </c>
      <c r="D149" s="1" t="s">
        <v>614</v>
      </c>
      <c r="E149" s="1" t="s">
        <v>95</v>
      </c>
      <c r="F149" s="1">
        <v>45666</v>
      </c>
      <c r="G149" s="1">
        <v>45667</v>
      </c>
      <c r="H149" s="1">
        <v>45669</v>
      </c>
      <c r="I149" s="1" t="s">
        <v>72</v>
      </c>
      <c r="J149" s="1" t="s">
        <v>16</v>
      </c>
      <c r="K149" s="1" t="s">
        <v>19</v>
      </c>
      <c r="L149" s="1" t="s">
        <v>22</v>
      </c>
      <c r="M149" s="1" t="s">
        <v>49</v>
      </c>
      <c r="N149" s="1" t="s">
        <v>33</v>
      </c>
      <c r="O149" s="1" t="s">
        <v>34</v>
      </c>
      <c r="P149" s="1">
        <v>7</v>
      </c>
      <c r="Q149" s="1">
        <v>1080</v>
      </c>
      <c r="R149" s="1">
        <v>1112.4000000000001</v>
      </c>
      <c r="S149" s="1">
        <v>0</v>
      </c>
    </row>
    <row r="150" spans="1:19" x14ac:dyDescent="0.3">
      <c r="A150" s="1" t="s">
        <v>615</v>
      </c>
      <c r="B150" s="1" t="s">
        <v>616</v>
      </c>
      <c r="C150" s="1" t="s">
        <v>617</v>
      </c>
      <c r="D150" s="1" t="s">
        <v>618</v>
      </c>
      <c r="E150" s="1" t="s">
        <v>141</v>
      </c>
      <c r="F150" s="1">
        <v>46145</v>
      </c>
      <c r="G150" s="1">
        <v>46146</v>
      </c>
      <c r="H150" s="1">
        <v>46148</v>
      </c>
      <c r="I150" s="1" t="s">
        <v>72</v>
      </c>
      <c r="J150" s="1" t="s">
        <v>2</v>
      </c>
      <c r="K150" s="1" t="s">
        <v>20</v>
      </c>
      <c r="L150" s="1" t="s">
        <v>23</v>
      </c>
      <c r="M150" s="1" t="s">
        <v>35</v>
      </c>
      <c r="N150" s="1" t="s">
        <v>33</v>
      </c>
      <c r="O150" s="1" t="s">
        <v>36</v>
      </c>
      <c r="P150" s="1">
        <v>7</v>
      </c>
      <c r="Q150" s="1">
        <v>1530</v>
      </c>
      <c r="R150" s="1">
        <v>1790.1</v>
      </c>
      <c r="S150" s="1">
        <v>0.06</v>
      </c>
    </row>
    <row r="151" spans="1:19" x14ac:dyDescent="0.3">
      <c r="A151" s="1" t="s">
        <v>619</v>
      </c>
      <c r="B151" s="1" t="s">
        <v>263</v>
      </c>
      <c r="C151" s="1" t="s">
        <v>620</v>
      </c>
      <c r="D151" s="1" t="s">
        <v>621</v>
      </c>
      <c r="E151" s="1" t="s">
        <v>217</v>
      </c>
      <c r="F151" s="1">
        <v>45952</v>
      </c>
      <c r="G151" s="1">
        <v>45953</v>
      </c>
      <c r="H151" s="1">
        <v>45957</v>
      </c>
      <c r="I151" s="1" t="s">
        <v>72</v>
      </c>
      <c r="J151" s="1" t="s">
        <v>2</v>
      </c>
      <c r="K151" s="1" t="s">
        <v>20</v>
      </c>
      <c r="L151" s="1" t="s">
        <v>61</v>
      </c>
      <c r="M151" s="1" t="s">
        <v>29</v>
      </c>
      <c r="N151" s="1" t="s">
        <v>27</v>
      </c>
      <c r="O151" s="1" t="s">
        <v>28</v>
      </c>
      <c r="P151" s="1">
        <v>8</v>
      </c>
      <c r="Q151" s="1">
        <v>3930</v>
      </c>
      <c r="R151" s="1">
        <v>4362.3</v>
      </c>
      <c r="S151" s="1">
        <v>7.0000000000000007E-2</v>
      </c>
    </row>
    <row r="152" spans="1:19" x14ac:dyDescent="0.3">
      <c r="A152" s="1" t="s">
        <v>622</v>
      </c>
      <c r="B152" s="1" t="s">
        <v>568</v>
      </c>
      <c r="C152" s="1" t="s">
        <v>623</v>
      </c>
      <c r="D152" s="1" t="s">
        <v>624</v>
      </c>
      <c r="E152" s="1" t="s">
        <v>109</v>
      </c>
      <c r="F152" s="1">
        <v>45926</v>
      </c>
      <c r="G152" s="1">
        <v>45927</v>
      </c>
      <c r="H152" s="1">
        <v>45928</v>
      </c>
      <c r="I152" s="1" t="s">
        <v>72</v>
      </c>
      <c r="J152" s="1" t="s">
        <v>16</v>
      </c>
      <c r="K152" s="1" t="s">
        <v>19</v>
      </c>
      <c r="L152" s="1" t="s">
        <v>25</v>
      </c>
      <c r="M152" s="1" t="s">
        <v>55</v>
      </c>
      <c r="N152" s="1" t="s">
        <v>27</v>
      </c>
      <c r="O152" s="1" t="s">
        <v>56</v>
      </c>
      <c r="P152" s="1">
        <v>10</v>
      </c>
      <c r="Q152" s="1">
        <v>650</v>
      </c>
      <c r="R152" s="1">
        <v>663</v>
      </c>
      <c r="S152" s="1">
        <v>0.09</v>
      </c>
    </row>
    <row r="153" spans="1:19" x14ac:dyDescent="0.3">
      <c r="A153" s="1" t="s">
        <v>625</v>
      </c>
      <c r="B153" s="1" t="s">
        <v>585</v>
      </c>
      <c r="C153" s="1" t="s">
        <v>626</v>
      </c>
      <c r="D153" s="1" t="s">
        <v>627</v>
      </c>
      <c r="E153" s="1" t="s">
        <v>87</v>
      </c>
      <c r="F153" s="1">
        <v>45433</v>
      </c>
      <c r="G153" s="1">
        <v>45433</v>
      </c>
      <c r="H153" s="1">
        <v>45435</v>
      </c>
      <c r="I153" s="1" t="s">
        <v>82</v>
      </c>
      <c r="J153" s="1" t="s">
        <v>17</v>
      </c>
      <c r="K153" s="1" t="s">
        <v>19</v>
      </c>
      <c r="L153" s="1" t="s">
        <v>25</v>
      </c>
      <c r="M153" s="1" t="s">
        <v>30</v>
      </c>
      <c r="N153" s="1" t="s">
        <v>27</v>
      </c>
      <c r="O153" s="1" t="s">
        <v>31</v>
      </c>
      <c r="P153" s="1">
        <v>4</v>
      </c>
      <c r="Q153" s="1">
        <v>1030</v>
      </c>
      <c r="R153" s="1">
        <v>1174.2</v>
      </c>
      <c r="S153" s="1">
        <v>0.09</v>
      </c>
    </row>
    <row r="154" spans="1:19" x14ac:dyDescent="0.3">
      <c r="A154" s="1" t="s">
        <v>628</v>
      </c>
      <c r="B154" s="1" t="s">
        <v>629</v>
      </c>
      <c r="C154" s="1" t="s">
        <v>630</v>
      </c>
      <c r="D154" s="1" t="s">
        <v>631</v>
      </c>
      <c r="E154" s="1" t="s">
        <v>109</v>
      </c>
      <c r="F154" s="1">
        <v>45862</v>
      </c>
      <c r="G154" s="1">
        <v>45862</v>
      </c>
      <c r="H154" s="1">
        <v>45867</v>
      </c>
      <c r="I154" s="1" t="s">
        <v>82</v>
      </c>
      <c r="J154" s="1" t="s">
        <v>1</v>
      </c>
      <c r="K154" s="1" t="s">
        <v>19</v>
      </c>
      <c r="L154" s="1" t="s">
        <v>24</v>
      </c>
      <c r="M154" s="1" t="s">
        <v>55</v>
      </c>
      <c r="N154" s="1" t="s">
        <v>27</v>
      </c>
      <c r="O154" s="1" t="s">
        <v>56</v>
      </c>
      <c r="P154" s="1">
        <v>4</v>
      </c>
      <c r="Q154" s="1">
        <v>650</v>
      </c>
      <c r="R154" s="1">
        <v>663</v>
      </c>
      <c r="S154" s="1">
        <v>0.02</v>
      </c>
    </row>
    <row r="155" spans="1:19" x14ac:dyDescent="0.3">
      <c r="A155" s="1" t="s">
        <v>632</v>
      </c>
      <c r="B155" s="1" t="s">
        <v>633</v>
      </c>
      <c r="C155" s="1" t="s">
        <v>634</v>
      </c>
      <c r="D155" s="1" t="s">
        <v>430</v>
      </c>
      <c r="E155" s="1" t="s">
        <v>132</v>
      </c>
      <c r="F155" s="1">
        <v>45559</v>
      </c>
      <c r="G155" s="1">
        <v>45559</v>
      </c>
      <c r="H155" s="1">
        <v>45561</v>
      </c>
      <c r="I155" s="1" t="s">
        <v>72</v>
      </c>
      <c r="J155" s="1" t="s">
        <v>18</v>
      </c>
      <c r="K155" s="1" t="s">
        <v>21</v>
      </c>
      <c r="L155" s="1" t="s">
        <v>22</v>
      </c>
      <c r="M155" s="1" t="s">
        <v>53</v>
      </c>
      <c r="N155" s="1" t="s">
        <v>27</v>
      </c>
      <c r="O155" s="1" t="s">
        <v>54</v>
      </c>
      <c r="P155" s="1">
        <v>7</v>
      </c>
      <c r="Q155" s="1">
        <v>430</v>
      </c>
      <c r="R155" s="1">
        <v>455.8</v>
      </c>
      <c r="S155" s="1">
        <v>0.1</v>
      </c>
    </row>
    <row r="156" spans="1:19" x14ac:dyDescent="0.3">
      <c r="A156" s="1" t="s">
        <v>635</v>
      </c>
      <c r="B156" s="1" t="s">
        <v>636</v>
      </c>
      <c r="C156" s="1" t="s">
        <v>637</v>
      </c>
      <c r="D156" s="1" t="s">
        <v>638</v>
      </c>
      <c r="E156" s="1" t="s">
        <v>100</v>
      </c>
      <c r="F156" s="1">
        <v>45706</v>
      </c>
      <c r="G156" s="1">
        <v>45706</v>
      </c>
      <c r="H156" s="1">
        <v>45709</v>
      </c>
      <c r="I156" s="1" t="s">
        <v>82</v>
      </c>
      <c r="J156" s="1" t="s">
        <v>18</v>
      </c>
      <c r="K156" s="1" t="s">
        <v>20</v>
      </c>
      <c r="L156" s="1" t="s">
        <v>25</v>
      </c>
      <c r="M156" s="1" t="s">
        <v>42</v>
      </c>
      <c r="N156" s="1" t="s">
        <v>27</v>
      </c>
      <c r="O156" s="1" t="s">
        <v>28</v>
      </c>
      <c r="P156" s="1">
        <v>2</v>
      </c>
      <c r="Q156" s="1">
        <v>3030</v>
      </c>
      <c r="R156" s="1">
        <v>3211.8</v>
      </c>
      <c r="S156" s="1">
        <v>0.1</v>
      </c>
    </row>
    <row r="157" spans="1:19" x14ac:dyDescent="0.3">
      <c r="A157" s="1" t="s">
        <v>639</v>
      </c>
      <c r="B157" s="1" t="s">
        <v>466</v>
      </c>
      <c r="C157" s="1" t="s">
        <v>640</v>
      </c>
      <c r="D157" s="1" t="s">
        <v>641</v>
      </c>
      <c r="E157" s="1" t="s">
        <v>178</v>
      </c>
      <c r="F157" s="1">
        <v>46078</v>
      </c>
      <c r="G157" s="1">
        <v>46078</v>
      </c>
      <c r="H157" s="1">
        <v>46080</v>
      </c>
      <c r="I157" s="1" t="s">
        <v>72</v>
      </c>
      <c r="J157" s="1" t="s">
        <v>17</v>
      </c>
      <c r="K157" s="1" t="s">
        <v>21</v>
      </c>
      <c r="L157" s="1" t="s">
        <v>24</v>
      </c>
      <c r="M157" s="1" t="s">
        <v>47</v>
      </c>
      <c r="N157" s="1" t="s">
        <v>38</v>
      </c>
      <c r="O157" s="1" t="s">
        <v>39</v>
      </c>
      <c r="P157" s="1">
        <v>10</v>
      </c>
      <c r="Q157" s="1">
        <v>390</v>
      </c>
      <c r="R157" s="1">
        <v>468</v>
      </c>
      <c r="S157" s="1">
        <v>0.09</v>
      </c>
    </row>
    <row r="158" spans="1:19" x14ac:dyDescent="0.3">
      <c r="A158" s="1" t="s">
        <v>642</v>
      </c>
      <c r="B158" s="1" t="s">
        <v>393</v>
      </c>
      <c r="C158" s="1" t="s">
        <v>643</v>
      </c>
      <c r="D158" s="1" t="s">
        <v>644</v>
      </c>
      <c r="E158" s="1" t="s">
        <v>291</v>
      </c>
      <c r="F158" s="1">
        <v>45444</v>
      </c>
      <c r="G158" s="1">
        <v>45445</v>
      </c>
      <c r="H158" s="1">
        <v>45447</v>
      </c>
      <c r="I158" s="1" t="s">
        <v>72</v>
      </c>
      <c r="J158" s="1" t="s">
        <v>18</v>
      </c>
      <c r="K158" s="1" t="s">
        <v>19</v>
      </c>
      <c r="L158" s="1" t="s">
        <v>25</v>
      </c>
      <c r="M158" s="1" t="s">
        <v>57</v>
      </c>
      <c r="N158" s="1" t="s">
        <v>27</v>
      </c>
      <c r="O158" s="1" t="s">
        <v>58</v>
      </c>
      <c r="P158" s="1">
        <v>10</v>
      </c>
      <c r="Q158" s="1">
        <v>480</v>
      </c>
      <c r="R158" s="1">
        <v>513.6</v>
      </c>
      <c r="S158" s="1">
        <v>0.01</v>
      </c>
    </row>
    <row r="159" spans="1:19" x14ac:dyDescent="0.3">
      <c r="A159" s="1" t="s">
        <v>645</v>
      </c>
      <c r="B159" s="1" t="s">
        <v>319</v>
      </c>
      <c r="C159" s="1" t="s">
        <v>646</v>
      </c>
      <c r="D159" s="1" t="s">
        <v>647</v>
      </c>
      <c r="E159" s="1" t="s">
        <v>187</v>
      </c>
      <c r="F159" s="1">
        <v>45716</v>
      </c>
      <c r="G159" s="1">
        <v>45716</v>
      </c>
      <c r="H159" s="1">
        <v>45718</v>
      </c>
      <c r="I159" s="1" t="s">
        <v>82</v>
      </c>
      <c r="J159" s="1" t="s">
        <v>18</v>
      </c>
      <c r="K159" s="1" t="s">
        <v>20</v>
      </c>
      <c r="L159" s="1" t="s">
        <v>25</v>
      </c>
      <c r="M159" s="1" t="s">
        <v>40</v>
      </c>
      <c r="N159" s="1" t="s">
        <v>38</v>
      </c>
      <c r="O159" s="1" t="s">
        <v>41</v>
      </c>
      <c r="P159" s="1">
        <v>2</v>
      </c>
      <c r="Q159" s="1">
        <v>170</v>
      </c>
      <c r="R159" s="1">
        <v>188.70000000000002</v>
      </c>
      <c r="S159" s="1">
        <v>0.08</v>
      </c>
    </row>
    <row r="160" spans="1:19" x14ac:dyDescent="0.3">
      <c r="A160" s="1" t="s">
        <v>648</v>
      </c>
      <c r="B160" s="1" t="s">
        <v>252</v>
      </c>
      <c r="C160" s="1" t="s">
        <v>649</v>
      </c>
      <c r="D160" s="1" t="s">
        <v>650</v>
      </c>
      <c r="E160" s="1" t="s">
        <v>208</v>
      </c>
      <c r="F160" s="1">
        <v>45321</v>
      </c>
      <c r="G160" s="1">
        <v>45322</v>
      </c>
      <c r="H160" s="1">
        <v>45326</v>
      </c>
      <c r="I160" s="1" t="s">
        <v>72</v>
      </c>
      <c r="J160" s="1" t="s">
        <v>1</v>
      </c>
      <c r="K160" s="1" t="s">
        <v>19</v>
      </c>
      <c r="L160" s="1" t="s">
        <v>25</v>
      </c>
      <c r="M160" s="1" t="s">
        <v>50</v>
      </c>
      <c r="N160" s="1" t="s">
        <v>33</v>
      </c>
      <c r="O160" s="1" t="s">
        <v>36</v>
      </c>
      <c r="P160" s="1">
        <v>6</v>
      </c>
      <c r="Q160" s="1">
        <v>930</v>
      </c>
      <c r="R160" s="1">
        <v>1078.8</v>
      </c>
      <c r="S160" s="1">
        <v>0</v>
      </c>
    </row>
    <row r="161" spans="1:19" x14ac:dyDescent="0.3">
      <c r="A161" s="1" t="s">
        <v>651</v>
      </c>
      <c r="B161" s="1" t="s">
        <v>652</v>
      </c>
      <c r="C161" s="1" t="s">
        <v>653</v>
      </c>
      <c r="D161" s="1" t="s">
        <v>654</v>
      </c>
      <c r="E161" s="1" t="s">
        <v>208</v>
      </c>
      <c r="F161" s="1">
        <v>45931</v>
      </c>
      <c r="G161" s="1">
        <v>45932</v>
      </c>
      <c r="H161" s="1">
        <v>45933</v>
      </c>
      <c r="I161" s="1" t="s">
        <v>72</v>
      </c>
      <c r="J161" s="1" t="s">
        <v>1</v>
      </c>
      <c r="K161" s="1" t="s">
        <v>21</v>
      </c>
      <c r="L161" s="1" t="s">
        <v>25</v>
      </c>
      <c r="M161" s="1" t="s">
        <v>50</v>
      </c>
      <c r="N161" s="1" t="s">
        <v>33</v>
      </c>
      <c r="O161" s="1" t="s">
        <v>36</v>
      </c>
      <c r="P161" s="1">
        <v>6</v>
      </c>
      <c r="Q161" s="1">
        <v>930</v>
      </c>
      <c r="R161" s="1">
        <v>1078.8</v>
      </c>
      <c r="S161" s="1">
        <v>0.01</v>
      </c>
    </row>
    <row r="162" spans="1:19" x14ac:dyDescent="0.3">
      <c r="A162" s="1" t="s">
        <v>655</v>
      </c>
      <c r="B162" s="1" t="s">
        <v>656</v>
      </c>
      <c r="C162" s="1" t="s">
        <v>657</v>
      </c>
      <c r="D162" s="1" t="s">
        <v>658</v>
      </c>
      <c r="E162" s="1" t="s">
        <v>77</v>
      </c>
      <c r="F162" s="1">
        <v>45894</v>
      </c>
      <c r="G162" s="1">
        <v>45895</v>
      </c>
      <c r="H162" s="1">
        <v>45898</v>
      </c>
      <c r="I162" s="1" t="s">
        <v>82</v>
      </c>
      <c r="J162" s="1" t="s">
        <v>1</v>
      </c>
      <c r="K162" s="1" t="s">
        <v>20</v>
      </c>
      <c r="L162" s="1" t="s">
        <v>25</v>
      </c>
      <c r="M162" s="1" t="s">
        <v>44</v>
      </c>
      <c r="N162" s="1" t="s">
        <v>38</v>
      </c>
      <c r="O162" s="1" t="s">
        <v>45</v>
      </c>
      <c r="P162" s="1">
        <v>2</v>
      </c>
      <c r="Q162" s="1">
        <v>210</v>
      </c>
      <c r="R162" s="1">
        <v>222.60000000000002</v>
      </c>
      <c r="S162" s="1">
        <v>0.03</v>
      </c>
    </row>
    <row r="163" spans="1:19" x14ac:dyDescent="0.3">
      <c r="A163" s="1" t="s">
        <v>659</v>
      </c>
      <c r="B163" s="1" t="s">
        <v>660</v>
      </c>
      <c r="C163" s="1" t="s">
        <v>661</v>
      </c>
      <c r="D163" s="1" t="s">
        <v>662</v>
      </c>
      <c r="E163" s="1" t="s">
        <v>87</v>
      </c>
      <c r="F163" s="1">
        <v>46004</v>
      </c>
      <c r="G163" s="1">
        <v>46005</v>
      </c>
      <c r="H163" s="1">
        <v>46006</v>
      </c>
      <c r="I163" s="1" t="s">
        <v>72</v>
      </c>
      <c r="J163" s="1" t="s">
        <v>17</v>
      </c>
      <c r="K163" s="1" t="s">
        <v>21</v>
      </c>
      <c r="L163" s="1" t="s">
        <v>23</v>
      </c>
      <c r="M163" s="1" t="s">
        <v>30</v>
      </c>
      <c r="N163" s="1" t="s">
        <v>27</v>
      </c>
      <c r="O163" s="1" t="s">
        <v>31</v>
      </c>
      <c r="P163" s="1">
        <v>11</v>
      </c>
      <c r="Q163" s="1">
        <v>1030</v>
      </c>
      <c r="R163" s="1">
        <v>1174.2</v>
      </c>
      <c r="S163" s="1">
        <v>0.01</v>
      </c>
    </row>
    <row r="164" spans="1:19" x14ac:dyDescent="0.3">
      <c r="A164" s="1" t="s">
        <v>663</v>
      </c>
      <c r="B164" s="1" t="s">
        <v>89</v>
      </c>
      <c r="C164" s="1" t="s">
        <v>664</v>
      </c>
      <c r="D164" s="1" t="s">
        <v>665</v>
      </c>
      <c r="E164" s="1" t="s">
        <v>291</v>
      </c>
      <c r="F164" s="1">
        <v>45355</v>
      </c>
      <c r="G164" s="1">
        <v>45355</v>
      </c>
      <c r="H164" s="1">
        <v>45358</v>
      </c>
      <c r="I164" s="1" t="s">
        <v>72</v>
      </c>
      <c r="J164" s="1" t="s">
        <v>1</v>
      </c>
      <c r="K164" s="1" t="s">
        <v>19</v>
      </c>
      <c r="L164" s="1" t="s">
        <v>22</v>
      </c>
      <c r="M164" s="1" t="s">
        <v>57</v>
      </c>
      <c r="N164" s="1" t="s">
        <v>27</v>
      </c>
      <c r="O164" s="1" t="s">
        <v>58</v>
      </c>
      <c r="P164" s="1">
        <v>7</v>
      </c>
      <c r="Q164" s="1">
        <v>480</v>
      </c>
      <c r="R164" s="1">
        <v>513.6</v>
      </c>
      <c r="S164" s="1">
        <v>0.04</v>
      </c>
    </row>
    <row r="165" spans="1:19" x14ac:dyDescent="0.3">
      <c r="A165" s="1" t="s">
        <v>666</v>
      </c>
      <c r="B165" s="1" t="s">
        <v>210</v>
      </c>
      <c r="C165" s="1" t="s">
        <v>667</v>
      </c>
      <c r="D165" s="1" t="s">
        <v>668</v>
      </c>
      <c r="E165" s="1" t="s">
        <v>291</v>
      </c>
      <c r="F165" s="1">
        <v>45322</v>
      </c>
      <c r="G165" s="1">
        <v>45322</v>
      </c>
      <c r="H165" s="1">
        <v>45325</v>
      </c>
      <c r="I165" s="1" t="s">
        <v>72</v>
      </c>
      <c r="J165" s="1" t="s">
        <v>16</v>
      </c>
      <c r="K165" s="1" t="s">
        <v>21</v>
      </c>
      <c r="L165" s="1" t="s">
        <v>23</v>
      </c>
      <c r="M165" s="1" t="s">
        <v>57</v>
      </c>
      <c r="N165" s="1" t="s">
        <v>27</v>
      </c>
      <c r="O165" s="1" t="s">
        <v>58</v>
      </c>
      <c r="P165" s="1">
        <v>15</v>
      </c>
      <c r="Q165" s="1">
        <v>480</v>
      </c>
      <c r="R165" s="1">
        <v>513.6</v>
      </c>
      <c r="S165" s="1">
        <v>0.09</v>
      </c>
    </row>
    <row r="166" spans="1:19" x14ac:dyDescent="0.3">
      <c r="A166" s="1" t="s">
        <v>669</v>
      </c>
      <c r="B166" s="1" t="s">
        <v>542</v>
      </c>
      <c r="C166" s="1" t="s">
        <v>670</v>
      </c>
      <c r="D166" s="1" t="s">
        <v>671</v>
      </c>
      <c r="E166" s="1" t="s">
        <v>119</v>
      </c>
      <c r="F166" s="1">
        <v>45307</v>
      </c>
      <c r="G166" s="1">
        <v>45308</v>
      </c>
      <c r="H166" s="1">
        <v>45309</v>
      </c>
      <c r="I166" s="1" t="s">
        <v>72</v>
      </c>
      <c r="J166" s="1" t="s">
        <v>16</v>
      </c>
      <c r="K166" s="1" t="s">
        <v>21</v>
      </c>
      <c r="L166" s="1" t="s">
        <v>22</v>
      </c>
      <c r="M166" s="1" t="s">
        <v>37</v>
      </c>
      <c r="N166" s="1" t="s">
        <v>38</v>
      </c>
      <c r="O166" s="1" t="s">
        <v>39</v>
      </c>
      <c r="P166" s="1">
        <v>14</v>
      </c>
      <c r="Q166" s="1">
        <v>250</v>
      </c>
      <c r="R166" s="1">
        <v>270</v>
      </c>
      <c r="S166" s="1">
        <v>0.04</v>
      </c>
    </row>
    <row r="167" spans="1:19" x14ac:dyDescent="0.3">
      <c r="A167" s="1" t="s">
        <v>672</v>
      </c>
      <c r="B167" s="1" t="s">
        <v>89</v>
      </c>
      <c r="C167" s="1" t="s">
        <v>673</v>
      </c>
      <c r="D167" s="1" t="s">
        <v>674</v>
      </c>
      <c r="E167" s="1" t="s">
        <v>87</v>
      </c>
      <c r="F167" s="1">
        <v>45940</v>
      </c>
      <c r="G167" s="1">
        <v>45941</v>
      </c>
      <c r="H167" s="1">
        <v>45945</v>
      </c>
      <c r="I167" s="1" t="s">
        <v>72</v>
      </c>
      <c r="J167" s="1" t="s">
        <v>18</v>
      </c>
      <c r="K167" s="1" t="s">
        <v>20</v>
      </c>
      <c r="L167" s="1" t="s">
        <v>61</v>
      </c>
      <c r="M167" s="1" t="s">
        <v>30</v>
      </c>
      <c r="N167" s="1" t="s">
        <v>27</v>
      </c>
      <c r="O167" s="1" t="s">
        <v>31</v>
      </c>
      <c r="P167" s="1">
        <v>8</v>
      </c>
      <c r="Q167" s="1">
        <v>1030</v>
      </c>
      <c r="R167" s="1">
        <v>1174.2</v>
      </c>
      <c r="S167" s="1">
        <v>0.04</v>
      </c>
    </row>
    <row r="168" spans="1:19" x14ac:dyDescent="0.3">
      <c r="A168" s="1" t="s">
        <v>675</v>
      </c>
      <c r="B168" s="1" t="s">
        <v>214</v>
      </c>
      <c r="C168" s="1" t="s">
        <v>676</v>
      </c>
      <c r="D168" s="1" t="s">
        <v>677</v>
      </c>
      <c r="E168" s="1" t="s">
        <v>187</v>
      </c>
      <c r="F168" s="1">
        <v>46021</v>
      </c>
      <c r="G168" s="1">
        <v>46022</v>
      </c>
      <c r="H168" s="1">
        <v>46024</v>
      </c>
      <c r="I168" s="1" t="s">
        <v>72</v>
      </c>
      <c r="J168" s="1" t="s">
        <v>18</v>
      </c>
      <c r="K168" s="1" t="s">
        <v>19</v>
      </c>
      <c r="L168" s="1" t="s">
        <v>24</v>
      </c>
      <c r="M168" s="1" t="s">
        <v>40</v>
      </c>
      <c r="N168" s="1" t="s">
        <v>38</v>
      </c>
      <c r="O168" s="1" t="s">
        <v>41</v>
      </c>
      <c r="P168" s="1">
        <v>8</v>
      </c>
      <c r="Q168" s="1">
        <v>170</v>
      </c>
      <c r="R168" s="1">
        <v>188.70000000000002</v>
      </c>
      <c r="S168" s="1">
        <v>0.02</v>
      </c>
    </row>
    <row r="169" spans="1:19" x14ac:dyDescent="0.3">
      <c r="A169" s="1" t="s">
        <v>678</v>
      </c>
      <c r="B169" s="1" t="s">
        <v>679</v>
      </c>
      <c r="C169" s="1" t="s">
        <v>680</v>
      </c>
      <c r="D169" s="1" t="s">
        <v>681</v>
      </c>
      <c r="E169" s="1" t="s">
        <v>217</v>
      </c>
      <c r="F169" s="1">
        <v>45453</v>
      </c>
      <c r="G169" s="1">
        <v>45454</v>
      </c>
      <c r="H169" s="1">
        <v>45456</v>
      </c>
      <c r="I169" s="1" t="s">
        <v>72</v>
      </c>
      <c r="J169" s="1" t="s">
        <v>16</v>
      </c>
      <c r="K169" s="1" t="s">
        <v>21</v>
      </c>
      <c r="L169" s="1" t="s">
        <v>24</v>
      </c>
      <c r="M169" s="1" t="s">
        <v>29</v>
      </c>
      <c r="N169" s="1" t="s">
        <v>27</v>
      </c>
      <c r="O169" s="1" t="s">
        <v>28</v>
      </c>
      <c r="P169" s="1">
        <v>15</v>
      </c>
      <c r="Q169" s="1">
        <v>3930</v>
      </c>
      <c r="R169" s="1">
        <v>4362.3</v>
      </c>
      <c r="S169" s="1">
        <v>0.08</v>
      </c>
    </row>
    <row r="170" spans="1:19" x14ac:dyDescent="0.3">
      <c r="A170" s="1" t="s">
        <v>682</v>
      </c>
      <c r="B170" s="1" t="s">
        <v>454</v>
      </c>
      <c r="C170" s="1" t="s">
        <v>683</v>
      </c>
      <c r="D170" s="1" t="s">
        <v>684</v>
      </c>
      <c r="E170" s="1" t="s">
        <v>208</v>
      </c>
      <c r="F170" s="1">
        <v>46015</v>
      </c>
      <c r="G170" s="1">
        <v>46015</v>
      </c>
      <c r="H170" s="1">
        <v>46018</v>
      </c>
      <c r="I170" s="1" t="s">
        <v>72</v>
      </c>
      <c r="J170" s="1" t="s">
        <v>18</v>
      </c>
      <c r="K170" s="1" t="s">
        <v>21</v>
      </c>
      <c r="L170" s="1" t="s">
        <v>23</v>
      </c>
      <c r="M170" s="1" t="s">
        <v>50</v>
      </c>
      <c r="N170" s="1" t="s">
        <v>33</v>
      </c>
      <c r="O170" s="1" t="s">
        <v>36</v>
      </c>
      <c r="P170" s="1">
        <v>7</v>
      </c>
      <c r="Q170" s="1">
        <v>930</v>
      </c>
      <c r="R170" s="1">
        <v>1078.8</v>
      </c>
      <c r="S170" s="1">
        <v>0</v>
      </c>
    </row>
    <row r="171" spans="1:19" x14ac:dyDescent="0.3">
      <c r="A171" s="1" t="s">
        <v>685</v>
      </c>
      <c r="B171" s="1" t="s">
        <v>248</v>
      </c>
      <c r="C171" s="1" t="s">
        <v>686</v>
      </c>
      <c r="D171" s="1" t="s">
        <v>687</v>
      </c>
      <c r="E171" s="1" t="s">
        <v>95</v>
      </c>
      <c r="F171" s="1">
        <v>45384</v>
      </c>
      <c r="G171" s="1">
        <v>45384</v>
      </c>
      <c r="H171" s="1">
        <v>45388</v>
      </c>
      <c r="I171" s="1" t="s">
        <v>72</v>
      </c>
      <c r="J171" s="1" t="s">
        <v>2</v>
      </c>
      <c r="K171" s="1" t="s">
        <v>19</v>
      </c>
      <c r="L171" s="1" t="s">
        <v>61</v>
      </c>
      <c r="M171" s="1" t="s">
        <v>49</v>
      </c>
      <c r="N171" s="1" t="s">
        <v>33</v>
      </c>
      <c r="O171" s="1" t="s">
        <v>34</v>
      </c>
      <c r="P171" s="1">
        <v>6</v>
      </c>
      <c r="Q171" s="1">
        <v>1080</v>
      </c>
      <c r="R171" s="1">
        <v>1112.4000000000001</v>
      </c>
      <c r="S171" s="1">
        <v>0.09</v>
      </c>
    </row>
    <row r="172" spans="1:19" x14ac:dyDescent="0.3">
      <c r="A172" s="1" t="s">
        <v>688</v>
      </c>
      <c r="B172" s="1" t="s">
        <v>689</v>
      </c>
      <c r="C172" s="1" t="s">
        <v>690</v>
      </c>
      <c r="D172" s="1" t="s">
        <v>691</v>
      </c>
      <c r="E172" s="1" t="s">
        <v>217</v>
      </c>
      <c r="F172" s="1">
        <v>45993</v>
      </c>
      <c r="G172" s="1">
        <v>45993</v>
      </c>
      <c r="H172" s="1">
        <v>45998</v>
      </c>
      <c r="I172" s="1" t="s">
        <v>82</v>
      </c>
      <c r="J172" s="1" t="s">
        <v>1</v>
      </c>
      <c r="K172" s="1" t="s">
        <v>20</v>
      </c>
      <c r="L172" s="1" t="s">
        <v>61</v>
      </c>
      <c r="M172" s="1" t="s">
        <v>29</v>
      </c>
      <c r="N172" s="1" t="s">
        <v>27</v>
      </c>
      <c r="O172" s="1" t="s">
        <v>28</v>
      </c>
      <c r="P172" s="1">
        <v>2</v>
      </c>
      <c r="Q172" s="1">
        <v>3930</v>
      </c>
      <c r="R172" s="1">
        <v>4362.3</v>
      </c>
      <c r="S172" s="1">
        <v>7.0000000000000007E-2</v>
      </c>
    </row>
    <row r="173" spans="1:19" x14ac:dyDescent="0.3">
      <c r="A173" s="1" t="s">
        <v>692</v>
      </c>
      <c r="B173" s="1" t="s">
        <v>138</v>
      </c>
      <c r="C173" s="1" t="s">
        <v>693</v>
      </c>
      <c r="D173" s="1" t="s">
        <v>694</v>
      </c>
      <c r="E173" s="1" t="s">
        <v>71</v>
      </c>
      <c r="F173" s="1">
        <v>45424</v>
      </c>
      <c r="G173" s="1">
        <v>45424</v>
      </c>
      <c r="H173" s="1">
        <v>45426</v>
      </c>
      <c r="I173" s="1" t="s">
        <v>82</v>
      </c>
      <c r="J173" s="1" t="s">
        <v>1</v>
      </c>
      <c r="K173" s="1" t="s">
        <v>20</v>
      </c>
      <c r="L173" s="1" t="s">
        <v>61</v>
      </c>
      <c r="M173" s="1" t="s">
        <v>32</v>
      </c>
      <c r="N173" s="1" t="s">
        <v>33</v>
      </c>
      <c r="O173" s="1" t="s">
        <v>34</v>
      </c>
      <c r="P173" s="1">
        <v>4</v>
      </c>
      <c r="Q173" s="1">
        <v>730</v>
      </c>
      <c r="R173" s="1">
        <v>824.9</v>
      </c>
      <c r="S173" s="1">
        <v>0.1</v>
      </c>
    </row>
    <row r="174" spans="1:19" x14ac:dyDescent="0.3">
      <c r="A174" s="1" t="s">
        <v>695</v>
      </c>
      <c r="B174" s="1" t="s">
        <v>166</v>
      </c>
      <c r="C174" s="1" t="s">
        <v>696</v>
      </c>
      <c r="D174" s="1" t="s">
        <v>697</v>
      </c>
      <c r="E174" s="1" t="s">
        <v>114</v>
      </c>
      <c r="F174" s="1">
        <v>45708</v>
      </c>
      <c r="G174" s="1">
        <v>45708</v>
      </c>
      <c r="H174" s="1">
        <v>45713</v>
      </c>
      <c r="I174" s="1" t="s">
        <v>72</v>
      </c>
      <c r="J174" s="1" t="s">
        <v>1</v>
      </c>
      <c r="K174" s="1" t="s">
        <v>20</v>
      </c>
      <c r="L174" s="1" t="s">
        <v>24</v>
      </c>
      <c r="M174" s="1" t="s">
        <v>51</v>
      </c>
      <c r="N174" s="1" t="s">
        <v>33</v>
      </c>
      <c r="O174" s="1" t="s">
        <v>52</v>
      </c>
      <c r="P174" s="1">
        <v>7</v>
      </c>
      <c r="Q174" s="1">
        <v>280</v>
      </c>
      <c r="R174" s="1">
        <v>336</v>
      </c>
      <c r="S174" s="1">
        <v>0.01</v>
      </c>
    </row>
    <row r="175" spans="1:19" x14ac:dyDescent="0.3">
      <c r="A175" s="1" t="s">
        <v>698</v>
      </c>
      <c r="B175" s="1" t="s">
        <v>210</v>
      </c>
      <c r="C175" s="1" t="s">
        <v>699</v>
      </c>
      <c r="D175" s="1" t="s">
        <v>700</v>
      </c>
      <c r="E175" s="1" t="s">
        <v>100</v>
      </c>
      <c r="F175" s="1">
        <v>45480</v>
      </c>
      <c r="G175" s="1">
        <v>45481</v>
      </c>
      <c r="H175" s="1">
        <v>45483</v>
      </c>
      <c r="I175" s="1" t="s">
        <v>72</v>
      </c>
      <c r="J175" s="1" t="s">
        <v>2</v>
      </c>
      <c r="K175" s="1" t="s">
        <v>19</v>
      </c>
      <c r="L175" s="1" t="s">
        <v>24</v>
      </c>
      <c r="M175" s="1" t="s">
        <v>42</v>
      </c>
      <c r="N175" s="1" t="s">
        <v>27</v>
      </c>
      <c r="O175" s="1" t="s">
        <v>28</v>
      </c>
      <c r="P175" s="1">
        <v>7</v>
      </c>
      <c r="Q175" s="1">
        <v>3030</v>
      </c>
      <c r="R175" s="1">
        <v>3211.8</v>
      </c>
      <c r="S175" s="1">
        <v>0.02</v>
      </c>
    </row>
    <row r="176" spans="1:19" x14ac:dyDescent="0.3">
      <c r="A176" s="1" t="s">
        <v>701</v>
      </c>
      <c r="B176" s="1" t="s">
        <v>702</v>
      </c>
      <c r="C176" s="1" t="s">
        <v>703</v>
      </c>
      <c r="D176" s="1" t="s">
        <v>704</v>
      </c>
      <c r="E176" s="1" t="s">
        <v>322</v>
      </c>
      <c r="F176" s="1">
        <v>45815</v>
      </c>
      <c r="G176" s="1">
        <v>45816</v>
      </c>
      <c r="H176" s="1">
        <v>45818</v>
      </c>
      <c r="I176" s="1" t="s">
        <v>72</v>
      </c>
      <c r="J176" s="1" t="s">
        <v>18</v>
      </c>
      <c r="K176" s="1" t="s">
        <v>21</v>
      </c>
      <c r="L176" s="1" t="s">
        <v>23</v>
      </c>
      <c r="M176" s="1" t="s">
        <v>26</v>
      </c>
      <c r="N176" s="1" t="s">
        <v>27</v>
      </c>
      <c r="O176" s="1" t="s">
        <v>28</v>
      </c>
      <c r="P176" s="1">
        <v>11</v>
      </c>
      <c r="Q176" s="1">
        <v>3330</v>
      </c>
      <c r="R176" s="1">
        <v>3629.7000000000003</v>
      </c>
      <c r="S176" s="1">
        <v>0.01</v>
      </c>
    </row>
    <row r="177" spans="1:19" x14ac:dyDescent="0.3">
      <c r="A177" s="1" t="s">
        <v>705</v>
      </c>
      <c r="B177" s="1" t="s">
        <v>377</v>
      </c>
      <c r="C177" s="1" t="s">
        <v>706</v>
      </c>
      <c r="D177" s="1" t="s">
        <v>707</v>
      </c>
      <c r="E177" s="1" t="s">
        <v>141</v>
      </c>
      <c r="F177" s="1">
        <v>45637</v>
      </c>
      <c r="G177" s="1">
        <v>45638</v>
      </c>
      <c r="H177" s="1">
        <v>45641</v>
      </c>
      <c r="I177" s="1" t="s">
        <v>82</v>
      </c>
      <c r="J177" s="1" t="s">
        <v>17</v>
      </c>
      <c r="K177" s="1" t="s">
        <v>20</v>
      </c>
      <c r="L177" s="1" t="s">
        <v>24</v>
      </c>
      <c r="M177" s="1" t="s">
        <v>35</v>
      </c>
      <c r="N177" s="1" t="s">
        <v>33</v>
      </c>
      <c r="O177" s="1" t="s">
        <v>36</v>
      </c>
      <c r="P177" s="1">
        <v>2</v>
      </c>
      <c r="Q177" s="1">
        <v>1530</v>
      </c>
      <c r="R177" s="1">
        <v>1790.1</v>
      </c>
      <c r="S177" s="1">
        <v>0.06</v>
      </c>
    </row>
    <row r="178" spans="1:19" x14ac:dyDescent="0.3">
      <c r="A178" s="1" t="s">
        <v>708</v>
      </c>
      <c r="B178" s="1" t="s">
        <v>709</v>
      </c>
      <c r="C178" s="1" t="s">
        <v>710</v>
      </c>
      <c r="D178" s="1" t="s">
        <v>711</v>
      </c>
      <c r="E178" s="1" t="s">
        <v>81</v>
      </c>
      <c r="F178" s="1">
        <v>45599</v>
      </c>
      <c r="G178" s="1">
        <v>45600</v>
      </c>
      <c r="H178" s="1">
        <v>45603</v>
      </c>
      <c r="I178" s="1" t="s">
        <v>72</v>
      </c>
      <c r="J178" s="1" t="s">
        <v>1</v>
      </c>
      <c r="K178" s="1" t="s">
        <v>20</v>
      </c>
      <c r="L178" s="1" t="s">
        <v>61</v>
      </c>
      <c r="M178" s="1" t="s">
        <v>59</v>
      </c>
      <c r="N178" s="1" t="s">
        <v>27</v>
      </c>
      <c r="O178" s="1" t="s">
        <v>60</v>
      </c>
      <c r="P178" s="1">
        <v>5</v>
      </c>
      <c r="Q178" s="1">
        <v>1230</v>
      </c>
      <c r="R178" s="1">
        <v>1328.4</v>
      </c>
      <c r="S178" s="1">
        <v>0.05</v>
      </c>
    </row>
    <row r="179" spans="1:19" x14ac:dyDescent="0.3">
      <c r="A179" s="1" t="s">
        <v>712</v>
      </c>
      <c r="B179" s="1" t="s">
        <v>358</v>
      </c>
      <c r="C179" s="1" t="s">
        <v>713</v>
      </c>
      <c r="D179" s="1" t="s">
        <v>714</v>
      </c>
      <c r="E179" s="1" t="s">
        <v>132</v>
      </c>
      <c r="F179" s="1">
        <v>45322</v>
      </c>
      <c r="G179" s="1">
        <v>45322</v>
      </c>
      <c r="H179" s="1">
        <v>45325</v>
      </c>
      <c r="I179" s="1" t="s">
        <v>72</v>
      </c>
      <c r="J179" s="1" t="s">
        <v>17</v>
      </c>
      <c r="K179" s="1" t="s">
        <v>21</v>
      </c>
      <c r="L179" s="1" t="s">
        <v>61</v>
      </c>
      <c r="M179" s="1" t="s">
        <v>53</v>
      </c>
      <c r="N179" s="1" t="s">
        <v>27</v>
      </c>
      <c r="O179" s="1" t="s">
        <v>54</v>
      </c>
      <c r="P179" s="1">
        <v>9</v>
      </c>
      <c r="Q179" s="1">
        <v>430</v>
      </c>
      <c r="R179" s="1">
        <v>455.8</v>
      </c>
      <c r="S179" s="1">
        <v>0.04</v>
      </c>
    </row>
    <row r="180" spans="1:19" ht="12.9" customHeight="1" x14ac:dyDescent="0.3">
      <c r="A180" s="1" t="s">
        <v>735</v>
      </c>
      <c r="B180" s="1" t="s">
        <v>736</v>
      </c>
      <c r="C180" s="1" t="s">
        <v>737</v>
      </c>
      <c r="D180" s="1" t="s">
        <v>738</v>
      </c>
      <c r="E180" s="1" t="s">
        <v>322</v>
      </c>
      <c r="F180" s="1">
        <v>46085</v>
      </c>
      <c r="G180" s="1">
        <v>46086</v>
      </c>
      <c r="H180" s="1">
        <v>46088</v>
      </c>
      <c r="I180" s="1" t="s">
        <v>72</v>
      </c>
      <c r="J180" s="1" t="s">
        <v>1</v>
      </c>
      <c r="K180" s="1" t="s">
        <v>21</v>
      </c>
      <c r="L180" s="1" t="s">
        <v>23</v>
      </c>
      <c r="M180" s="1" t="s">
        <v>26</v>
      </c>
      <c r="N180" s="1" t="s">
        <v>27</v>
      </c>
      <c r="O180" s="1" t="s">
        <v>28</v>
      </c>
      <c r="P180" s="1">
        <v>9</v>
      </c>
      <c r="Q180" s="1">
        <v>3330</v>
      </c>
      <c r="R180" s="1">
        <v>3629.7000000000003</v>
      </c>
      <c r="S180" s="1">
        <v>0.02</v>
      </c>
    </row>
    <row r="181" spans="1:19" x14ac:dyDescent="0.3">
      <c r="A181" s="1" t="s">
        <v>739</v>
      </c>
      <c r="B181" s="1" t="s">
        <v>435</v>
      </c>
      <c r="C181" s="1" t="s">
        <v>740</v>
      </c>
      <c r="D181" s="1" t="s">
        <v>741</v>
      </c>
      <c r="E181" s="1" t="s">
        <v>217</v>
      </c>
      <c r="F181" s="1">
        <v>46113</v>
      </c>
      <c r="G181" s="1">
        <v>46113</v>
      </c>
      <c r="H181" s="1">
        <v>46118</v>
      </c>
      <c r="I181" s="1" t="s">
        <v>82</v>
      </c>
      <c r="J181" s="1" t="s">
        <v>17</v>
      </c>
      <c r="K181" s="1" t="s">
        <v>20</v>
      </c>
      <c r="L181" s="1" t="s">
        <v>22</v>
      </c>
      <c r="M181" s="1" t="s">
        <v>29</v>
      </c>
      <c r="N181" s="1" t="s">
        <v>27</v>
      </c>
      <c r="O181" s="1" t="s">
        <v>28</v>
      </c>
      <c r="P181" s="1">
        <v>2</v>
      </c>
      <c r="Q181" s="1">
        <v>3930</v>
      </c>
      <c r="R181" s="1">
        <v>4362.3</v>
      </c>
      <c r="S181" s="1">
        <v>0</v>
      </c>
    </row>
    <row r="182" spans="1:19" x14ac:dyDescent="0.3">
      <c r="A182" s="1" t="s">
        <v>715</v>
      </c>
      <c r="B182" s="1" t="s">
        <v>716</v>
      </c>
      <c r="C182" s="1" t="s">
        <v>717</v>
      </c>
      <c r="D182" s="1" t="s">
        <v>718</v>
      </c>
      <c r="E182" s="1" t="s">
        <v>322</v>
      </c>
      <c r="F182" s="1">
        <v>45660</v>
      </c>
      <c r="G182" s="1">
        <v>45661</v>
      </c>
      <c r="H182" s="1">
        <v>45664</v>
      </c>
      <c r="I182" s="1" t="s">
        <v>72</v>
      </c>
      <c r="J182" s="1" t="s">
        <v>17</v>
      </c>
      <c r="K182" s="1" t="s">
        <v>20</v>
      </c>
      <c r="L182" s="1" t="s">
        <v>24</v>
      </c>
      <c r="M182" s="1" t="s">
        <v>26</v>
      </c>
      <c r="N182" s="1" t="s">
        <v>27</v>
      </c>
      <c r="O182" s="1" t="s">
        <v>28</v>
      </c>
      <c r="P182" s="1">
        <v>6</v>
      </c>
      <c r="Q182" s="1">
        <v>3330</v>
      </c>
      <c r="R182" s="1">
        <v>3629.7000000000003</v>
      </c>
      <c r="S182" s="1">
        <v>0.03</v>
      </c>
    </row>
    <row r="183" spans="1:19" x14ac:dyDescent="0.3">
      <c r="A183" s="1" t="s">
        <v>719</v>
      </c>
      <c r="B183" s="1" t="s">
        <v>629</v>
      </c>
      <c r="C183" s="1" t="s">
        <v>720</v>
      </c>
      <c r="D183" s="1" t="s">
        <v>721</v>
      </c>
      <c r="E183" s="1" t="s">
        <v>322</v>
      </c>
      <c r="F183" s="1">
        <v>45539</v>
      </c>
      <c r="G183" s="1">
        <v>45539</v>
      </c>
      <c r="H183" s="1">
        <v>45543</v>
      </c>
      <c r="I183" s="1" t="s">
        <v>72</v>
      </c>
      <c r="J183" s="1" t="s">
        <v>16</v>
      </c>
      <c r="K183" s="1" t="s">
        <v>19</v>
      </c>
      <c r="L183" s="1" t="s">
        <v>24</v>
      </c>
      <c r="M183" s="1" t="s">
        <v>26</v>
      </c>
      <c r="N183" s="1" t="s">
        <v>27</v>
      </c>
      <c r="O183" s="1" t="s">
        <v>28</v>
      </c>
      <c r="P183" s="1">
        <v>7</v>
      </c>
      <c r="Q183" s="1">
        <v>3330</v>
      </c>
      <c r="R183" s="1">
        <v>3629.7000000000003</v>
      </c>
      <c r="S183" s="1">
        <v>0.09</v>
      </c>
    </row>
    <row r="184" spans="1:19" x14ac:dyDescent="0.3">
      <c r="A184" s="1" t="s">
        <v>722</v>
      </c>
      <c r="B184" s="1" t="s">
        <v>723</v>
      </c>
      <c r="C184" s="1" t="s">
        <v>724</v>
      </c>
      <c r="D184" s="1" t="s">
        <v>725</v>
      </c>
      <c r="E184" s="1" t="s">
        <v>119</v>
      </c>
      <c r="F184" s="1">
        <v>46069</v>
      </c>
      <c r="G184" s="1">
        <v>46070</v>
      </c>
      <c r="H184" s="1">
        <v>46073</v>
      </c>
      <c r="I184" s="1" t="s">
        <v>82</v>
      </c>
      <c r="J184" s="1" t="s">
        <v>17</v>
      </c>
      <c r="K184" s="1" t="s">
        <v>20</v>
      </c>
      <c r="L184" s="1" t="s">
        <v>22</v>
      </c>
      <c r="M184" s="1" t="s">
        <v>37</v>
      </c>
      <c r="N184" s="1" t="s">
        <v>38</v>
      </c>
      <c r="O184" s="1" t="s">
        <v>39</v>
      </c>
      <c r="P184" s="1">
        <v>3</v>
      </c>
      <c r="Q184" s="1">
        <v>250</v>
      </c>
      <c r="R184" s="1">
        <v>270</v>
      </c>
      <c r="S184" s="1">
        <v>7.0000000000000007E-2</v>
      </c>
    </row>
    <row r="185" spans="1:19" x14ac:dyDescent="0.3">
      <c r="A185" s="1" t="s">
        <v>726</v>
      </c>
      <c r="B185" s="1" t="s">
        <v>389</v>
      </c>
      <c r="C185" s="1" t="s">
        <v>727</v>
      </c>
      <c r="D185" s="1" t="s">
        <v>728</v>
      </c>
      <c r="E185" s="1" t="s">
        <v>100</v>
      </c>
      <c r="F185" s="1">
        <v>46191</v>
      </c>
      <c r="G185" s="1">
        <v>46191</v>
      </c>
      <c r="H185" s="1">
        <v>46196</v>
      </c>
      <c r="I185" s="1" t="s">
        <v>72</v>
      </c>
      <c r="J185" s="1" t="s">
        <v>2</v>
      </c>
      <c r="K185" s="1" t="s">
        <v>21</v>
      </c>
      <c r="L185" s="1" t="s">
        <v>23</v>
      </c>
      <c r="M185" s="1" t="s">
        <v>42</v>
      </c>
      <c r="N185" s="1" t="s">
        <v>27</v>
      </c>
      <c r="O185" s="1" t="s">
        <v>28</v>
      </c>
      <c r="P185" s="1">
        <v>14</v>
      </c>
      <c r="Q185" s="1">
        <v>3030</v>
      </c>
      <c r="R185" s="1">
        <v>3211.8</v>
      </c>
      <c r="S185" s="1">
        <v>0.04</v>
      </c>
    </row>
    <row r="186" spans="1:19" x14ac:dyDescent="0.3">
      <c r="A186" s="1" t="s">
        <v>729</v>
      </c>
      <c r="B186" s="1" t="s">
        <v>331</v>
      </c>
      <c r="C186" s="1" t="s">
        <v>730</v>
      </c>
      <c r="D186" s="1" t="s">
        <v>731</v>
      </c>
      <c r="E186" s="1" t="s">
        <v>132</v>
      </c>
      <c r="F186" s="1">
        <v>46093</v>
      </c>
      <c r="G186" s="1">
        <v>46093</v>
      </c>
      <c r="H186" s="1">
        <v>46096</v>
      </c>
      <c r="I186" s="1" t="s">
        <v>72</v>
      </c>
      <c r="J186" s="1" t="s">
        <v>1</v>
      </c>
      <c r="K186" s="1" t="s">
        <v>20</v>
      </c>
      <c r="L186" s="1" t="s">
        <v>22</v>
      </c>
      <c r="M186" s="1" t="s">
        <v>53</v>
      </c>
      <c r="N186" s="1" t="s">
        <v>27</v>
      </c>
      <c r="O186" s="1" t="s">
        <v>54</v>
      </c>
      <c r="P186" s="1">
        <v>10</v>
      </c>
      <c r="Q186" s="1">
        <v>430</v>
      </c>
      <c r="R186" s="1">
        <v>455.8</v>
      </c>
      <c r="S186" s="1">
        <v>0.01</v>
      </c>
    </row>
    <row r="187" spans="1:19" x14ac:dyDescent="0.3">
      <c r="A187" s="1" t="s">
        <v>732</v>
      </c>
      <c r="B187" s="1" t="s">
        <v>733</v>
      </c>
      <c r="C187" s="1" t="s">
        <v>734</v>
      </c>
      <c r="D187" s="1" t="s">
        <v>199</v>
      </c>
      <c r="E187" s="1" t="s">
        <v>71</v>
      </c>
      <c r="F187" s="1">
        <v>45296</v>
      </c>
      <c r="G187" s="1">
        <v>45297</v>
      </c>
      <c r="H187" s="1">
        <v>45298</v>
      </c>
      <c r="I187" s="1" t="s">
        <v>72</v>
      </c>
      <c r="J187" s="1" t="s">
        <v>18</v>
      </c>
      <c r="K187" s="1" t="s">
        <v>21</v>
      </c>
      <c r="L187" s="1" t="s">
        <v>22</v>
      </c>
      <c r="M187" s="1" t="s">
        <v>32</v>
      </c>
      <c r="N187" s="1" t="s">
        <v>33</v>
      </c>
      <c r="O187" s="1" t="s">
        <v>34</v>
      </c>
      <c r="P187" s="1">
        <v>6</v>
      </c>
      <c r="Q187" s="1">
        <v>730</v>
      </c>
      <c r="R187" s="1">
        <v>824.9</v>
      </c>
      <c r="S187" s="1">
        <v>0.1</v>
      </c>
    </row>
    <row r="188" spans="1:19" x14ac:dyDescent="0.3">
      <c r="A188" s="1" t="s">
        <v>735</v>
      </c>
      <c r="B188" s="1" t="s">
        <v>736</v>
      </c>
      <c r="C188" s="1" t="s">
        <v>737</v>
      </c>
      <c r="D188" s="1" t="s">
        <v>738</v>
      </c>
      <c r="E188" s="1" t="s">
        <v>322</v>
      </c>
      <c r="F188" s="1">
        <v>46085</v>
      </c>
      <c r="G188" s="1">
        <v>46086</v>
      </c>
      <c r="H188" s="1">
        <v>46088</v>
      </c>
      <c r="I188" s="1" t="s">
        <v>72</v>
      </c>
      <c r="J188" s="1" t="s">
        <v>1</v>
      </c>
      <c r="K188" s="1" t="s">
        <v>21</v>
      </c>
      <c r="L188" s="1" t="s">
        <v>23</v>
      </c>
      <c r="M188" s="1" t="s">
        <v>26</v>
      </c>
      <c r="N188" s="1" t="s">
        <v>27</v>
      </c>
      <c r="O188" s="1" t="s">
        <v>28</v>
      </c>
      <c r="P188" s="1">
        <v>9</v>
      </c>
      <c r="Q188" s="1">
        <v>3330</v>
      </c>
      <c r="R188" s="1">
        <v>3629.7000000000003</v>
      </c>
      <c r="S188" s="1">
        <v>0.02</v>
      </c>
    </row>
    <row r="189" spans="1:19" x14ac:dyDescent="0.3">
      <c r="A189" s="1" t="s">
        <v>739</v>
      </c>
      <c r="B189" s="1" t="s">
        <v>435</v>
      </c>
      <c r="C189" s="1" t="s">
        <v>740</v>
      </c>
      <c r="D189" s="1" t="s">
        <v>741</v>
      </c>
      <c r="E189" s="1" t="s">
        <v>217</v>
      </c>
      <c r="F189" s="1">
        <v>46113</v>
      </c>
      <c r="G189" s="1">
        <v>46113</v>
      </c>
      <c r="H189" s="1">
        <v>46118</v>
      </c>
      <c r="I189" s="1" t="s">
        <v>82</v>
      </c>
      <c r="J189" s="1" t="s">
        <v>17</v>
      </c>
      <c r="K189" s="1" t="s">
        <v>20</v>
      </c>
      <c r="L189" s="1" t="s">
        <v>22</v>
      </c>
      <c r="M189" s="1" t="s">
        <v>29</v>
      </c>
      <c r="N189" s="1" t="s">
        <v>27</v>
      </c>
      <c r="O189" s="1" t="s">
        <v>28</v>
      </c>
      <c r="P189" s="1">
        <v>2</v>
      </c>
      <c r="Q189" s="1">
        <v>3930</v>
      </c>
      <c r="R189" s="1">
        <v>4362.3</v>
      </c>
      <c r="S189" s="1">
        <v>0.09</v>
      </c>
    </row>
    <row r="190" spans="1:19" x14ac:dyDescent="0.3">
      <c r="A190" s="1" t="s">
        <v>742</v>
      </c>
      <c r="B190" s="1" t="s">
        <v>743</v>
      </c>
      <c r="C190" s="1" t="s">
        <v>744</v>
      </c>
      <c r="D190" s="1" t="s">
        <v>745</v>
      </c>
      <c r="E190" s="1" t="s">
        <v>119</v>
      </c>
      <c r="F190" s="1">
        <v>45436</v>
      </c>
      <c r="G190" s="1">
        <v>45437</v>
      </c>
      <c r="H190" s="1">
        <v>45438</v>
      </c>
      <c r="I190" s="1" t="s">
        <v>72</v>
      </c>
      <c r="J190" s="1" t="s">
        <v>17</v>
      </c>
      <c r="K190" s="1" t="s">
        <v>20</v>
      </c>
      <c r="L190" s="1" t="s">
        <v>24</v>
      </c>
      <c r="M190" s="1" t="s">
        <v>37</v>
      </c>
      <c r="N190" s="1" t="s">
        <v>38</v>
      </c>
      <c r="O190" s="1" t="s">
        <v>39</v>
      </c>
      <c r="P190" s="1">
        <v>5</v>
      </c>
      <c r="Q190" s="1">
        <v>250</v>
      </c>
      <c r="R190" s="1">
        <v>270</v>
      </c>
      <c r="S190" s="1">
        <v>0.02</v>
      </c>
    </row>
    <row r="191" spans="1:19" x14ac:dyDescent="0.3">
      <c r="A191" s="1" t="s">
        <v>746</v>
      </c>
      <c r="B191" s="1" t="s">
        <v>747</v>
      </c>
      <c r="C191" s="1" t="s">
        <v>748</v>
      </c>
      <c r="D191" s="1" t="s">
        <v>749</v>
      </c>
      <c r="E191" s="1" t="s">
        <v>100</v>
      </c>
      <c r="F191" s="1">
        <v>46055</v>
      </c>
      <c r="G191" s="1">
        <v>46055</v>
      </c>
      <c r="H191" s="1">
        <v>46057</v>
      </c>
      <c r="I191" s="1" t="s">
        <v>82</v>
      </c>
      <c r="J191" s="1" t="s">
        <v>2</v>
      </c>
      <c r="K191" s="1" t="s">
        <v>19</v>
      </c>
      <c r="L191" s="1" t="s">
        <v>25</v>
      </c>
      <c r="M191" s="1" t="s">
        <v>42</v>
      </c>
      <c r="N191" s="1" t="s">
        <v>27</v>
      </c>
      <c r="O191" s="1" t="s">
        <v>28</v>
      </c>
      <c r="P191" s="1">
        <v>2</v>
      </c>
      <c r="Q191" s="1">
        <v>3030</v>
      </c>
      <c r="R191" s="1">
        <v>3211.8</v>
      </c>
      <c r="S191" s="1">
        <v>0.02</v>
      </c>
    </row>
    <row r="192" spans="1:19" x14ac:dyDescent="0.3">
      <c r="A192" s="1" t="s">
        <v>750</v>
      </c>
      <c r="B192" s="1" t="s">
        <v>542</v>
      </c>
      <c r="C192" s="1" t="s">
        <v>751</v>
      </c>
      <c r="D192" s="1" t="s">
        <v>752</v>
      </c>
      <c r="E192" s="1" t="s">
        <v>291</v>
      </c>
      <c r="F192" s="1">
        <v>45995</v>
      </c>
      <c r="G192" s="1">
        <v>45995</v>
      </c>
      <c r="H192" s="1">
        <v>46000</v>
      </c>
      <c r="I192" s="1" t="s">
        <v>72</v>
      </c>
      <c r="J192" s="1" t="s">
        <v>16</v>
      </c>
      <c r="K192" s="1" t="s">
        <v>20</v>
      </c>
      <c r="L192" s="1" t="s">
        <v>22</v>
      </c>
      <c r="M192" s="1" t="s">
        <v>57</v>
      </c>
      <c r="N192" s="1" t="s">
        <v>27</v>
      </c>
      <c r="O192" s="1" t="s">
        <v>58</v>
      </c>
      <c r="P192" s="1">
        <v>5</v>
      </c>
      <c r="Q192" s="1">
        <v>480</v>
      </c>
      <c r="R192" s="1">
        <v>513.6</v>
      </c>
      <c r="S192" s="1">
        <v>0.02</v>
      </c>
    </row>
    <row r="193" spans="1:19" x14ac:dyDescent="0.3">
      <c r="A193" s="1" t="s">
        <v>753</v>
      </c>
      <c r="B193" s="1" t="s">
        <v>230</v>
      </c>
      <c r="C193" s="1" t="s">
        <v>754</v>
      </c>
      <c r="D193" s="1" t="s">
        <v>755</v>
      </c>
      <c r="E193" s="1" t="s">
        <v>322</v>
      </c>
      <c r="F193" s="1">
        <v>45988</v>
      </c>
      <c r="G193" s="1">
        <v>45988</v>
      </c>
      <c r="H193" s="1">
        <v>45990</v>
      </c>
      <c r="I193" s="1" t="s">
        <v>72</v>
      </c>
      <c r="J193" s="1" t="s">
        <v>2</v>
      </c>
      <c r="K193" s="1" t="s">
        <v>21</v>
      </c>
      <c r="L193" s="1" t="s">
        <v>61</v>
      </c>
      <c r="M193" s="1" t="s">
        <v>26</v>
      </c>
      <c r="N193" s="1" t="s">
        <v>27</v>
      </c>
      <c r="O193" s="1" t="s">
        <v>28</v>
      </c>
      <c r="P193" s="1">
        <v>8</v>
      </c>
      <c r="Q193" s="1">
        <v>3330</v>
      </c>
      <c r="R193" s="1">
        <v>3629.7000000000003</v>
      </c>
      <c r="S193" s="1">
        <v>0.05</v>
      </c>
    </row>
    <row r="194" spans="1:19" x14ac:dyDescent="0.3">
      <c r="A194" s="1" t="s">
        <v>756</v>
      </c>
      <c r="B194" s="1" t="s">
        <v>757</v>
      </c>
      <c r="C194" s="1" t="s">
        <v>758</v>
      </c>
      <c r="D194" s="1" t="s">
        <v>759</v>
      </c>
      <c r="E194" s="1" t="s">
        <v>71</v>
      </c>
      <c r="F194" s="1">
        <v>45673</v>
      </c>
      <c r="G194" s="1">
        <v>45673</v>
      </c>
      <c r="H194" s="1">
        <v>45678</v>
      </c>
      <c r="I194" s="1" t="s">
        <v>72</v>
      </c>
      <c r="J194" s="1" t="s">
        <v>18</v>
      </c>
      <c r="K194" s="1" t="s">
        <v>20</v>
      </c>
      <c r="L194" s="1" t="s">
        <v>24</v>
      </c>
      <c r="M194" s="1" t="s">
        <v>32</v>
      </c>
      <c r="N194" s="1" t="s">
        <v>33</v>
      </c>
      <c r="O194" s="1" t="s">
        <v>34</v>
      </c>
      <c r="P194" s="1">
        <v>9</v>
      </c>
      <c r="Q194" s="1">
        <v>730</v>
      </c>
      <c r="R194" s="1">
        <v>824.9</v>
      </c>
      <c r="S194" s="1">
        <v>0.03</v>
      </c>
    </row>
    <row r="195" spans="1:19" x14ac:dyDescent="0.3">
      <c r="A195" s="1" t="s">
        <v>760</v>
      </c>
      <c r="B195" s="1" t="s">
        <v>189</v>
      </c>
      <c r="C195" s="1" t="s">
        <v>761</v>
      </c>
      <c r="D195" s="1" t="s">
        <v>762</v>
      </c>
      <c r="E195" s="1" t="s">
        <v>87</v>
      </c>
      <c r="F195" s="1">
        <v>45937</v>
      </c>
      <c r="G195" s="1">
        <v>45937</v>
      </c>
      <c r="H195" s="1">
        <v>45940</v>
      </c>
      <c r="I195" s="1" t="s">
        <v>72</v>
      </c>
      <c r="J195" s="1" t="s">
        <v>17</v>
      </c>
      <c r="K195" s="1" t="s">
        <v>20</v>
      </c>
      <c r="L195" s="1" t="s">
        <v>22</v>
      </c>
      <c r="M195" s="1" t="s">
        <v>30</v>
      </c>
      <c r="N195" s="1" t="s">
        <v>27</v>
      </c>
      <c r="O195" s="1" t="s">
        <v>31</v>
      </c>
      <c r="P195" s="1">
        <v>6</v>
      </c>
      <c r="Q195" s="1">
        <v>1030</v>
      </c>
      <c r="R195" s="1">
        <v>1174.2</v>
      </c>
      <c r="S195" s="1">
        <v>0.1</v>
      </c>
    </row>
    <row r="196" spans="1:19" x14ac:dyDescent="0.3">
      <c r="A196" s="1" t="s">
        <v>763</v>
      </c>
      <c r="B196" s="1" t="s">
        <v>764</v>
      </c>
      <c r="C196" s="1" t="s">
        <v>765</v>
      </c>
      <c r="D196" s="1" t="s">
        <v>766</v>
      </c>
      <c r="E196" s="1" t="s">
        <v>192</v>
      </c>
      <c r="F196" s="1">
        <v>45760</v>
      </c>
      <c r="G196" s="1">
        <v>45760</v>
      </c>
      <c r="H196" s="1">
        <v>45765</v>
      </c>
      <c r="I196" s="1" t="s">
        <v>72</v>
      </c>
      <c r="J196" s="1" t="s">
        <v>17</v>
      </c>
      <c r="K196" s="1" t="s">
        <v>21</v>
      </c>
      <c r="L196" s="1" t="s">
        <v>61</v>
      </c>
      <c r="M196" s="1" t="s">
        <v>46</v>
      </c>
      <c r="N196" s="1" t="s">
        <v>38</v>
      </c>
      <c r="O196" s="1" t="s">
        <v>45</v>
      </c>
      <c r="P196" s="1">
        <v>15</v>
      </c>
      <c r="Q196" s="1">
        <v>350</v>
      </c>
      <c r="R196" s="1">
        <v>364</v>
      </c>
      <c r="S196" s="1">
        <v>0.06</v>
      </c>
    </row>
    <row r="197" spans="1:19" x14ac:dyDescent="0.3">
      <c r="A197" s="1" t="s">
        <v>767</v>
      </c>
      <c r="B197" s="1" t="s">
        <v>385</v>
      </c>
      <c r="C197" s="1" t="s">
        <v>768</v>
      </c>
      <c r="D197" s="1" t="s">
        <v>769</v>
      </c>
      <c r="E197" s="1" t="s">
        <v>77</v>
      </c>
      <c r="F197" s="1">
        <v>46127</v>
      </c>
      <c r="G197" s="1">
        <v>46128</v>
      </c>
      <c r="H197" s="1">
        <v>46130</v>
      </c>
      <c r="I197" s="1" t="s">
        <v>72</v>
      </c>
      <c r="J197" s="1" t="s">
        <v>18</v>
      </c>
      <c r="K197" s="1" t="s">
        <v>19</v>
      </c>
      <c r="L197" s="1" t="s">
        <v>24</v>
      </c>
      <c r="M197" s="1" t="s">
        <v>44</v>
      </c>
      <c r="N197" s="1" t="s">
        <v>38</v>
      </c>
      <c r="O197" s="1" t="s">
        <v>45</v>
      </c>
      <c r="P197" s="1">
        <v>6</v>
      </c>
      <c r="Q197" s="1">
        <v>210</v>
      </c>
      <c r="R197" s="1">
        <v>222.60000000000002</v>
      </c>
      <c r="S197" s="1">
        <v>0.04</v>
      </c>
    </row>
    <row r="198" spans="1:19" x14ac:dyDescent="0.3">
      <c r="A198" s="1" t="s">
        <v>770</v>
      </c>
      <c r="B198" s="1" t="s">
        <v>578</v>
      </c>
      <c r="C198" s="1" t="s">
        <v>771</v>
      </c>
      <c r="D198" s="1" t="s">
        <v>547</v>
      </c>
      <c r="E198" s="1" t="s">
        <v>87</v>
      </c>
      <c r="F198" s="1">
        <v>45343</v>
      </c>
      <c r="G198" s="1">
        <v>45344</v>
      </c>
      <c r="H198" s="1">
        <v>45347</v>
      </c>
      <c r="I198" s="1" t="s">
        <v>72</v>
      </c>
      <c r="J198" s="1" t="s">
        <v>1</v>
      </c>
      <c r="K198" s="1" t="s">
        <v>19</v>
      </c>
      <c r="L198" s="1" t="s">
        <v>22</v>
      </c>
      <c r="M198" s="1" t="s">
        <v>30</v>
      </c>
      <c r="N198" s="1" t="s">
        <v>27</v>
      </c>
      <c r="O198" s="1" t="s">
        <v>31</v>
      </c>
      <c r="P198" s="1">
        <v>10</v>
      </c>
      <c r="Q198" s="1">
        <v>1030</v>
      </c>
      <c r="R198" s="1">
        <v>1174.2</v>
      </c>
      <c r="S198" s="1">
        <v>0.04</v>
      </c>
    </row>
    <row r="199" spans="1:19" x14ac:dyDescent="0.3">
      <c r="A199" s="1" t="s">
        <v>772</v>
      </c>
      <c r="B199" s="1" t="s">
        <v>773</v>
      </c>
      <c r="C199" s="1" t="s">
        <v>774</v>
      </c>
      <c r="D199" s="1" t="s">
        <v>775</v>
      </c>
      <c r="E199" s="1" t="s">
        <v>141</v>
      </c>
      <c r="F199" s="1">
        <v>45985</v>
      </c>
      <c r="G199" s="1">
        <v>45985</v>
      </c>
      <c r="H199" s="1">
        <v>45990</v>
      </c>
      <c r="I199" s="1" t="s">
        <v>72</v>
      </c>
      <c r="J199" s="1" t="s">
        <v>1</v>
      </c>
      <c r="K199" s="1" t="s">
        <v>20</v>
      </c>
      <c r="L199" s="1" t="s">
        <v>24</v>
      </c>
      <c r="M199" s="1" t="s">
        <v>35</v>
      </c>
      <c r="N199" s="1" t="s">
        <v>33</v>
      </c>
      <c r="O199" s="1" t="s">
        <v>36</v>
      </c>
      <c r="P199" s="1">
        <v>9</v>
      </c>
      <c r="Q199" s="1">
        <v>1530</v>
      </c>
      <c r="R199" s="1">
        <v>1790.1</v>
      </c>
      <c r="S199" s="1">
        <v>0.05</v>
      </c>
    </row>
    <row r="200" spans="1:19" x14ac:dyDescent="0.3">
      <c r="A200" s="1" t="s">
        <v>776</v>
      </c>
      <c r="B200" s="1" t="s">
        <v>747</v>
      </c>
      <c r="C200" s="1" t="s">
        <v>777</v>
      </c>
      <c r="D200" s="1" t="s">
        <v>778</v>
      </c>
      <c r="E200" s="1" t="s">
        <v>208</v>
      </c>
      <c r="F200" s="1">
        <v>45483</v>
      </c>
      <c r="G200" s="1">
        <v>45484</v>
      </c>
      <c r="H200" s="1">
        <v>45486</v>
      </c>
      <c r="I200" s="1" t="s">
        <v>82</v>
      </c>
      <c r="J200" s="1" t="s">
        <v>1</v>
      </c>
      <c r="K200" s="1" t="s">
        <v>20</v>
      </c>
      <c r="L200" s="1" t="s">
        <v>24</v>
      </c>
      <c r="M200" s="1" t="s">
        <v>50</v>
      </c>
      <c r="N200" s="1" t="s">
        <v>33</v>
      </c>
      <c r="O200" s="1" t="s">
        <v>36</v>
      </c>
      <c r="P200" s="1">
        <v>3</v>
      </c>
      <c r="Q200" s="1">
        <v>930</v>
      </c>
      <c r="R200" s="1">
        <v>1078.8</v>
      </c>
      <c r="S200" s="1">
        <v>0.03</v>
      </c>
    </row>
    <row r="201" spans="1:19" x14ac:dyDescent="0.3">
      <c r="A201" s="1" t="s">
        <v>779</v>
      </c>
      <c r="B201" s="1" t="s">
        <v>743</v>
      </c>
      <c r="C201" s="1" t="s">
        <v>780</v>
      </c>
      <c r="D201" s="1" t="s">
        <v>269</v>
      </c>
      <c r="E201" s="1" t="s">
        <v>141</v>
      </c>
      <c r="F201" s="1">
        <v>45480</v>
      </c>
      <c r="G201" s="1">
        <v>45481</v>
      </c>
      <c r="H201" s="1">
        <v>45483</v>
      </c>
      <c r="I201" s="1" t="s">
        <v>72</v>
      </c>
      <c r="J201" s="1" t="s">
        <v>18</v>
      </c>
      <c r="K201" s="1" t="s">
        <v>20</v>
      </c>
      <c r="L201" s="1" t="s">
        <v>24</v>
      </c>
      <c r="M201" s="1" t="s">
        <v>35</v>
      </c>
      <c r="N201" s="1" t="s">
        <v>33</v>
      </c>
      <c r="O201" s="1" t="s">
        <v>36</v>
      </c>
      <c r="P201" s="1">
        <v>9</v>
      </c>
      <c r="Q201" s="1">
        <v>1530</v>
      </c>
      <c r="R201" s="1">
        <v>1790.1</v>
      </c>
      <c r="S201" s="1">
        <v>7.0000000000000007E-2</v>
      </c>
    </row>
    <row r="202" spans="1:19" x14ac:dyDescent="0.3">
      <c r="A202" s="1" t="s">
        <v>781</v>
      </c>
      <c r="B202" s="1" t="s">
        <v>244</v>
      </c>
      <c r="C202" s="1" t="s">
        <v>782</v>
      </c>
      <c r="D202" s="1" t="s">
        <v>783</v>
      </c>
      <c r="E202" s="1" t="s">
        <v>322</v>
      </c>
      <c r="F202" s="1">
        <v>45640</v>
      </c>
      <c r="G202" s="1">
        <v>45640</v>
      </c>
      <c r="H202" s="1">
        <v>45645</v>
      </c>
      <c r="I202" s="1" t="s">
        <v>82</v>
      </c>
      <c r="J202" s="1" t="s">
        <v>16</v>
      </c>
      <c r="K202" s="1" t="s">
        <v>20</v>
      </c>
      <c r="L202" s="1" t="s">
        <v>22</v>
      </c>
      <c r="M202" s="1" t="s">
        <v>26</v>
      </c>
      <c r="N202" s="1" t="s">
        <v>27</v>
      </c>
      <c r="O202" s="1" t="s">
        <v>28</v>
      </c>
      <c r="P202" s="1">
        <v>2</v>
      </c>
      <c r="Q202" s="1">
        <v>3330</v>
      </c>
      <c r="R202" s="1">
        <v>3629.7000000000003</v>
      </c>
      <c r="S202" s="1">
        <v>0.03</v>
      </c>
    </row>
    <row r="203" spans="1:19" x14ac:dyDescent="0.3">
      <c r="A203" s="1" t="s">
        <v>784</v>
      </c>
      <c r="B203" s="1" t="s">
        <v>785</v>
      </c>
      <c r="C203" s="1" t="s">
        <v>786</v>
      </c>
      <c r="D203" s="1" t="s">
        <v>787</v>
      </c>
      <c r="E203" s="1" t="s">
        <v>87</v>
      </c>
      <c r="F203" s="1">
        <v>46078</v>
      </c>
      <c r="G203" s="1">
        <v>46079</v>
      </c>
      <c r="H203" s="1">
        <v>46081</v>
      </c>
      <c r="I203" s="1" t="s">
        <v>72</v>
      </c>
      <c r="J203" s="1" t="s">
        <v>1</v>
      </c>
      <c r="K203" s="1" t="s">
        <v>20</v>
      </c>
      <c r="L203" s="1" t="s">
        <v>25</v>
      </c>
      <c r="M203" s="1" t="s">
        <v>30</v>
      </c>
      <c r="N203" s="1" t="s">
        <v>27</v>
      </c>
      <c r="O203" s="1" t="s">
        <v>31</v>
      </c>
      <c r="P203" s="1">
        <v>5</v>
      </c>
      <c r="Q203" s="1">
        <v>1030</v>
      </c>
      <c r="R203" s="1">
        <v>1174.2</v>
      </c>
      <c r="S203" s="1">
        <v>0.01</v>
      </c>
    </row>
    <row r="204" spans="1:19" x14ac:dyDescent="0.3">
      <c r="A204" s="1" t="s">
        <v>788</v>
      </c>
      <c r="B204" s="1" t="s">
        <v>89</v>
      </c>
      <c r="C204" s="1" t="s">
        <v>789</v>
      </c>
      <c r="D204" s="1" t="s">
        <v>790</v>
      </c>
      <c r="E204" s="1" t="s">
        <v>87</v>
      </c>
      <c r="F204" s="1">
        <v>45567</v>
      </c>
      <c r="G204" s="1">
        <v>45567</v>
      </c>
      <c r="H204" s="1">
        <v>45569</v>
      </c>
      <c r="I204" s="1" t="s">
        <v>72</v>
      </c>
      <c r="J204" s="1" t="s">
        <v>18</v>
      </c>
      <c r="K204" s="1" t="s">
        <v>20</v>
      </c>
      <c r="L204" s="1" t="s">
        <v>23</v>
      </c>
      <c r="M204" s="1" t="s">
        <v>30</v>
      </c>
      <c r="N204" s="1" t="s">
        <v>27</v>
      </c>
      <c r="O204" s="1" t="s">
        <v>31</v>
      </c>
      <c r="P204" s="1">
        <v>10</v>
      </c>
      <c r="Q204" s="1">
        <v>1030</v>
      </c>
      <c r="R204" s="1">
        <v>1174.2</v>
      </c>
      <c r="S204" s="1">
        <v>0.04</v>
      </c>
    </row>
    <row r="205" spans="1:19" x14ac:dyDescent="0.3">
      <c r="A205" s="1" t="s">
        <v>791</v>
      </c>
      <c r="B205" s="1" t="s">
        <v>792</v>
      </c>
      <c r="C205" s="1" t="s">
        <v>793</v>
      </c>
      <c r="D205" s="1" t="s">
        <v>794</v>
      </c>
      <c r="E205" s="1" t="s">
        <v>119</v>
      </c>
      <c r="F205" s="1">
        <v>45576</v>
      </c>
      <c r="G205" s="1">
        <v>45576</v>
      </c>
      <c r="H205" s="1">
        <v>45578</v>
      </c>
      <c r="I205" s="1" t="s">
        <v>72</v>
      </c>
      <c r="J205" s="1" t="s">
        <v>1</v>
      </c>
      <c r="K205" s="1" t="s">
        <v>19</v>
      </c>
      <c r="L205" s="1" t="s">
        <v>23</v>
      </c>
      <c r="M205" s="1" t="s">
        <v>37</v>
      </c>
      <c r="N205" s="1" t="s">
        <v>38</v>
      </c>
      <c r="O205" s="1" t="s">
        <v>39</v>
      </c>
      <c r="P205" s="1">
        <v>9</v>
      </c>
      <c r="Q205" s="1">
        <v>250</v>
      </c>
      <c r="R205" s="1">
        <v>270</v>
      </c>
      <c r="S205" s="1">
        <v>0.02</v>
      </c>
    </row>
    <row r="206" spans="1:19" x14ac:dyDescent="0.3">
      <c r="A206" s="1" t="s">
        <v>795</v>
      </c>
      <c r="B206" s="1" t="s">
        <v>189</v>
      </c>
      <c r="C206" s="1" t="s">
        <v>796</v>
      </c>
      <c r="D206" s="1" t="s">
        <v>797</v>
      </c>
      <c r="E206" s="1" t="s">
        <v>87</v>
      </c>
      <c r="F206" s="1">
        <v>45645</v>
      </c>
      <c r="G206" s="1">
        <v>45645</v>
      </c>
      <c r="H206" s="1">
        <v>45647</v>
      </c>
      <c r="I206" s="1" t="s">
        <v>82</v>
      </c>
      <c r="J206" s="1" t="s">
        <v>18</v>
      </c>
      <c r="K206" s="1" t="s">
        <v>19</v>
      </c>
      <c r="L206" s="1" t="s">
        <v>61</v>
      </c>
      <c r="M206" s="1" t="s">
        <v>30</v>
      </c>
      <c r="N206" s="1" t="s">
        <v>27</v>
      </c>
      <c r="O206" s="1" t="s">
        <v>31</v>
      </c>
      <c r="P206" s="1">
        <v>3</v>
      </c>
      <c r="Q206" s="1">
        <v>1030</v>
      </c>
      <c r="R206" s="1">
        <v>1174.2</v>
      </c>
      <c r="S206" s="1">
        <v>0.06</v>
      </c>
    </row>
    <row r="207" spans="1:19" x14ac:dyDescent="0.3">
      <c r="A207" s="1" t="s">
        <v>798</v>
      </c>
      <c r="B207" s="1" t="s">
        <v>799</v>
      </c>
      <c r="C207" s="1" t="s">
        <v>800</v>
      </c>
      <c r="D207" s="1" t="s">
        <v>801</v>
      </c>
      <c r="E207" s="1" t="s">
        <v>119</v>
      </c>
      <c r="F207" s="1">
        <v>45713</v>
      </c>
      <c r="G207" s="1">
        <v>45714</v>
      </c>
      <c r="H207" s="1">
        <v>45718</v>
      </c>
      <c r="I207" s="1" t="s">
        <v>72</v>
      </c>
      <c r="J207" s="1" t="s">
        <v>17</v>
      </c>
      <c r="K207" s="1" t="s">
        <v>19</v>
      </c>
      <c r="L207" s="1" t="s">
        <v>22</v>
      </c>
      <c r="M207" s="1" t="s">
        <v>37</v>
      </c>
      <c r="N207" s="1" t="s">
        <v>38</v>
      </c>
      <c r="O207" s="1" t="s">
        <v>39</v>
      </c>
      <c r="P207" s="1">
        <v>10</v>
      </c>
      <c r="Q207" s="1">
        <v>250</v>
      </c>
      <c r="R207" s="1">
        <v>270</v>
      </c>
      <c r="S207" s="1">
        <v>0.08</v>
      </c>
    </row>
    <row r="208" spans="1:19" x14ac:dyDescent="0.3">
      <c r="A208" s="1" t="s">
        <v>802</v>
      </c>
      <c r="B208" s="1" t="s">
        <v>803</v>
      </c>
      <c r="C208" s="1" t="s">
        <v>804</v>
      </c>
      <c r="D208" s="1" t="s">
        <v>805</v>
      </c>
      <c r="E208" s="1" t="s">
        <v>132</v>
      </c>
      <c r="F208" s="1">
        <v>45792</v>
      </c>
      <c r="G208" s="1">
        <v>45792</v>
      </c>
      <c r="H208" s="1">
        <v>45797</v>
      </c>
      <c r="I208" s="1" t="s">
        <v>72</v>
      </c>
      <c r="J208" s="1" t="s">
        <v>16</v>
      </c>
      <c r="K208" s="1" t="s">
        <v>21</v>
      </c>
      <c r="L208" s="1" t="s">
        <v>24</v>
      </c>
      <c r="M208" s="1" t="s">
        <v>53</v>
      </c>
      <c r="N208" s="1" t="s">
        <v>27</v>
      </c>
      <c r="O208" s="1" t="s">
        <v>54</v>
      </c>
      <c r="P208" s="1">
        <v>8</v>
      </c>
      <c r="Q208" s="1">
        <v>430</v>
      </c>
      <c r="R208" s="1">
        <v>455.8</v>
      </c>
      <c r="S208" s="1">
        <v>0.1</v>
      </c>
    </row>
    <row r="209" spans="1:19" x14ac:dyDescent="0.3">
      <c r="A209" s="1" t="s">
        <v>806</v>
      </c>
      <c r="B209" s="1" t="s">
        <v>470</v>
      </c>
      <c r="C209" s="1" t="s">
        <v>807</v>
      </c>
      <c r="D209" s="1" t="s">
        <v>808</v>
      </c>
      <c r="E209" s="1" t="s">
        <v>322</v>
      </c>
      <c r="F209" s="1">
        <v>45958</v>
      </c>
      <c r="G209" s="1">
        <v>45959</v>
      </c>
      <c r="H209" s="1">
        <v>45963</v>
      </c>
      <c r="I209" s="1" t="s">
        <v>82</v>
      </c>
      <c r="J209" s="1" t="s">
        <v>1</v>
      </c>
      <c r="K209" s="1" t="s">
        <v>19</v>
      </c>
      <c r="L209" s="1" t="s">
        <v>23</v>
      </c>
      <c r="M209" s="1" t="s">
        <v>26</v>
      </c>
      <c r="N209" s="1" t="s">
        <v>27</v>
      </c>
      <c r="O209" s="1" t="s">
        <v>28</v>
      </c>
      <c r="P209" s="1">
        <v>3</v>
      </c>
      <c r="Q209" s="1">
        <v>3330</v>
      </c>
      <c r="R209" s="1">
        <v>3629.7000000000003</v>
      </c>
      <c r="S209" s="1">
        <v>7.0000000000000007E-2</v>
      </c>
    </row>
    <row r="210" spans="1:19" x14ac:dyDescent="0.3">
      <c r="A210" s="1" t="s">
        <v>809</v>
      </c>
      <c r="B210" s="1" t="s">
        <v>810</v>
      </c>
      <c r="C210" s="1" t="s">
        <v>811</v>
      </c>
      <c r="D210" s="1" t="s">
        <v>812</v>
      </c>
      <c r="E210" s="1" t="s">
        <v>164</v>
      </c>
      <c r="F210" s="1">
        <v>45551</v>
      </c>
      <c r="G210" s="1">
        <v>45551</v>
      </c>
      <c r="H210" s="1">
        <v>45556</v>
      </c>
      <c r="I210" s="1" t="s">
        <v>72</v>
      </c>
      <c r="J210" s="1" t="s">
        <v>16</v>
      </c>
      <c r="K210" s="1" t="s">
        <v>21</v>
      </c>
      <c r="L210" s="1" t="s">
        <v>61</v>
      </c>
      <c r="M210" s="1" t="s">
        <v>43</v>
      </c>
      <c r="N210" s="1" t="s">
        <v>27</v>
      </c>
      <c r="O210" s="1" t="s">
        <v>31</v>
      </c>
      <c r="P210" s="1">
        <v>8</v>
      </c>
      <c r="Q210" s="1">
        <v>1630</v>
      </c>
      <c r="R210" s="1">
        <v>1744.1000000000001</v>
      </c>
      <c r="S210" s="1">
        <v>0.1</v>
      </c>
    </row>
    <row r="211" spans="1:19" x14ac:dyDescent="0.3">
      <c r="A211" s="1" t="s">
        <v>813</v>
      </c>
      <c r="B211" s="1" t="s">
        <v>252</v>
      </c>
      <c r="C211" s="1" t="s">
        <v>814</v>
      </c>
      <c r="D211" s="1" t="s">
        <v>94</v>
      </c>
      <c r="E211" s="1" t="s">
        <v>100</v>
      </c>
      <c r="F211" s="1">
        <v>45920</v>
      </c>
      <c r="G211" s="1">
        <v>45920</v>
      </c>
      <c r="H211" s="1">
        <v>45925</v>
      </c>
      <c r="I211" s="1" t="s">
        <v>72</v>
      </c>
      <c r="J211" s="1" t="s">
        <v>17</v>
      </c>
      <c r="K211" s="1" t="s">
        <v>20</v>
      </c>
      <c r="L211" s="1" t="s">
        <v>24</v>
      </c>
      <c r="M211" s="1" t="s">
        <v>42</v>
      </c>
      <c r="N211" s="1" t="s">
        <v>27</v>
      </c>
      <c r="O211" s="1" t="s">
        <v>28</v>
      </c>
      <c r="P211" s="1">
        <v>10</v>
      </c>
      <c r="Q211" s="1">
        <v>3030</v>
      </c>
      <c r="R211" s="1">
        <v>3211.8</v>
      </c>
      <c r="S211" s="1">
        <v>0.01</v>
      </c>
    </row>
    <row r="212" spans="1:19" x14ac:dyDescent="0.3">
      <c r="A212" s="1" t="s">
        <v>815</v>
      </c>
      <c r="B212" s="1" t="s">
        <v>816</v>
      </c>
      <c r="C212" s="1" t="s">
        <v>817</v>
      </c>
      <c r="D212" s="1" t="s">
        <v>818</v>
      </c>
      <c r="E212" s="1" t="s">
        <v>173</v>
      </c>
      <c r="F212" s="1">
        <v>45434</v>
      </c>
      <c r="G212" s="1">
        <v>45435</v>
      </c>
      <c r="H212" s="1">
        <v>45439</v>
      </c>
      <c r="I212" s="1" t="s">
        <v>72</v>
      </c>
      <c r="J212" s="1" t="s">
        <v>2</v>
      </c>
      <c r="K212" s="1" t="s">
        <v>20</v>
      </c>
      <c r="L212" s="1" t="s">
        <v>25</v>
      </c>
      <c r="M212" s="1" t="s">
        <v>48</v>
      </c>
      <c r="N212" s="1" t="s">
        <v>38</v>
      </c>
      <c r="O212" s="1" t="s">
        <v>41</v>
      </c>
      <c r="P212" s="1">
        <v>10</v>
      </c>
      <c r="Q212" s="1">
        <v>580</v>
      </c>
      <c r="R212" s="1">
        <v>667</v>
      </c>
      <c r="S212" s="1">
        <v>0.06</v>
      </c>
    </row>
    <row r="213" spans="1:19" x14ac:dyDescent="0.3">
      <c r="A213" s="1" t="s">
        <v>819</v>
      </c>
      <c r="B213" s="1" t="s">
        <v>820</v>
      </c>
      <c r="C213" s="1" t="s">
        <v>821</v>
      </c>
      <c r="D213" s="1" t="s">
        <v>822</v>
      </c>
      <c r="E213" s="1" t="s">
        <v>141</v>
      </c>
      <c r="F213" s="1">
        <v>45782</v>
      </c>
      <c r="G213" s="1">
        <v>45783</v>
      </c>
      <c r="H213" s="1">
        <v>45784</v>
      </c>
      <c r="I213" s="1" t="s">
        <v>72</v>
      </c>
      <c r="J213" s="1" t="s">
        <v>18</v>
      </c>
      <c r="K213" s="1" t="s">
        <v>21</v>
      </c>
      <c r="L213" s="1" t="s">
        <v>24</v>
      </c>
      <c r="M213" s="1" t="s">
        <v>35</v>
      </c>
      <c r="N213" s="1" t="s">
        <v>33</v>
      </c>
      <c r="O213" s="1" t="s">
        <v>36</v>
      </c>
      <c r="P213" s="1">
        <v>13</v>
      </c>
      <c r="Q213" s="1">
        <v>1530</v>
      </c>
      <c r="R213" s="1">
        <v>1790.1</v>
      </c>
      <c r="S213" s="1">
        <v>0.1</v>
      </c>
    </row>
    <row r="214" spans="1:19" x14ac:dyDescent="0.3">
      <c r="A214" s="1" t="s">
        <v>823</v>
      </c>
      <c r="B214" s="1" t="s">
        <v>824</v>
      </c>
      <c r="C214" s="1" t="s">
        <v>825</v>
      </c>
      <c r="D214" s="1" t="s">
        <v>826</v>
      </c>
      <c r="E214" s="1" t="s">
        <v>119</v>
      </c>
      <c r="F214" s="1">
        <v>45763</v>
      </c>
      <c r="G214" s="1">
        <v>45763</v>
      </c>
      <c r="H214" s="1">
        <v>45765</v>
      </c>
      <c r="I214" s="1" t="s">
        <v>72</v>
      </c>
      <c r="J214" s="1" t="s">
        <v>2</v>
      </c>
      <c r="K214" s="1" t="s">
        <v>21</v>
      </c>
      <c r="L214" s="1" t="s">
        <v>23</v>
      </c>
      <c r="M214" s="1" t="s">
        <v>37</v>
      </c>
      <c r="N214" s="1" t="s">
        <v>38</v>
      </c>
      <c r="O214" s="1" t="s">
        <v>39</v>
      </c>
      <c r="P214" s="1">
        <v>9</v>
      </c>
      <c r="Q214" s="1">
        <v>250</v>
      </c>
      <c r="R214" s="1">
        <v>270</v>
      </c>
      <c r="S214" s="1">
        <v>0.04</v>
      </c>
    </row>
    <row r="215" spans="1:19" x14ac:dyDescent="0.3">
      <c r="A215" s="1" t="s">
        <v>827</v>
      </c>
      <c r="B215" s="1" t="s">
        <v>828</v>
      </c>
      <c r="C215" s="1" t="s">
        <v>829</v>
      </c>
      <c r="D215" s="1" t="s">
        <v>830</v>
      </c>
      <c r="E215" s="1" t="s">
        <v>95</v>
      </c>
      <c r="F215" s="1">
        <v>45761</v>
      </c>
      <c r="G215" s="1">
        <v>45761</v>
      </c>
      <c r="H215" s="1">
        <v>45765</v>
      </c>
      <c r="I215" s="1" t="s">
        <v>82</v>
      </c>
      <c r="J215" s="1" t="s">
        <v>17</v>
      </c>
      <c r="K215" s="1" t="s">
        <v>20</v>
      </c>
      <c r="L215" s="1" t="s">
        <v>25</v>
      </c>
      <c r="M215" s="1" t="s">
        <v>49</v>
      </c>
      <c r="N215" s="1" t="s">
        <v>33</v>
      </c>
      <c r="O215" s="1" t="s">
        <v>34</v>
      </c>
      <c r="P215" s="1">
        <v>3</v>
      </c>
      <c r="Q215" s="1">
        <v>1080</v>
      </c>
      <c r="R215" s="1">
        <v>1112.4000000000001</v>
      </c>
      <c r="S215" s="1">
        <v>0.02</v>
      </c>
    </row>
    <row r="216" spans="1:19" x14ac:dyDescent="0.3">
      <c r="A216" s="1" t="s">
        <v>831</v>
      </c>
      <c r="B216" s="1" t="s">
        <v>450</v>
      </c>
      <c r="C216" s="1" t="s">
        <v>832</v>
      </c>
      <c r="D216" s="1" t="s">
        <v>833</v>
      </c>
      <c r="E216" s="1" t="s">
        <v>178</v>
      </c>
      <c r="F216" s="1">
        <v>45623</v>
      </c>
      <c r="G216" s="1">
        <v>45624</v>
      </c>
      <c r="H216" s="1">
        <v>45626</v>
      </c>
      <c r="I216" s="1" t="s">
        <v>82</v>
      </c>
      <c r="J216" s="1" t="s">
        <v>2</v>
      </c>
      <c r="K216" s="1" t="s">
        <v>20</v>
      </c>
      <c r="L216" s="1" t="s">
        <v>24</v>
      </c>
      <c r="M216" s="1" t="s">
        <v>47</v>
      </c>
      <c r="N216" s="1" t="s">
        <v>38</v>
      </c>
      <c r="O216" s="1" t="s">
        <v>39</v>
      </c>
      <c r="P216" s="1">
        <v>3</v>
      </c>
      <c r="Q216" s="1">
        <v>390</v>
      </c>
      <c r="R216" s="1">
        <v>468</v>
      </c>
      <c r="S216" s="1">
        <v>0.09</v>
      </c>
    </row>
    <row r="217" spans="1:19" x14ac:dyDescent="0.3">
      <c r="A217" s="1" t="s">
        <v>834</v>
      </c>
      <c r="B217" s="1" t="s">
        <v>205</v>
      </c>
      <c r="C217" s="1" t="s">
        <v>835</v>
      </c>
      <c r="D217" s="1" t="s">
        <v>836</v>
      </c>
      <c r="E217" s="1" t="s">
        <v>100</v>
      </c>
      <c r="F217" s="1">
        <v>45578</v>
      </c>
      <c r="G217" s="1">
        <v>45578</v>
      </c>
      <c r="H217" s="1">
        <v>45582</v>
      </c>
      <c r="I217" s="1" t="s">
        <v>72</v>
      </c>
      <c r="J217" s="1" t="s">
        <v>16</v>
      </c>
      <c r="K217" s="1" t="s">
        <v>21</v>
      </c>
      <c r="L217" s="1" t="s">
        <v>61</v>
      </c>
      <c r="M217" s="1" t="s">
        <v>42</v>
      </c>
      <c r="N217" s="1" t="s">
        <v>27</v>
      </c>
      <c r="O217" s="1" t="s">
        <v>28</v>
      </c>
      <c r="P217" s="1">
        <v>9</v>
      </c>
      <c r="Q217" s="1">
        <v>3030</v>
      </c>
      <c r="R217" s="1">
        <v>3211.8</v>
      </c>
      <c r="S217" s="1">
        <v>0.05</v>
      </c>
    </row>
    <row r="218" spans="1:19" x14ac:dyDescent="0.3">
      <c r="A218" s="1" t="s">
        <v>837</v>
      </c>
      <c r="B218" s="1" t="s">
        <v>689</v>
      </c>
      <c r="C218" s="1" t="s">
        <v>838</v>
      </c>
      <c r="D218" s="1" t="s">
        <v>839</v>
      </c>
      <c r="E218" s="1" t="s">
        <v>173</v>
      </c>
      <c r="F218" s="1">
        <v>46078</v>
      </c>
      <c r="G218" s="1">
        <v>46078</v>
      </c>
      <c r="H218" s="1">
        <v>46082</v>
      </c>
      <c r="I218" s="1" t="s">
        <v>72</v>
      </c>
      <c r="J218" s="1" t="s">
        <v>1</v>
      </c>
      <c r="K218" s="1" t="s">
        <v>20</v>
      </c>
      <c r="L218" s="1" t="s">
        <v>24</v>
      </c>
      <c r="M218" s="1" t="s">
        <v>48</v>
      </c>
      <c r="N218" s="1" t="s">
        <v>38</v>
      </c>
      <c r="O218" s="1" t="s">
        <v>41</v>
      </c>
      <c r="P218" s="1">
        <v>9</v>
      </c>
      <c r="Q218" s="1">
        <v>580</v>
      </c>
      <c r="R218" s="1">
        <v>667</v>
      </c>
      <c r="S218" s="1">
        <v>0.01</v>
      </c>
    </row>
    <row r="219" spans="1:19" x14ac:dyDescent="0.3">
      <c r="A219" s="1" t="s">
        <v>840</v>
      </c>
      <c r="B219" s="1" t="s">
        <v>335</v>
      </c>
      <c r="C219" s="1" t="s">
        <v>841</v>
      </c>
      <c r="D219" s="1" t="s">
        <v>842</v>
      </c>
      <c r="E219" s="1" t="s">
        <v>178</v>
      </c>
      <c r="F219" s="1">
        <v>45404</v>
      </c>
      <c r="G219" s="1">
        <v>45405</v>
      </c>
      <c r="H219" s="1">
        <v>45408</v>
      </c>
      <c r="I219" s="1" t="s">
        <v>82</v>
      </c>
      <c r="J219" s="1" t="s">
        <v>16</v>
      </c>
      <c r="K219" s="1" t="s">
        <v>20</v>
      </c>
      <c r="L219" s="1" t="s">
        <v>23</v>
      </c>
      <c r="M219" s="1" t="s">
        <v>47</v>
      </c>
      <c r="N219" s="1" t="s">
        <v>38</v>
      </c>
      <c r="O219" s="1" t="s">
        <v>39</v>
      </c>
      <c r="P219" s="1">
        <v>2</v>
      </c>
      <c r="Q219" s="1">
        <v>390</v>
      </c>
      <c r="R219" s="1">
        <v>468</v>
      </c>
      <c r="S219" s="1">
        <v>0.08</v>
      </c>
    </row>
    <row r="220" spans="1:19" x14ac:dyDescent="0.3">
      <c r="A220" s="1" t="s">
        <v>843</v>
      </c>
      <c r="B220" s="1" t="s">
        <v>844</v>
      </c>
      <c r="C220" s="1" t="s">
        <v>845</v>
      </c>
      <c r="D220" s="1" t="s">
        <v>846</v>
      </c>
      <c r="E220" s="1" t="s">
        <v>178</v>
      </c>
      <c r="F220" s="1">
        <v>45494</v>
      </c>
      <c r="G220" s="1">
        <v>45494</v>
      </c>
      <c r="H220" s="1">
        <v>45499</v>
      </c>
      <c r="I220" s="1" t="s">
        <v>72</v>
      </c>
      <c r="J220" s="1" t="s">
        <v>18</v>
      </c>
      <c r="K220" s="1" t="s">
        <v>19</v>
      </c>
      <c r="L220" s="1" t="s">
        <v>61</v>
      </c>
      <c r="M220" s="1" t="s">
        <v>47</v>
      </c>
      <c r="N220" s="1" t="s">
        <v>38</v>
      </c>
      <c r="O220" s="1" t="s">
        <v>39</v>
      </c>
      <c r="P220" s="1">
        <v>8</v>
      </c>
      <c r="Q220" s="1">
        <v>390</v>
      </c>
      <c r="R220" s="1">
        <v>468</v>
      </c>
      <c r="S220" s="1">
        <v>0.04</v>
      </c>
    </row>
    <row r="221" spans="1:19" x14ac:dyDescent="0.3">
      <c r="A221" s="1" t="s">
        <v>847</v>
      </c>
      <c r="B221" s="1" t="s">
        <v>125</v>
      </c>
      <c r="C221" s="1" t="s">
        <v>848</v>
      </c>
      <c r="D221" s="1" t="s">
        <v>849</v>
      </c>
      <c r="E221" s="1" t="s">
        <v>164</v>
      </c>
      <c r="F221" s="1">
        <v>45989</v>
      </c>
      <c r="G221" s="1">
        <v>45990</v>
      </c>
      <c r="H221" s="1">
        <v>45993</v>
      </c>
      <c r="I221" s="1" t="s">
        <v>82</v>
      </c>
      <c r="J221" s="1" t="s">
        <v>2</v>
      </c>
      <c r="K221" s="1" t="s">
        <v>19</v>
      </c>
      <c r="L221" s="1" t="s">
        <v>23</v>
      </c>
      <c r="M221" s="1" t="s">
        <v>43</v>
      </c>
      <c r="N221" s="1" t="s">
        <v>27</v>
      </c>
      <c r="O221" s="1" t="s">
        <v>31</v>
      </c>
      <c r="P221" s="1">
        <v>3</v>
      </c>
      <c r="Q221" s="1">
        <v>1630</v>
      </c>
      <c r="R221" s="1">
        <v>1744.1000000000001</v>
      </c>
      <c r="S221" s="1">
        <v>0.05</v>
      </c>
    </row>
    <row r="222" spans="1:19" x14ac:dyDescent="0.3">
      <c r="A222" s="1" t="s">
        <v>850</v>
      </c>
      <c r="B222" s="1" t="s">
        <v>851</v>
      </c>
      <c r="C222" s="1" t="s">
        <v>852</v>
      </c>
      <c r="D222" s="1" t="s">
        <v>853</v>
      </c>
      <c r="E222" s="1" t="s">
        <v>291</v>
      </c>
      <c r="F222" s="1">
        <v>45439</v>
      </c>
      <c r="G222" s="1">
        <v>45439</v>
      </c>
      <c r="H222" s="1">
        <v>45444</v>
      </c>
      <c r="I222" s="1" t="s">
        <v>72</v>
      </c>
      <c r="J222" s="1" t="s">
        <v>18</v>
      </c>
      <c r="K222" s="1" t="s">
        <v>21</v>
      </c>
      <c r="L222" s="1" t="s">
        <v>23</v>
      </c>
      <c r="M222" s="1" t="s">
        <v>57</v>
      </c>
      <c r="N222" s="1" t="s">
        <v>27</v>
      </c>
      <c r="O222" s="1" t="s">
        <v>58</v>
      </c>
      <c r="P222" s="1">
        <v>11</v>
      </c>
      <c r="Q222" s="1">
        <v>480</v>
      </c>
      <c r="R222" s="1">
        <v>513.6</v>
      </c>
      <c r="S222" s="1">
        <v>0.1</v>
      </c>
    </row>
    <row r="223" spans="1:19" x14ac:dyDescent="0.3">
      <c r="A223" s="1" t="s">
        <v>854</v>
      </c>
      <c r="B223" s="1" t="s">
        <v>824</v>
      </c>
      <c r="C223" s="1" t="s">
        <v>855</v>
      </c>
      <c r="D223" s="1" t="s">
        <v>856</v>
      </c>
      <c r="E223" s="1" t="s">
        <v>322</v>
      </c>
      <c r="F223" s="1">
        <v>45429</v>
      </c>
      <c r="G223" s="1">
        <v>45429</v>
      </c>
      <c r="H223" s="1">
        <v>45432</v>
      </c>
      <c r="I223" s="1" t="s">
        <v>72</v>
      </c>
      <c r="J223" s="1" t="s">
        <v>16</v>
      </c>
      <c r="K223" s="1" t="s">
        <v>19</v>
      </c>
      <c r="L223" s="1" t="s">
        <v>24</v>
      </c>
      <c r="M223" s="1" t="s">
        <v>26</v>
      </c>
      <c r="N223" s="1" t="s">
        <v>27</v>
      </c>
      <c r="O223" s="1" t="s">
        <v>28</v>
      </c>
      <c r="P223" s="1">
        <v>7</v>
      </c>
      <c r="Q223" s="1">
        <v>3330</v>
      </c>
      <c r="R223" s="1">
        <v>3629.7000000000003</v>
      </c>
      <c r="S223" s="1">
        <v>0</v>
      </c>
    </row>
    <row r="224" spans="1:19" x14ac:dyDescent="0.3">
      <c r="A224" s="1" t="s">
        <v>857</v>
      </c>
      <c r="B224" s="1" t="s">
        <v>230</v>
      </c>
      <c r="C224" s="1" t="s">
        <v>858</v>
      </c>
      <c r="D224" s="1" t="s">
        <v>859</v>
      </c>
      <c r="E224" s="1" t="s">
        <v>291</v>
      </c>
      <c r="F224" s="1">
        <v>45484</v>
      </c>
      <c r="G224" s="1">
        <v>45485</v>
      </c>
      <c r="H224" s="1">
        <v>45489</v>
      </c>
      <c r="I224" s="1" t="s">
        <v>82</v>
      </c>
      <c r="J224" s="1" t="s">
        <v>17</v>
      </c>
      <c r="K224" s="1" t="s">
        <v>19</v>
      </c>
      <c r="L224" s="1" t="s">
        <v>22</v>
      </c>
      <c r="M224" s="1" t="s">
        <v>57</v>
      </c>
      <c r="N224" s="1" t="s">
        <v>27</v>
      </c>
      <c r="O224" s="1" t="s">
        <v>58</v>
      </c>
      <c r="P224" s="1">
        <v>3</v>
      </c>
      <c r="Q224" s="1">
        <v>480</v>
      </c>
      <c r="R224" s="1">
        <v>513.6</v>
      </c>
      <c r="S224" s="1">
        <v>0.04</v>
      </c>
    </row>
    <row r="225" spans="1:19" x14ac:dyDescent="0.3">
      <c r="A225" s="1" t="s">
        <v>860</v>
      </c>
      <c r="B225" s="1" t="s">
        <v>490</v>
      </c>
      <c r="C225" s="1" t="s">
        <v>861</v>
      </c>
      <c r="D225" s="1" t="s">
        <v>302</v>
      </c>
      <c r="E225" s="1" t="s">
        <v>119</v>
      </c>
      <c r="F225" s="1">
        <v>45391</v>
      </c>
      <c r="G225" s="1">
        <v>45392</v>
      </c>
      <c r="H225" s="1">
        <v>45396</v>
      </c>
      <c r="I225" s="1" t="s">
        <v>72</v>
      </c>
      <c r="J225" s="1" t="s">
        <v>2</v>
      </c>
      <c r="K225" s="1" t="s">
        <v>20</v>
      </c>
      <c r="L225" s="1" t="s">
        <v>61</v>
      </c>
      <c r="M225" s="1" t="s">
        <v>37</v>
      </c>
      <c r="N225" s="1" t="s">
        <v>38</v>
      </c>
      <c r="O225" s="1" t="s">
        <v>39</v>
      </c>
      <c r="P225" s="1">
        <v>6</v>
      </c>
      <c r="Q225" s="1">
        <v>250</v>
      </c>
      <c r="R225" s="1">
        <v>270</v>
      </c>
      <c r="S225" s="1">
        <v>0.04</v>
      </c>
    </row>
    <row r="226" spans="1:19" x14ac:dyDescent="0.3">
      <c r="A226" s="1" t="s">
        <v>862</v>
      </c>
      <c r="B226" s="1" t="s">
        <v>863</v>
      </c>
      <c r="C226" s="1" t="s">
        <v>864</v>
      </c>
      <c r="D226" s="1" t="s">
        <v>865</v>
      </c>
      <c r="E226" s="1" t="s">
        <v>208</v>
      </c>
      <c r="F226" s="1">
        <v>45421</v>
      </c>
      <c r="G226" s="1">
        <v>45421</v>
      </c>
      <c r="H226" s="1">
        <v>45425</v>
      </c>
      <c r="I226" s="1" t="s">
        <v>72</v>
      </c>
      <c r="J226" s="1" t="s">
        <v>1</v>
      </c>
      <c r="K226" s="1" t="s">
        <v>20</v>
      </c>
      <c r="L226" s="1" t="s">
        <v>22</v>
      </c>
      <c r="M226" s="1" t="s">
        <v>50</v>
      </c>
      <c r="N226" s="1" t="s">
        <v>33</v>
      </c>
      <c r="O226" s="1" t="s">
        <v>36</v>
      </c>
      <c r="P226" s="1">
        <v>5</v>
      </c>
      <c r="Q226" s="1">
        <v>930</v>
      </c>
      <c r="R226" s="1">
        <v>1078.8</v>
      </c>
      <c r="S226" s="1">
        <v>0.03</v>
      </c>
    </row>
    <row r="227" spans="1:19" x14ac:dyDescent="0.3">
      <c r="A227" s="1" t="s">
        <v>866</v>
      </c>
      <c r="B227" s="1" t="s">
        <v>867</v>
      </c>
      <c r="C227" s="1" t="s">
        <v>868</v>
      </c>
      <c r="D227" s="1" t="s">
        <v>869</v>
      </c>
      <c r="E227" s="1" t="s">
        <v>81</v>
      </c>
      <c r="F227" s="1">
        <v>45554</v>
      </c>
      <c r="G227" s="1">
        <v>45554</v>
      </c>
      <c r="H227" s="1">
        <v>45556</v>
      </c>
      <c r="I227" s="1" t="s">
        <v>72</v>
      </c>
      <c r="J227" s="1" t="s">
        <v>2</v>
      </c>
      <c r="K227" s="1" t="s">
        <v>19</v>
      </c>
      <c r="L227" s="1" t="s">
        <v>25</v>
      </c>
      <c r="M227" s="1" t="s">
        <v>59</v>
      </c>
      <c r="N227" s="1" t="s">
        <v>27</v>
      </c>
      <c r="O227" s="1" t="s">
        <v>60</v>
      </c>
      <c r="P227" s="1">
        <v>7</v>
      </c>
      <c r="Q227" s="1">
        <v>1230</v>
      </c>
      <c r="R227" s="1">
        <v>1328.4</v>
      </c>
      <c r="S227" s="1">
        <v>7.0000000000000007E-2</v>
      </c>
    </row>
    <row r="228" spans="1:19" x14ac:dyDescent="0.3">
      <c r="A228" s="1" t="s">
        <v>870</v>
      </c>
      <c r="B228" s="1" t="s">
        <v>820</v>
      </c>
      <c r="C228" s="1" t="s">
        <v>871</v>
      </c>
      <c r="D228" s="1" t="s">
        <v>872</v>
      </c>
      <c r="E228" s="1" t="s">
        <v>164</v>
      </c>
      <c r="F228" s="1">
        <v>45851</v>
      </c>
      <c r="G228" s="1">
        <v>45852</v>
      </c>
      <c r="H228" s="1">
        <v>45853</v>
      </c>
      <c r="I228" s="1" t="s">
        <v>72</v>
      </c>
      <c r="J228" s="1" t="s">
        <v>2</v>
      </c>
      <c r="K228" s="1" t="s">
        <v>19</v>
      </c>
      <c r="L228" s="1" t="s">
        <v>22</v>
      </c>
      <c r="M228" s="1" t="s">
        <v>43</v>
      </c>
      <c r="N228" s="1" t="s">
        <v>27</v>
      </c>
      <c r="O228" s="1" t="s">
        <v>31</v>
      </c>
      <c r="P228" s="1">
        <v>10</v>
      </c>
      <c r="Q228" s="1">
        <v>1630</v>
      </c>
      <c r="R228" s="1">
        <v>1744.1000000000001</v>
      </c>
      <c r="S228" s="1">
        <v>0.08</v>
      </c>
    </row>
    <row r="229" spans="1:19" x14ac:dyDescent="0.3">
      <c r="A229" s="1" t="s">
        <v>873</v>
      </c>
      <c r="B229" s="1" t="s">
        <v>435</v>
      </c>
      <c r="C229" s="1" t="s">
        <v>874</v>
      </c>
      <c r="D229" s="1" t="s">
        <v>875</v>
      </c>
      <c r="E229" s="1" t="s">
        <v>208</v>
      </c>
      <c r="F229" s="1">
        <v>45783</v>
      </c>
      <c r="G229" s="1">
        <v>45784</v>
      </c>
      <c r="H229" s="1">
        <v>45785</v>
      </c>
      <c r="I229" s="1" t="s">
        <v>72</v>
      </c>
      <c r="J229" s="1" t="s">
        <v>18</v>
      </c>
      <c r="K229" s="1" t="s">
        <v>20</v>
      </c>
      <c r="L229" s="1" t="s">
        <v>23</v>
      </c>
      <c r="M229" s="1" t="s">
        <v>50</v>
      </c>
      <c r="N229" s="1" t="s">
        <v>33</v>
      </c>
      <c r="O229" s="1" t="s">
        <v>36</v>
      </c>
      <c r="P229" s="1">
        <v>6</v>
      </c>
      <c r="Q229" s="1">
        <v>930</v>
      </c>
      <c r="R229" s="1">
        <v>1078.8</v>
      </c>
      <c r="S229" s="1">
        <v>0.09</v>
      </c>
    </row>
    <row r="230" spans="1:19" x14ac:dyDescent="0.3">
      <c r="A230" s="1" t="s">
        <v>876</v>
      </c>
      <c r="B230" s="1" t="s">
        <v>877</v>
      </c>
      <c r="C230" s="1" t="s">
        <v>878</v>
      </c>
      <c r="D230" s="1" t="s">
        <v>879</v>
      </c>
      <c r="E230" s="1" t="s">
        <v>95</v>
      </c>
      <c r="F230" s="1">
        <v>46019</v>
      </c>
      <c r="G230" s="1">
        <v>46019</v>
      </c>
      <c r="H230" s="1">
        <v>46022</v>
      </c>
      <c r="I230" s="1" t="s">
        <v>82</v>
      </c>
      <c r="J230" s="1" t="s">
        <v>17</v>
      </c>
      <c r="K230" s="1" t="s">
        <v>20</v>
      </c>
      <c r="L230" s="1" t="s">
        <v>22</v>
      </c>
      <c r="M230" s="1" t="s">
        <v>49</v>
      </c>
      <c r="N230" s="1" t="s">
        <v>33</v>
      </c>
      <c r="O230" s="1" t="s">
        <v>34</v>
      </c>
      <c r="P230" s="1">
        <v>4</v>
      </c>
      <c r="Q230" s="1">
        <v>1080</v>
      </c>
      <c r="R230" s="1">
        <v>1112.4000000000001</v>
      </c>
      <c r="S230" s="1">
        <v>7.0000000000000007E-2</v>
      </c>
    </row>
    <row r="231" spans="1:19" x14ac:dyDescent="0.3">
      <c r="A231" s="1" t="s">
        <v>880</v>
      </c>
      <c r="B231" s="1" t="s">
        <v>709</v>
      </c>
      <c r="C231" s="1" t="s">
        <v>881</v>
      </c>
      <c r="D231" s="1" t="s">
        <v>882</v>
      </c>
      <c r="E231" s="1" t="s">
        <v>187</v>
      </c>
      <c r="F231" s="1">
        <v>46180</v>
      </c>
      <c r="G231" s="1">
        <v>46181</v>
      </c>
      <c r="H231" s="1">
        <v>46184</v>
      </c>
      <c r="I231" s="1" t="s">
        <v>72</v>
      </c>
      <c r="J231" s="1" t="s">
        <v>17</v>
      </c>
      <c r="K231" s="1" t="s">
        <v>19</v>
      </c>
      <c r="L231" s="1" t="s">
        <v>61</v>
      </c>
      <c r="M231" s="1" t="s">
        <v>40</v>
      </c>
      <c r="N231" s="1" t="s">
        <v>38</v>
      </c>
      <c r="O231" s="1" t="s">
        <v>41</v>
      </c>
      <c r="P231" s="1">
        <v>8</v>
      </c>
      <c r="Q231" s="1">
        <v>170</v>
      </c>
      <c r="R231" s="1">
        <v>188.70000000000002</v>
      </c>
      <c r="S231" s="1">
        <v>0.06</v>
      </c>
    </row>
    <row r="232" spans="1:19" x14ac:dyDescent="0.3">
      <c r="A232" s="1" t="s">
        <v>883</v>
      </c>
      <c r="B232" s="1" t="s">
        <v>863</v>
      </c>
      <c r="C232" s="1" t="s">
        <v>884</v>
      </c>
      <c r="D232" s="1" t="s">
        <v>885</v>
      </c>
      <c r="E232" s="1" t="s">
        <v>100</v>
      </c>
      <c r="F232" s="1">
        <v>45882</v>
      </c>
      <c r="G232" s="1">
        <v>45883</v>
      </c>
      <c r="H232" s="1">
        <v>45886</v>
      </c>
      <c r="I232" s="1" t="s">
        <v>72</v>
      </c>
      <c r="J232" s="1" t="s">
        <v>2</v>
      </c>
      <c r="K232" s="1" t="s">
        <v>21</v>
      </c>
      <c r="L232" s="1" t="s">
        <v>25</v>
      </c>
      <c r="M232" s="1" t="s">
        <v>42</v>
      </c>
      <c r="N232" s="1" t="s">
        <v>27</v>
      </c>
      <c r="O232" s="1" t="s">
        <v>28</v>
      </c>
      <c r="P232" s="1">
        <v>10</v>
      </c>
      <c r="Q232" s="1">
        <v>3030</v>
      </c>
      <c r="R232" s="1">
        <v>3211.8</v>
      </c>
      <c r="S232" s="1">
        <v>0.09</v>
      </c>
    </row>
    <row r="233" spans="1:19" x14ac:dyDescent="0.3">
      <c r="A233" s="1" t="s">
        <v>886</v>
      </c>
      <c r="B233" s="1" t="s">
        <v>252</v>
      </c>
      <c r="C233" s="1" t="s">
        <v>887</v>
      </c>
      <c r="D233" s="1" t="s">
        <v>888</v>
      </c>
      <c r="E233" s="1" t="s">
        <v>192</v>
      </c>
      <c r="F233" s="1">
        <v>45547</v>
      </c>
      <c r="G233" s="1">
        <v>45548</v>
      </c>
      <c r="H233" s="1">
        <v>45552</v>
      </c>
      <c r="I233" s="1" t="s">
        <v>72</v>
      </c>
      <c r="J233" s="1" t="s">
        <v>16</v>
      </c>
      <c r="K233" s="1" t="s">
        <v>20</v>
      </c>
      <c r="L233" s="1" t="s">
        <v>24</v>
      </c>
      <c r="M233" s="1" t="s">
        <v>46</v>
      </c>
      <c r="N233" s="1" t="s">
        <v>38</v>
      </c>
      <c r="O233" s="1" t="s">
        <v>45</v>
      </c>
      <c r="P233" s="1">
        <v>5</v>
      </c>
      <c r="Q233" s="1">
        <v>350</v>
      </c>
      <c r="R233" s="1">
        <v>364</v>
      </c>
      <c r="S233" s="1">
        <v>0.01</v>
      </c>
    </row>
    <row r="234" spans="1:19" x14ac:dyDescent="0.3">
      <c r="A234" s="1" t="s">
        <v>889</v>
      </c>
      <c r="B234" s="1" t="s">
        <v>214</v>
      </c>
      <c r="C234" s="1" t="s">
        <v>890</v>
      </c>
      <c r="D234" s="1" t="s">
        <v>787</v>
      </c>
      <c r="E234" s="1" t="s">
        <v>173</v>
      </c>
      <c r="F234" s="1">
        <v>45413</v>
      </c>
      <c r="G234" s="1">
        <v>45414</v>
      </c>
      <c r="H234" s="1">
        <v>45415</v>
      </c>
      <c r="I234" s="1" t="s">
        <v>82</v>
      </c>
      <c r="J234" s="1" t="s">
        <v>18</v>
      </c>
      <c r="K234" s="1" t="s">
        <v>20</v>
      </c>
      <c r="L234" s="1" t="s">
        <v>22</v>
      </c>
      <c r="M234" s="1" t="s">
        <v>48</v>
      </c>
      <c r="N234" s="1" t="s">
        <v>38</v>
      </c>
      <c r="O234" s="1" t="s">
        <v>41</v>
      </c>
      <c r="P234" s="1">
        <v>3</v>
      </c>
      <c r="Q234" s="1">
        <v>580</v>
      </c>
      <c r="R234" s="1">
        <v>667</v>
      </c>
      <c r="S234" s="1">
        <v>0.04</v>
      </c>
    </row>
    <row r="235" spans="1:19" x14ac:dyDescent="0.3">
      <c r="A235" s="1" t="s">
        <v>891</v>
      </c>
      <c r="B235" s="1" t="s">
        <v>542</v>
      </c>
      <c r="C235" s="1" t="s">
        <v>892</v>
      </c>
      <c r="D235" s="1" t="s">
        <v>893</v>
      </c>
      <c r="E235" s="1" t="s">
        <v>132</v>
      </c>
      <c r="F235" s="1">
        <v>45662</v>
      </c>
      <c r="G235" s="1">
        <v>45662</v>
      </c>
      <c r="H235" s="1">
        <v>45667</v>
      </c>
      <c r="I235" s="1" t="s">
        <v>72</v>
      </c>
      <c r="J235" s="1" t="s">
        <v>1</v>
      </c>
      <c r="K235" s="1" t="s">
        <v>19</v>
      </c>
      <c r="L235" s="1" t="s">
        <v>61</v>
      </c>
      <c r="M235" s="1" t="s">
        <v>53</v>
      </c>
      <c r="N235" s="1" t="s">
        <v>27</v>
      </c>
      <c r="O235" s="1" t="s">
        <v>54</v>
      </c>
      <c r="P235" s="1">
        <v>8</v>
      </c>
      <c r="Q235" s="1">
        <v>430</v>
      </c>
      <c r="R235" s="1">
        <v>455.8</v>
      </c>
      <c r="S235" s="1">
        <v>0.1</v>
      </c>
    </row>
    <row r="236" spans="1:19" x14ac:dyDescent="0.3">
      <c r="A236" s="1" t="s">
        <v>894</v>
      </c>
      <c r="B236" s="1" t="s">
        <v>293</v>
      </c>
      <c r="C236" s="1" t="s">
        <v>895</v>
      </c>
      <c r="D236" s="1" t="s">
        <v>896</v>
      </c>
      <c r="E236" s="1" t="s">
        <v>208</v>
      </c>
      <c r="F236" s="1">
        <v>45710</v>
      </c>
      <c r="G236" s="1">
        <v>45711</v>
      </c>
      <c r="H236" s="1">
        <v>45715</v>
      </c>
      <c r="I236" s="1" t="s">
        <v>82</v>
      </c>
      <c r="J236" s="1" t="s">
        <v>17</v>
      </c>
      <c r="K236" s="1" t="s">
        <v>19</v>
      </c>
      <c r="L236" s="1" t="s">
        <v>22</v>
      </c>
      <c r="M236" s="1" t="s">
        <v>50</v>
      </c>
      <c r="N236" s="1" t="s">
        <v>33</v>
      </c>
      <c r="O236" s="1" t="s">
        <v>36</v>
      </c>
      <c r="P236" s="1">
        <v>4</v>
      </c>
      <c r="Q236" s="1">
        <v>930</v>
      </c>
      <c r="R236" s="1">
        <v>1078.8</v>
      </c>
      <c r="S236" s="1">
        <v>0.06</v>
      </c>
    </row>
    <row r="237" spans="1:19" x14ac:dyDescent="0.3">
      <c r="A237" s="1" t="s">
        <v>897</v>
      </c>
      <c r="B237" s="1" t="s">
        <v>898</v>
      </c>
      <c r="C237" s="1" t="s">
        <v>899</v>
      </c>
      <c r="D237" s="1" t="s">
        <v>900</v>
      </c>
      <c r="E237" s="1" t="s">
        <v>95</v>
      </c>
      <c r="F237" s="1">
        <v>45644</v>
      </c>
      <c r="G237" s="1">
        <v>45644</v>
      </c>
      <c r="H237" s="1">
        <v>45649</v>
      </c>
      <c r="I237" s="1" t="s">
        <v>72</v>
      </c>
      <c r="J237" s="1" t="s">
        <v>18</v>
      </c>
      <c r="K237" s="1" t="s">
        <v>20</v>
      </c>
      <c r="L237" s="1" t="s">
        <v>23</v>
      </c>
      <c r="M237" s="1" t="s">
        <v>49</v>
      </c>
      <c r="N237" s="1" t="s">
        <v>33</v>
      </c>
      <c r="O237" s="1" t="s">
        <v>34</v>
      </c>
      <c r="P237" s="1">
        <v>10</v>
      </c>
      <c r="Q237" s="1">
        <v>1080</v>
      </c>
      <c r="R237" s="1">
        <v>1112.4000000000001</v>
      </c>
      <c r="S237" s="1">
        <v>0.03</v>
      </c>
    </row>
    <row r="238" spans="1:19" x14ac:dyDescent="0.3">
      <c r="A238" s="1" t="s">
        <v>901</v>
      </c>
      <c r="B238" s="1" t="s">
        <v>902</v>
      </c>
      <c r="C238" s="1" t="s">
        <v>903</v>
      </c>
      <c r="D238" s="1" t="s">
        <v>808</v>
      </c>
      <c r="E238" s="1" t="s">
        <v>178</v>
      </c>
      <c r="F238" s="1">
        <v>45771</v>
      </c>
      <c r="G238" s="1">
        <v>45771</v>
      </c>
      <c r="H238" s="1">
        <v>45776</v>
      </c>
      <c r="I238" s="1" t="s">
        <v>72</v>
      </c>
      <c r="J238" s="1" t="s">
        <v>17</v>
      </c>
      <c r="K238" s="1" t="s">
        <v>19</v>
      </c>
      <c r="L238" s="1" t="s">
        <v>61</v>
      </c>
      <c r="M238" s="1" t="s">
        <v>47</v>
      </c>
      <c r="N238" s="1" t="s">
        <v>38</v>
      </c>
      <c r="O238" s="1" t="s">
        <v>39</v>
      </c>
      <c r="P238" s="1">
        <v>9</v>
      </c>
      <c r="Q238" s="1">
        <v>390</v>
      </c>
      <c r="R238" s="1">
        <v>468</v>
      </c>
      <c r="S238" s="1">
        <v>0.09</v>
      </c>
    </row>
    <row r="239" spans="1:19" x14ac:dyDescent="0.3">
      <c r="A239" s="1" t="s">
        <v>904</v>
      </c>
      <c r="B239" s="1" t="s">
        <v>905</v>
      </c>
      <c r="C239" s="1" t="s">
        <v>906</v>
      </c>
      <c r="D239" s="1" t="s">
        <v>907</v>
      </c>
      <c r="E239" s="1" t="s">
        <v>81</v>
      </c>
      <c r="F239" s="1">
        <v>46157</v>
      </c>
      <c r="G239" s="1">
        <v>46157</v>
      </c>
      <c r="H239" s="1">
        <v>46161</v>
      </c>
      <c r="I239" s="1" t="s">
        <v>72</v>
      </c>
      <c r="J239" s="1" t="s">
        <v>16</v>
      </c>
      <c r="K239" s="1" t="s">
        <v>21</v>
      </c>
      <c r="L239" s="1" t="s">
        <v>23</v>
      </c>
      <c r="M239" s="1" t="s">
        <v>59</v>
      </c>
      <c r="N239" s="1" t="s">
        <v>27</v>
      </c>
      <c r="O239" s="1" t="s">
        <v>60</v>
      </c>
      <c r="P239" s="1">
        <v>10</v>
      </c>
      <c r="Q239" s="1">
        <v>1230</v>
      </c>
      <c r="R239" s="1">
        <v>1328.4</v>
      </c>
      <c r="S239" s="1">
        <v>0.01</v>
      </c>
    </row>
    <row r="240" spans="1:19" x14ac:dyDescent="0.3">
      <c r="A240" s="1" t="s">
        <v>908</v>
      </c>
      <c r="B240" s="1" t="s">
        <v>377</v>
      </c>
      <c r="C240" s="1" t="s">
        <v>909</v>
      </c>
      <c r="D240" s="1" t="s">
        <v>145</v>
      </c>
      <c r="E240" s="1" t="s">
        <v>87</v>
      </c>
      <c r="F240" s="1">
        <v>45295</v>
      </c>
      <c r="G240" s="1">
        <v>45295</v>
      </c>
      <c r="H240" s="1">
        <v>45299</v>
      </c>
      <c r="I240" s="1" t="s">
        <v>72</v>
      </c>
      <c r="J240" s="1" t="s">
        <v>18</v>
      </c>
      <c r="K240" s="1" t="s">
        <v>21</v>
      </c>
      <c r="L240" s="1" t="s">
        <v>24</v>
      </c>
      <c r="M240" s="1" t="s">
        <v>30</v>
      </c>
      <c r="N240" s="1" t="s">
        <v>27</v>
      </c>
      <c r="O240" s="1" t="s">
        <v>31</v>
      </c>
      <c r="P240" s="1">
        <v>8</v>
      </c>
      <c r="Q240" s="1">
        <v>1030</v>
      </c>
      <c r="R240" s="1">
        <v>1174.2</v>
      </c>
      <c r="S240" s="1">
        <v>0.06</v>
      </c>
    </row>
    <row r="241" spans="1:19" x14ac:dyDescent="0.3">
      <c r="A241" s="1" t="s">
        <v>910</v>
      </c>
      <c r="B241" s="1" t="s">
        <v>911</v>
      </c>
      <c r="C241" s="1" t="s">
        <v>912</v>
      </c>
      <c r="D241" s="1" t="s">
        <v>913</v>
      </c>
      <c r="E241" s="1" t="s">
        <v>322</v>
      </c>
      <c r="F241" s="1">
        <v>45869</v>
      </c>
      <c r="G241" s="1">
        <v>45869</v>
      </c>
      <c r="H241" s="1">
        <v>45874</v>
      </c>
      <c r="I241" s="1" t="s">
        <v>82</v>
      </c>
      <c r="J241" s="1" t="s">
        <v>17</v>
      </c>
      <c r="K241" s="1" t="s">
        <v>20</v>
      </c>
      <c r="L241" s="1" t="s">
        <v>22</v>
      </c>
      <c r="M241" s="1" t="s">
        <v>26</v>
      </c>
      <c r="N241" s="1" t="s">
        <v>27</v>
      </c>
      <c r="O241" s="1" t="s">
        <v>28</v>
      </c>
      <c r="P241" s="1">
        <v>1</v>
      </c>
      <c r="Q241" s="1">
        <v>3330</v>
      </c>
      <c r="R241" s="1">
        <v>3629.7000000000003</v>
      </c>
      <c r="S241" s="1">
        <v>0</v>
      </c>
    </row>
    <row r="242" spans="1:19" x14ac:dyDescent="0.3">
      <c r="A242" s="1" t="s">
        <v>914</v>
      </c>
      <c r="B242" s="1" t="s">
        <v>915</v>
      </c>
      <c r="C242" s="1" t="s">
        <v>916</v>
      </c>
      <c r="D242" s="1" t="s">
        <v>917</v>
      </c>
      <c r="E242" s="1" t="s">
        <v>81</v>
      </c>
      <c r="F242" s="1">
        <v>45435</v>
      </c>
      <c r="G242" s="1">
        <v>45436</v>
      </c>
      <c r="H242" s="1">
        <v>45438</v>
      </c>
      <c r="I242" s="1" t="s">
        <v>72</v>
      </c>
      <c r="J242" s="1" t="s">
        <v>18</v>
      </c>
      <c r="K242" s="1" t="s">
        <v>21</v>
      </c>
      <c r="L242" s="1" t="s">
        <v>25</v>
      </c>
      <c r="M242" s="1" t="s">
        <v>59</v>
      </c>
      <c r="N242" s="1" t="s">
        <v>27</v>
      </c>
      <c r="O242" s="1" t="s">
        <v>60</v>
      </c>
      <c r="P242" s="1">
        <v>9</v>
      </c>
      <c r="Q242" s="1">
        <v>1230</v>
      </c>
      <c r="R242" s="1">
        <v>1328.4</v>
      </c>
      <c r="S242" s="1">
        <v>0.09</v>
      </c>
    </row>
    <row r="243" spans="1:19" x14ac:dyDescent="0.3">
      <c r="A243" s="1" t="s">
        <v>918</v>
      </c>
      <c r="B243" s="1" t="s">
        <v>180</v>
      </c>
      <c r="C243" s="1" t="s">
        <v>919</v>
      </c>
      <c r="D243" s="1" t="s">
        <v>920</v>
      </c>
      <c r="E243" s="1" t="s">
        <v>187</v>
      </c>
      <c r="F243" s="1">
        <v>45691</v>
      </c>
      <c r="G243" s="1">
        <v>45691</v>
      </c>
      <c r="H243" s="1">
        <v>45695</v>
      </c>
      <c r="I243" s="1" t="s">
        <v>82</v>
      </c>
      <c r="J243" s="1" t="s">
        <v>1</v>
      </c>
      <c r="K243" s="1" t="s">
        <v>20</v>
      </c>
      <c r="L243" s="1" t="s">
        <v>61</v>
      </c>
      <c r="M243" s="1" t="s">
        <v>40</v>
      </c>
      <c r="N243" s="1" t="s">
        <v>38</v>
      </c>
      <c r="O243" s="1" t="s">
        <v>41</v>
      </c>
      <c r="P243" s="1">
        <v>1</v>
      </c>
      <c r="Q243" s="1">
        <v>170</v>
      </c>
      <c r="R243" s="1">
        <v>188.70000000000002</v>
      </c>
      <c r="S243" s="1">
        <v>0.02</v>
      </c>
    </row>
    <row r="244" spans="1:19" x14ac:dyDescent="0.3">
      <c r="A244" s="1" t="s">
        <v>921</v>
      </c>
      <c r="B244" s="1" t="s">
        <v>508</v>
      </c>
      <c r="C244" s="1" t="s">
        <v>922</v>
      </c>
      <c r="D244" s="1" t="s">
        <v>923</v>
      </c>
      <c r="E244" s="1" t="s">
        <v>141</v>
      </c>
      <c r="F244" s="1">
        <v>45547</v>
      </c>
      <c r="G244" s="1">
        <v>45547</v>
      </c>
      <c r="H244" s="1">
        <v>45550</v>
      </c>
      <c r="I244" s="1" t="s">
        <v>82</v>
      </c>
      <c r="J244" s="1" t="s">
        <v>1</v>
      </c>
      <c r="K244" s="1" t="s">
        <v>20</v>
      </c>
      <c r="L244" s="1" t="s">
        <v>25</v>
      </c>
      <c r="M244" s="1" t="s">
        <v>35</v>
      </c>
      <c r="N244" s="1" t="s">
        <v>33</v>
      </c>
      <c r="O244" s="1" t="s">
        <v>36</v>
      </c>
      <c r="P244" s="1">
        <v>3</v>
      </c>
      <c r="Q244" s="1">
        <v>1530</v>
      </c>
      <c r="R244" s="1">
        <v>1790.1</v>
      </c>
      <c r="S244" s="1">
        <v>0.09</v>
      </c>
    </row>
    <row r="245" spans="1:19" x14ac:dyDescent="0.3">
      <c r="A245" s="1" t="s">
        <v>924</v>
      </c>
      <c r="B245" s="1" t="s">
        <v>925</v>
      </c>
      <c r="C245" s="1" t="s">
        <v>926</v>
      </c>
      <c r="D245" s="1" t="s">
        <v>927</v>
      </c>
      <c r="E245" s="1" t="s">
        <v>95</v>
      </c>
      <c r="F245" s="1">
        <v>45816</v>
      </c>
      <c r="G245" s="1">
        <v>45817</v>
      </c>
      <c r="H245" s="1">
        <v>45821</v>
      </c>
      <c r="I245" s="1" t="s">
        <v>82</v>
      </c>
      <c r="J245" s="1" t="s">
        <v>1</v>
      </c>
      <c r="K245" s="1" t="s">
        <v>20</v>
      </c>
      <c r="L245" s="1" t="s">
        <v>22</v>
      </c>
      <c r="M245" s="1" t="s">
        <v>49</v>
      </c>
      <c r="N245" s="1" t="s">
        <v>33</v>
      </c>
      <c r="O245" s="1" t="s">
        <v>34</v>
      </c>
      <c r="P245" s="1">
        <v>2</v>
      </c>
      <c r="Q245" s="1">
        <v>1080</v>
      </c>
      <c r="R245" s="1">
        <v>1112.4000000000001</v>
      </c>
      <c r="S245" s="1">
        <v>0.01</v>
      </c>
    </row>
    <row r="246" spans="1:19" x14ac:dyDescent="0.3">
      <c r="A246" s="1" t="s">
        <v>928</v>
      </c>
      <c r="B246" s="1" t="s">
        <v>929</v>
      </c>
      <c r="C246" s="1" t="s">
        <v>930</v>
      </c>
      <c r="D246" s="1" t="s">
        <v>931</v>
      </c>
      <c r="E246" s="1" t="s">
        <v>114</v>
      </c>
      <c r="F246" s="1">
        <v>45479</v>
      </c>
      <c r="G246" s="1">
        <v>45480</v>
      </c>
      <c r="H246" s="1">
        <v>45483</v>
      </c>
      <c r="I246" s="1" t="s">
        <v>72</v>
      </c>
      <c r="J246" s="1" t="s">
        <v>16</v>
      </c>
      <c r="K246" s="1" t="s">
        <v>20</v>
      </c>
      <c r="L246" s="1" t="s">
        <v>61</v>
      </c>
      <c r="M246" s="1" t="s">
        <v>51</v>
      </c>
      <c r="N246" s="1" t="s">
        <v>33</v>
      </c>
      <c r="O246" s="1" t="s">
        <v>52</v>
      </c>
      <c r="P246" s="1">
        <v>7</v>
      </c>
      <c r="Q246" s="1">
        <v>280</v>
      </c>
      <c r="R246" s="1">
        <v>336</v>
      </c>
      <c r="S246" s="1">
        <v>0.08</v>
      </c>
    </row>
    <row r="247" spans="1:19" x14ac:dyDescent="0.3">
      <c r="A247" s="1" t="s">
        <v>932</v>
      </c>
      <c r="B247" s="1" t="s">
        <v>933</v>
      </c>
      <c r="C247" s="1" t="s">
        <v>934</v>
      </c>
      <c r="D247" s="1" t="s">
        <v>935</v>
      </c>
      <c r="E247" s="1" t="s">
        <v>164</v>
      </c>
      <c r="F247" s="1">
        <v>46149</v>
      </c>
      <c r="G247" s="1">
        <v>46150</v>
      </c>
      <c r="H247" s="1">
        <v>46154</v>
      </c>
      <c r="I247" s="1" t="s">
        <v>82</v>
      </c>
      <c r="J247" s="1" t="s">
        <v>16</v>
      </c>
      <c r="K247" s="1" t="s">
        <v>19</v>
      </c>
      <c r="L247" s="1" t="s">
        <v>22</v>
      </c>
      <c r="M247" s="1" t="s">
        <v>43</v>
      </c>
      <c r="N247" s="1" t="s">
        <v>27</v>
      </c>
      <c r="O247" s="1" t="s">
        <v>31</v>
      </c>
      <c r="P247" s="1">
        <v>4</v>
      </c>
      <c r="Q247" s="1">
        <v>1630</v>
      </c>
      <c r="R247" s="1">
        <v>1744.1000000000001</v>
      </c>
      <c r="S247" s="1">
        <v>0.08</v>
      </c>
    </row>
    <row r="248" spans="1:19" x14ac:dyDescent="0.3">
      <c r="A248" s="1" t="s">
        <v>936</v>
      </c>
      <c r="B248" s="1" t="s">
        <v>166</v>
      </c>
      <c r="C248" s="1" t="s">
        <v>937</v>
      </c>
      <c r="D248" s="1" t="s">
        <v>938</v>
      </c>
      <c r="E248" s="1" t="s">
        <v>141</v>
      </c>
      <c r="F248" s="1">
        <v>46069</v>
      </c>
      <c r="G248" s="1">
        <v>46069</v>
      </c>
      <c r="H248" s="1">
        <v>46071</v>
      </c>
      <c r="I248" s="1" t="s">
        <v>72</v>
      </c>
      <c r="J248" s="1" t="s">
        <v>17</v>
      </c>
      <c r="K248" s="1" t="s">
        <v>21</v>
      </c>
      <c r="L248" s="1" t="s">
        <v>23</v>
      </c>
      <c r="M248" s="1" t="s">
        <v>35</v>
      </c>
      <c r="N248" s="1" t="s">
        <v>33</v>
      </c>
      <c r="O248" s="1" t="s">
        <v>36</v>
      </c>
      <c r="P248" s="1">
        <v>11</v>
      </c>
      <c r="Q248" s="1">
        <v>1530</v>
      </c>
      <c r="R248" s="1">
        <v>1790.1</v>
      </c>
      <c r="S248" s="1">
        <v>7.0000000000000007E-2</v>
      </c>
    </row>
    <row r="249" spans="1:19" x14ac:dyDescent="0.3">
      <c r="A249" s="1" t="s">
        <v>939</v>
      </c>
      <c r="B249" s="1" t="s">
        <v>230</v>
      </c>
      <c r="C249" s="1" t="s">
        <v>940</v>
      </c>
      <c r="D249" s="1" t="s">
        <v>941</v>
      </c>
      <c r="E249" s="1" t="s">
        <v>192</v>
      </c>
      <c r="F249" s="1">
        <v>45846</v>
      </c>
      <c r="G249" s="1">
        <v>45846</v>
      </c>
      <c r="H249" s="1">
        <v>45849</v>
      </c>
      <c r="I249" s="1" t="s">
        <v>82</v>
      </c>
      <c r="J249" s="1" t="s">
        <v>16</v>
      </c>
      <c r="K249" s="1" t="s">
        <v>19</v>
      </c>
      <c r="L249" s="1" t="s">
        <v>23</v>
      </c>
      <c r="M249" s="1" t="s">
        <v>46</v>
      </c>
      <c r="N249" s="1" t="s">
        <v>38</v>
      </c>
      <c r="O249" s="1" t="s">
        <v>45</v>
      </c>
      <c r="P249" s="1">
        <v>4</v>
      </c>
      <c r="Q249" s="1">
        <v>350</v>
      </c>
      <c r="R249" s="1">
        <v>364</v>
      </c>
      <c r="S249" s="1">
        <v>0.1</v>
      </c>
    </row>
    <row r="250" spans="1:19" x14ac:dyDescent="0.3">
      <c r="A250" s="1" t="s">
        <v>942</v>
      </c>
      <c r="B250" s="1" t="s">
        <v>943</v>
      </c>
      <c r="C250" s="1" t="s">
        <v>944</v>
      </c>
      <c r="D250" s="1" t="s">
        <v>945</v>
      </c>
      <c r="E250" s="1" t="s">
        <v>178</v>
      </c>
      <c r="F250" s="1">
        <v>46053</v>
      </c>
      <c r="G250" s="1">
        <v>46053</v>
      </c>
      <c r="H250" s="1">
        <v>46055</v>
      </c>
      <c r="I250" s="1" t="s">
        <v>72</v>
      </c>
      <c r="J250" s="1" t="s">
        <v>2</v>
      </c>
      <c r="K250" s="1" t="s">
        <v>21</v>
      </c>
      <c r="L250" s="1" t="s">
        <v>23</v>
      </c>
      <c r="M250" s="1" t="s">
        <v>47</v>
      </c>
      <c r="N250" s="1" t="s">
        <v>38</v>
      </c>
      <c r="O250" s="1" t="s">
        <v>39</v>
      </c>
      <c r="P250" s="1">
        <v>15</v>
      </c>
      <c r="Q250" s="1">
        <v>390</v>
      </c>
      <c r="R250" s="1">
        <v>468</v>
      </c>
      <c r="S250" s="1">
        <v>0.08</v>
      </c>
    </row>
    <row r="251" spans="1:19" x14ac:dyDescent="0.3">
      <c r="A251" s="1" t="s">
        <v>946</v>
      </c>
      <c r="B251" s="1" t="s">
        <v>385</v>
      </c>
      <c r="C251" s="1" t="s">
        <v>947</v>
      </c>
      <c r="D251" s="1" t="s">
        <v>948</v>
      </c>
      <c r="E251" s="1" t="s">
        <v>81</v>
      </c>
      <c r="F251" s="1">
        <v>46157</v>
      </c>
      <c r="G251" s="1">
        <v>46157</v>
      </c>
      <c r="H251" s="1">
        <v>46159</v>
      </c>
      <c r="I251" s="1" t="s">
        <v>72</v>
      </c>
      <c r="J251" s="1" t="s">
        <v>2</v>
      </c>
      <c r="K251" s="1" t="s">
        <v>21</v>
      </c>
      <c r="L251" s="1" t="s">
        <v>61</v>
      </c>
      <c r="M251" s="1" t="s">
        <v>59</v>
      </c>
      <c r="N251" s="1" t="s">
        <v>27</v>
      </c>
      <c r="O251" s="1" t="s">
        <v>60</v>
      </c>
      <c r="P251" s="1">
        <v>8</v>
      </c>
      <c r="Q251" s="1">
        <v>1230</v>
      </c>
      <c r="R251" s="1">
        <v>1328.4</v>
      </c>
      <c r="S251" s="1">
        <v>0.04</v>
      </c>
    </row>
    <row r="255" spans="1:19" x14ac:dyDescent="0.3">
      <c r="A255" s="1" t="s">
        <v>949</v>
      </c>
      <c r="B255" s="1" t="s">
        <v>589</v>
      </c>
      <c r="C255" s="1" t="s">
        <v>950</v>
      </c>
      <c r="D255" s="1" t="s">
        <v>951</v>
      </c>
      <c r="E255" s="1" t="s">
        <v>109</v>
      </c>
      <c r="F255" s="1">
        <v>45691</v>
      </c>
      <c r="G255" s="1">
        <v>45692</v>
      </c>
      <c r="H255" s="1">
        <v>45694</v>
      </c>
      <c r="I255" s="1" t="s">
        <v>72</v>
      </c>
      <c r="J255" s="1" t="s">
        <v>1</v>
      </c>
      <c r="K255" s="1" t="s">
        <v>19</v>
      </c>
      <c r="L255" s="1" t="s">
        <v>24</v>
      </c>
      <c r="M255" s="1" t="s">
        <v>55</v>
      </c>
      <c r="N255" s="1" t="s">
        <v>27</v>
      </c>
      <c r="O255" s="1" t="s">
        <v>56</v>
      </c>
      <c r="P255" s="1">
        <v>10</v>
      </c>
      <c r="Q255" s="1">
        <v>650</v>
      </c>
      <c r="R255" s="1">
        <v>663</v>
      </c>
      <c r="S255" s="1">
        <v>0.05</v>
      </c>
    </row>
    <row r="256" spans="1:19" x14ac:dyDescent="0.3">
      <c r="A256" s="1" t="s">
        <v>952</v>
      </c>
      <c r="B256" s="1" t="s">
        <v>743</v>
      </c>
      <c r="C256" s="1" t="s">
        <v>953</v>
      </c>
      <c r="D256" s="1" t="s">
        <v>954</v>
      </c>
      <c r="E256" s="1" t="s">
        <v>119</v>
      </c>
      <c r="F256" s="1">
        <v>45820</v>
      </c>
      <c r="G256" s="1">
        <v>45820</v>
      </c>
      <c r="H256" s="1">
        <v>45823</v>
      </c>
      <c r="I256" s="1" t="s">
        <v>82</v>
      </c>
      <c r="J256" s="1" t="s">
        <v>2</v>
      </c>
      <c r="K256" s="1" t="s">
        <v>19</v>
      </c>
      <c r="L256" s="1" t="s">
        <v>24</v>
      </c>
      <c r="M256" s="1" t="s">
        <v>37</v>
      </c>
      <c r="N256" s="1" t="s">
        <v>38</v>
      </c>
      <c r="O256" s="1" t="s">
        <v>39</v>
      </c>
      <c r="P256" s="1">
        <v>2</v>
      </c>
      <c r="Q256" s="1">
        <v>250</v>
      </c>
      <c r="R256" s="1">
        <v>270</v>
      </c>
      <c r="S256" s="1">
        <v>0.04</v>
      </c>
    </row>
    <row r="257" spans="1:19" x14ac:dyDescent="0.3">
      <c r="A257" s="1" t="s">
        <v>955</v>
      </c>
      <c r="B257" s="1" t="s">
        <v>877</v>
      </c>
      <c r="C257" s="1" t="s">
        <v>956</v>
      </c>
      <c r="D257" s="1" t="s">
        <v>957</v>
      </c>
      <c r="E257" s="1" t="s">
        <v>192</v>
      </c>
      <c r="F257" s="1">
        <v>45526</v>
      </c>
      <c r="G257" s="1">
        <v>45527</v>
      </c>
      <c r="H257" s="1">
        <v>45531</v>
      </c>
      <c r="I257" s="1" t="s">
        <v>72</v>
      </c>
      <c r="J257" s="1" t="s">
        <v>2</v>
      </c>
      <c r="K257" s="1" t="s">
        <v>21</v>
      </c>
      <c r="L257" s="1" t="s">
        <v>25</v>
      </c>
      <c r="M257" s="1" t="s">
        <v>46</v>
      </c>
      <c r="N257" s="1" t="s">
        <v>38</v>
      </c>
      <c r="O257" s="1" t="s">
        <v>45</v>
      </c>
      <c r="P257" s="1">
        <v>8</v>
      </c>
      <c r="Q257" s="1">
        <v>350</v>
      </c>
      <c r="R257" s="1">
        <v>364</v>
      </c>
      <c r="S257" s="1">
        <v>0.1</v>
      </c>
    </row>
    <row r="258" spans="1:19" x14ac:dyDescent="0.3">
      <c r="A258" s="1" t="s">
        <v>958</v>
      </c>
      <c r="B258" s="1" t="s">
        <v>442</v>
      </c>
      <c r="C258" s="1" t="s">
        <v>959</v>
      </c>
      <c r="D258" s="1" t="s">
        <v>960</v>
      </c>
      <c r="E258" s="1" t="s">
        <v>81</v>
      </c>
      <c r="F258" s="1">
        <v>45925</v>
      </c>
      <c r="G258" s="1">
        <v>45925</v>
      </c>
      <c r="H258" s="1">
        <v>45930</v>
      </c>
      <c r="I258" s="1" t="s">
        <v>72</v>
      </c>
      <c r="J258" s="1" t="s">
        <v>1</v>
      </c>
      <c r="K258" s="1" t="s">
        <v>21</v>
      </c>
      <c r="L258" s="1" t="s">
        <v>23</v>
      </c>
      <c r="M258" s="1" t="s">
        <v>59</v>
      </c>
      <c r="N258" s="1" t="s">
        <v>27</v>
      </c>
      <c r="O258" s="1" t="s">
        <v>60</v>
      </c>
      <c r="P258" s="1">
        <v>6</v>
      </c>
      <c r="Q258" s="1">
        <v>1230</v>
      </c>
      <c r="R258" s="1">
        <v>1328.4</v>
      </c>
      <c r="S258" s="1">
        <v>0.01</v>
      </c>
    </row>
    <row r="259" spans="1:19" x14ac:dyDescent="0.3">
      <c r="A259" s="1" t="s">
        <v>961</v>
      </c>
      <c r="B259" s="1" t="s">
        <v>943</v>
      </c>
      <c r="C259" s="1" t="s">
        <v>962</v>
      </c>
      <c r="D259" s="1" t="s">
        <v>963</v>
      </c>
      <c r="E259" s="1" t="s">
        <v>178</v>
      </c>
      <c r="F259" s="1">
        <v>45734</v>
      </c>
      <c r="G259" s="1">
        <v>45734</v>
      </c>
      <c r="H259" s="1">
        <v>45739</v>
      </c>
      <c r="I259" s="1" t="s">
        <v>72</v>
      </c>
      <c r="J259" s="1" t="s">
        <v>2</v>
      </c>
      <c r="K259" s="1" t="s">
        <v>20</v>
      </c>
      <c r="L259" s="1" t="s">
        <v>25</v>
      </c>
      <c r="M259" s="1" t="s">
        <v>47</v>
      </c>
      <c r="N259" s="1" t="s">
        <v>38</v>
      </c>
      <c r="O259" s="1" t="s">
        <v>39</v>
      </c>
      <c r="P259" s="1">
        <v>9</v>
      </c>
      <c r="Q259" s="1">
        <v>390</v>
      </c>
      <c r="R259" s="1">
        <v>468</v>
      </c>
      <c r="S259" s="1">
        <v>0.06</v>
      </c>
    </row>
    <row r="260" spans="1:19" x14ac:dyDescent="0.3">
      <c r="A260" s="1" t="s">
        <v>961</v>
      </c>
      <c r="B260" s="1" t="s">
        <v>943</v>
      </c>
      <c r="C260" s="1" t="s">
        <v>962</v>
      </c>
      <c r="D260" s="1" t="s">
        <v>963</v>
      </c>
      <c r="E260" s="1" t="s">
        <v>178</v>
      </c>
      <c r="F260" s="1">
        <v>45734</v>
      </c>
      <c r="G260" s="1">
        <v>45734</v>
      </c>
      <c r="H260" s="1">
        <v>45739</v>
      </c>
      <c r="I260" s="1" t="s">
        <v>72</v>
      </c>
      <c r="J260" s="1" t="s">
        <v>2</v>
      </c>
      <c r="K260" s="1" t="s">
        <v>20</v>
      </c>
      <c r="L260" s="1" t="s">
        <v>25</v>
      </c>
      <c r="M260" s="1" t="s">
        <v>47</v>
      </c>
      <c r="N260" s="1" t="s">
        <v>38</v>
      </c>
      <c r="O260" s="1" t="s">
        <v>39</v>
      </c>
      <c r="P260" s="1">
        <v>9</v>
      </c>
      <c r="Q260" s="1">
        <v>390</v>
      </c>
      <c r="R260" s="1">
        <v>468</v>
      </c>
      <c r="S260" s="1">
        <v>0.02</v>
      </c>
    </row>
    <row r="261" spans="1:19" x14ac:dyDescent="0.3">
      <c r="A261" s="1" t="s">
        <v>964</v>
      </c>
      <c r="B261" s="1" t="s">
        <v>660</v>
      </c>
      <c r="C261" s="1" t="s">
        <v>965</v>
      </c>
      <c r="D261" s="1" t="s">
        <v>966</v>
      </c>
      <c r="E261" s="1" t="s">
        <v>114</v>
      </c>
      <c r="F261" s="1">
        <v>45494</v>
      </c>
      <c r="G261" s="1">
        <v>45495</v>
      </c>
      <c r="H261" s="1">
        <v>45496</v>
      </c>
      <c r="I261" s="1" t="s">
        <v>72</v>
      </c>
      <c r="J261" s="1" t="s">
        <v>16</v>
      </c>
      <c r="K261" s="1" t="s">
        <v>21</v>
      </c>
      <c r="L261" s="1" t="s">
        <v>22</v>
      </c>
      <c r="M261" s="1" t="s">
        <v>51</v>
      </c>
      <c r="N261" s="1" t="s">
        <v>33</v>
      </c>
      <c r="O261" s="1" t="s">
        <v>52</v>
      </c>
      <c r="P261" s="1">
        <v>9</v>
      </c>
      <c r="Q261" s="1">
        <v>280</v>
      </c>
      <c r="R261" s="1">
        <v>336</v>
      </c>
      <c r="S261" s="1">
        <v>0.02</v>
      </c>
    </row>
    <row r="262" spans="1:19" x14ac:dyDescent="0.3">
      <c r="A262" s="1" t="s">
        <v>967</v>
      </c>
      <c r="B262" s="1" t="s">
        <v>84</v>
      </c>
      <c r="C262" s="1" t="s">
        <v>968</v>
      </c>
      <c r="D262" s="1" t="s">
        <v>969</v>
      </c>
      <c r="E262" s="1" t="s">
        <v>119</v>
      </c>
      <c r="F262" s="1">
        <v>45420</v>
      </c>
      <c r="G262" s="1">
        <v>45421</v>
      </c>
      <c r="H262" s="1">
        <v>45423</v>
      </c>
      <c r="I262" s="1" t="s">
        <v>82</v>
      </c>
      <c r="J262" s="1" t="s">
        <v>1</v>
      </c>
      <c r="K262" s="1" t="s">
        <v>20</v>
      </c>
      <c r="L262" s="1" t="s">
        <v>24</v>
      </c>
      <c r="M262" s="1" t="s">
        <v>37</v>
      </c>
      <c r="N262" s="1" t="s">
        <v>38</v>
      </c>
      <c r="O262" s="1" t="s">
        <v>39</v>
      </c>
      <c r="P262" s="1">
        <v>3</v>
      </c>
      <c r="Q262" s="1">
        <v>250</v>
      </c>
      <c r="R262" s="1">
        <v>270</v>
      </c>
      <c r="S262" s="1">
        <v>0.1</v>
      </c>
    </row>
    <row r="263" spans="1:19" x14ac:dyDescent="0.3">
      <c r="A263" s="1" t="s">
        <v>970</v>
      </c>
      <c r="B263" s="1" t="s">
        <v>971</v>
      </c>
      <c r="C263" s="1" t="s">
        <v>972</v>
      </c>
      <c r="D263" s="1" t="s">
        <v>973</v>
      </c>
      <c r="E263" s="1" t="s">
        <v>87</v>
      </c>
      <c r="F263" s="1">
        <v>46128</v>
      </c>
      <c r="G263" s="1">
        <v>46129</v>
      </c>
      <c r="H263" s="1">
        <v>46131</v>
      </c>
      <c r="I263" s="1" t="s">
        <v>72</v>
      </c>
      <c r="J263" s="1" t="s">
        <v>17</v>
      </c>
      <c r="K263" s="1" t="s">
        <v>19</v>
      </c>
      <c r="L263" s="1" t="s">
        <v>22</v>
      </c>
      <c r="M263" s="1" t="s">
        <v>30</v>
      </c>
      <c r="N263" s="1" t="s">
        <v>27</v>
      </c>
      <c r="O263" s="1" t="s">
        <v>31</v>
      </c>
      <c r="P263" s="1">
        <v>8</v>
      </c>
      <c r="Q263" s="1">
        <v>1030</v>
      </c>
      <c r="R263" s="1">
        <v>1174.2</v>
      </c>
      <c r="S263" s="1">
        <v>0.04</v>
      </c>
    </row>
    <row r="264" spans="1:19" x14ac:dyDescent="0.3">
      <c r="A264" s="1" t="s">
        <v>974</v>
      </c>
      <c r="B264" s="1" t="s">
        <v>975</v>
      </c>
      <c r="C264" s="1" t="s">
        <v>976</v>
      </c>
      <c r="D264" s="1" t="s">
        <v>977</v>
      </c>
      <c r="E264" s="1" t="s">
        <v>187</v>
      </c>
      <c r="F264" s="1">
        <v>45986</v>
      </c>
      <c r="G264" s="1">
        <v>45986</v>
      </c>
      <c r="H264" s="1">
        <v>45990</v>
      </c>
      <c r="I264" s="1" t="s">
        <v>72</v>
      </c>
      <c r="J264" s="1" t="s">
        <v>16</v>
      </c>
      <c r="K264" s="1" t="s">
        <v>21</v>
      </c>
      <c r="L264" s="1" t="s">
        <v>61</v>
      </c>
      <c r="M264" s="1" t="s">
        <v>40</v>
      </c>
      <c r="N264" s="1" t="s">
        <v>38</v>
      </c>
      <c r="O264" s="1" t="s">
        <v>41</v>
      </c>
      <c r="P264" s="1">
        <v>12</v>
      </c>
      <c r="Q264" s="1">
        <v>170</v>
      </c>
      <c r="R264" s="1">
        <v>188.70000000000002</v>
      </c>
      <c r="S264" s="1">
        <v>0.04</v>
      </c>
    </row>
    <row r="265" spans="1:19" x14ac:dyDescent="0.3">
      <c r="A265" s="1" t="s">
        <v>978</v>
      </c>
      <c r="B265" s="1" t="s">
        <v>979</v>
      </c>
      <c r="C265" s="1" t="s">
        <v>980</v>
      </c>
      <c r="D265" s="1" t="s">
        <v>981</v>
      </c>
      <c r="E265" s="1" t="s">
        <v>178</v>
      </c>
      <c r="F265" s="1">
        <v>45311</v>
      </c>
      <c r="G265" s="1">
        <v>45312</v>
      </c>
      <c r="H265" s="1">
        <v>45315</v>
      </c>
      <c r="I265" s="1" t="s">
        <v>72</v>
      </c>
      <c r="J265" s="1" t="s">
        <v>18</v>
      </c>
      <c r="K265" s="1" t="s">
        <v>21</v>
      </c>
      <c r="L265" s="1" t="s">
        <v>61</v>
      </c>
      <c r="M265" s="1" t="s">
        <v>47</v>
      </c>
      <c r="N265" s="1" t="s">
        <v>38</v>
      </c>
      <c r="O265" s="1" t="s">
        <v>39</v>
      </c>
      <c r="P265" s="1">
        <v>7</v>
      </c>
      <c r="Q265" s="1">
        <v>390</v>
      </c>
      <c r="R265" s="1">
        <v>468</v>
      </c>
      <c r="S265" s="1">
        <v>0.02</v>
      </c>
    </row>
    <row r="266" spans="1:19" x14ac:dyDescent="0.3">
      <c r="A266" s="1" t="s">
        <v>982</v>
      </c>
      <c r="B266" s="1" t="s">
        <v>983</v>
      </c>
      <c r="C266" s="1" t="s">
        <v>984</v>
      </c>
      <c r="D266" s="1" t="s">
        <v>985</v>
      </c>
      <c r="E266" s="1" t="s">
        <v>291</v>
      </c>
      <c r="F266" s="1">
        <v>45388</v>
      </c>
      <c r="G266" s="1">
        <v>45389</v>
      </c>
      <c r="H266" s="1">
        <v>45393</v>
      </c>
      <c r="I266" s="1" t="s">
        <v>82</v>
      </c>
      <c r="J266" s="1" t="s">
        <v>16</v>
      </c>
      <c r="K266" s="1" t="s">
        <v>19</v>
      </c>
      <c r="L266" s="1" t="s">
        <v>25</v>
      </c>
      <c r="M266" s="1" t="s">
        <v>57</v>
      </c>
      <c r="N266" s="1" t="s">
        <v>27</v>
      </c>
      <c r="O266" s="1" t="s">
        <v>58</v>
      </c>
      <c r="P266" s="1">
        <v>4</v>
      </c>
      <c r="Q266" s="1">
        <v>480</v>
      </c>
      <c r="R266" s="1">
        <v>513.6</v>
      </c>
      <c r="S266" s="1">
        <v>0.02</v>
      </c>
    </row>
    <row r="267" spans="1:19" x14ac:dyDescent="0.3">
      <c r="A267" s="1" t="s">
        <v>986</v>
      </c>
      <c r="B267" s="1" t="s">
        <v>210</v>
      </c>
      <c r="C267" s="1" t="s">
        <v>987</v>
      </c>
      <c r="D267" s="1" t="s">
        <v>108</v>
      </c>
      <c r="E267" s="1" t="s">
        <v>77</v>
      </c>
      <c r="F267" s="1">
        <v>46039</v>
      </c>
      <c r="G267" s="1">
        <v>46039</v>
      </c>
      <c r="H267" s="1">
        <v>46042</v>
      </c>
      <c r="I267" s="1" t="s">
        <v>72</v>
      </c>
      <c r="J267" s="1" t="s">
        <v>16</v>
      </c>
      <c r="K267" s="1" t="s">
        <v>20</v>
      </c>
      <c r="L267" s="1" t="s">
        <v>61</v>
      </c>
      <c r="M267" s="1" t="s">
        <v>44</v>
      </c>
      <c r="N267" s="1" t="s">
        <v>38</v>
      </c>
      <c r="O267" s="1" t="s">
        <v>45</v>
      </c>
      <c r="P267" s="1">
        <v>5</v>
      </c>
      <c r="Q267" s="1">
        <v>210</v>
      </c>
      <c r="R267" s="1">
        <v>222.60000000000002</v>
      </c>
      <c r="S267" s="1">
        <v>0.02</v>
      </c>
    </row>
    <row r="268" spans="1:19" x14ac:dyDescent="0.3">
      <c r="A268" s="1" t="s">
        <v>988</v>
      </c>
      <c r="B268" s="1" t="s">
        <v>983</v>
      </c>
      <c r="C268" s="1" t="s">
        <v>989</v>
      </c>
      <c r="D268" s="1" t="s">
        <v>990</v>
      </c>
      <c r="E268" s="1" t="s">
        <v>141</v>
      </c>
      <c r="F268" s="1">
        <v>45675</v>
      </c>
      <c r="G268" s="1">
        <v>45675</v>
      </c>
      <c r="H268" s="1">
        <v>45679</v>
      </c>
      <c r="I268" s="1" t="s">
        <v>72</v>
      </c>
      <c r="J268" s="1" t="s">
        <v>18</v>
      </c>
      <c r="K268" s="1" t="s">
        <v>20</v>
      </c>
      <c r="L268" s="1" t="s">
        <v>22</v>
      </c>
      <c r="M268" s="1" t="s">
        <v>35</v>
      </c>
      <c r="N268" s="1" t="s">
        <v>33</v>
      </c>
      <c r="O268" s="1" t="s">
        <v>36</v>
      </c>
      <c r="P268" s="1">
        <v>7</v>
      </c>
      <c r="Q268" s="1">
        <v>1530</v>
      </c>
      <c r="R268" s="1">
        <v>1790.1</v>
      </c>
      <c r="S268" s="1">
        <v>0.08</v>
      </c>
    </row>
    <row r="269" spans="1:19" x14ac:dyDescent="0.3">
      <c r="A269" s="1" t="s">
        <v>991</v>
      </c>
      <c r="B269" s="1" t="s">
        <v>226</v>
      </c>
      <c r="C269" s="1" t="s">
        <v>992</v>
      </c>
      <c r="D269" s="1" t="s">
        <v>993</v>
      </c>
      <c r="E269" s="1" t="s">
        <v>173</v>
      </c>
      <c r="F269" s="1">
        <v>45399</v>
      </c>
      <c r="G269" s="1">
        <v>45399</v>
      </c>
      <c r="H269" s="1">
        <v>45404</v>
      </c>
      <c r="I269" s="1" t="s">
        <v>82</v>
      </c>
      <c r="J269" s="1" t="s">
        <v>1</v>
      </c>
      <c r="K269" s="1" t="s">
        <v>19</v>
      </c>
      <c r="L269" s="1" t="s">
        <v>23</v>
      </c>
      <c r="M269" s="1" t="s">
        <v>48</v>
      </c>
      <c r="N269" s="1" t="s">
        <v>38</v>
      </c>
      <c r="O269" s="1" t="s">
        <v>41</v>
      </c>
      <c r="P269" s="1">
        <v>1</v>
      </c>
      <c r="Q269" s="1">
        <v>580</v>
      </c>
      <c r="R269" s="1">
        <v>667</v>
      </c>
      <c r="S269" s="1">
        <v>0.06</v>
      </c>
    </row>
    <row r="270" spans="1:19" x14ac:dyDescent="0.3">
      <c r="A270" s="1" t="s">
        <v>994</v>
      </c>
      <c r="B270" s="1" t="s">
        <v>995</v>
      </c>
      <c r="C270" s="1" t="s">
        <v>996</v>
      </c>
      <c r="D270" s="1" t="s">
        <v>997</v>
      </c>
      <c r="E270" s="1" t="s">
        <v>208</v>
      </c>
      <c r="F270" s="1">
        <v>45371</v>
      </c>
      <c r="G270" s="1">
        <v>45372</v>
      </c>
      <c r="H270" s="1">
        <v>45375</v>
      </c>
      <c r="I270" s="1" t="s">
        <v>72</v>
      </c>
      <c r="J270" s="1" t="s">
        <v>2</v>
      </c>
      <c r="K270" s="1" t="s">
        <v>21</v>
      </c>
      <c r="L270" s="1" t="s">
        <v>25</v>
      </c>
      <c r="M270" s="1" t="s">
        <v>50</v>
      </c>
      <c r="N270" s="1" t="s">
        <v>33</v>
      </c>
      <c r="O270" s="1" t="s">
        <v>36</v>
      </c>
      <c r="P270" s="1">
        <v>12</v>
      </c>
      <c r="Q270" s="1">
        <v>930</v>
      </c>
      <c r="R270" s="1">
        <v>1078.8</v>
      </c>
      <c r="S270" s="1">
        <v>7.0000000000000007E-2</v>
      </c>
    </row>
    <row r="271" spans="1:19" x14ac:dyDescent="0.3">
      <c r="A271" s="1" t="s">
        <v>998</v>
      </c>
      <c r="B271" s="1" t="s">
        <v>311</v>
      </c>
      <c r="C271" s="1" t="s">
        <v>999</v>
      </c>
      <c r="D271" s="1" t="s">
        <v>1000</v>
      </c>
      <c r="E271" s="1" t="s">
        <v>114</v>
      </c>
      <c r="F271" s="1">
        <v>45688</v>
      </c>
      <c r="G271" s="1">
        <v>45689</v>
      </c>
      <c r="H271" s="1">
        <v>45693</v>
      </c>
      <c r="I271" s="1" t="s">
        <v>82</v>
      </c>
      <c r="J271" s="1" t="s">
        <v>17</v>
      </c>
      <c r="K271" s="1" t="s">
        <v>19</v>
      </c>
      <c r="L271" s="1" t="s">
        <v>25</v>
      </c>
      <c r="M271" s="1" t="s">
        <v>51</v>
      </c>
      <c r="N271" s="1" t="s">
        <v>33</v>
      </c>
      <c r="O271" s="1" t="s">
        <v>52</v>
      </c>
      <c r="P271" s="1">
        <v>2</v>
      </c>
      <c r="Q271" s="1">
        <v>280</v>
      </c>
      <c r="R271" s="1">
        <v>336</v>
      </c>
      <c r="S271" s="1">
        <v>0.09</v>
      </c>
    </row>
    <row r="272" spans="1:19" x14ac:dyDescent="0.3">
      <c r="A272" s="1" t="s">
        <v>1001</v>
      </c>
      <c r="B272" s="1" t="s">
        <v>1002</v>
      </c>
      <c r="C272" s="1" t="s">
        <v>1003</v>
      </c>
      <c r="D272" s="1" t="s">
        <v>1004</v>
      </c>
      <c r="E272" s="1" t="s">
        <v>71</v>
      </c>
      <c r="F272" s="1">
        <v>45978</v>
      </c>
      <c r="G272" s="1">
        <v>45978</v>
      </c>
      <c r="H272" s="1">
        <v>45980</v>
      </c>
      <c r="I272" s="1" t="s">
        <v>82</v>
      </c>
      <c r="J272" s="1" t="s">
        <v>17</v>
      </c>
      <c r="K272" s="1" t="s">
        <v>19</v>
      </c>
      <c r="L272" s="1" t="s">
        <v>25</v>
      </c>
      <c r="M272" s="1" t="s">
        <v>32</v>
      </c>
      <c r="N272" s="1" t="s">
        <v>33</v>
      </c>
      <c r="O272" s="1" t="s">
        <v>34</v>
      </c>
      <c r="P272" s="1">
        <v>3</v>
      </c>
      <c r="Q272" s="1">
        <v>730</v>
      </c>
      <c r="R272" s="1">
        <v>824.9</v>
      </c>
      <c r="S272" s="1">
        <v>0</v>
      </c>
    </row>
    <row r="273" spans="1:19" x14ac:dyDescent="0.3">
      <c r="A273" s="1" t="s">
        <v>1005</v>
      </c>
      <c r="B273" s="1" t="s">
        <v>1006</v>
      </c>
      <c r="C273" s="1" t="s">
        <v>1007</v>
      </c>
      <c r="D273" s="1" t="s">
        <v>257</v>
      </c>
      <c r="E273" s="1" t="s">
        <v>100</v>
      </c>
      <c r="F273" s="1">
        <v>45651</v>
      </c>
      <c r="G273" s="1">
        <v>45652</v>
      </c>
      <c r="H273" s="1">
        <v>45656</v>
      </c>
      <c r="I273" s="1" t="s">
        <v>82</v>
      </c>
      <c r="J273" s="1" t="s">
        <v>16</v>
      </c>
      <c r="K273" s="1" t="s">
        <v>19</v>
      </c>
      <c r="L273" s="1" t="s">
        <v>24</v>
      </c>
      <c r="M273" s="1" t="s">
        <v>42</v>
      </c>
      <c r="N273" s="1" t="s">
        <v>27</v>
      </c>
      <c r="O273" s="1" t="s">
        <v>28</v>
      </c>
      <c r="P273" s="1">
        <v>2</v>
      </c>
      <c r="Q273" s="1">
        <v>3030</v>
      </c>
      <c r="R273" s="1">
        <v>3211.8</v>
      </c>
      <c r="S273" s="1">
        <v>0.04</v>
      </c>
    </row>
    <row r="274" spans="1:19" x14ac:dyDescent="0.3">
      <c r="A274" s="1" t="s">
        <v>1008</v>
      </c>
      <c r="B274" s="1" t="s">
        <v>1009</v>
      </c>
      <c r="C274" s="1" t="s">
        <v>1010</v>
      </c>
      <c r="D274" s="1" t="s">
        <v>1011</v>
      </c>
      <c r="E274" s="1" t="s">
        <v>81</v>
      </c>
      <c r="F274" s="1">
        <v>45734</v>
      </c>
      <c r="G274" s="1">
        <v>45734</v>
      </c>
      <c r="H274" s="1">
        <v>45737</v>
      </c>
      <c r="I274" s="1" t="s">
        <v>72</v>
      </c>
      <c r="J274" s="1" t="s">
        <v>1</v>
      </c>
      <c r="K274" s="1" t="s">
        <v>20</v>
      </c>
      <c r="L274" s="1" t="s">
        <v>25</v>
      </c>
      <c r="M274" s="1" t="s">
        <v>59</v>
      </c>
      <c r="N274" s="1" t="s">
        <v>27</v>
      </c>
      <c r="O274" s="1" t="s">
        <v>60</v>
      </c>
      <c r="P274" s="1">
        <v>7</v>
      </c>
      <c r="Q274" s="1">
        <v>1230</v>
      </c>
      <c r="R274" s="1">
        <v>1328.4</v>
      </c>
      <c r="S274" s="1">
        <v>0.01</v>
      </c>
    </row>
    <row r="275" spans="1:19" x14ac:dyDescent="0.3">
      <c r="A275" s="1" t="s">
        <v>1012</v>
      </c>
      <c r="B275" s="1" t="s">
        <v>377</v>
      </c>
      <c r="C275" s="1" t="s">
        <v>1013</v>
      </c>
      <c r="D275" s="1" t="s">
        <v>1014</v>
      </c>
      <c r="E275" s="1" t="s">
        <v>95</v>
      </c>
      <c r="F275" s="1">
        <v>45486</v>
      </c>
      <c r="G275" s="1">
        <v>45487</v>
      </c>
      <c r="H275" s="1">
        <v>45488</v>
      </c>
      <c r="I275" s="1" t="s">
        <v>72</v>
      </c>
      <c r="J275" s="1" t="s">
        <v>2</v>
      </c>
      <c r="K275" s="1" t="s">
        <v>20</v>
      </c>
      <c r="L275" s="1" t="s">
        <v>61</v>
      </c>
      <c r="M275" s="1" t="s">
        <v>49</v>
      </c>
      <c r="N275" s="1" t="s">
        <v>33</v>
      </c>
      <c r="O275" s="1" t="s">
        <v>34</v>
      </c>
      <c r="P275" s="1">
        <v>5</v>
      </c>
      <c r="Q275" s="1">
        <v>1080</v>
      </c>
      <c r="R275" s="1">
        <v>1112.4000000000001</v>
      </c>
      <c r="S275" s="1">
        <v>0.03</v>
      </c>
    </row>
    <row r="276" spans="1:19" x14ac:dyDescent="0.3">
      <c r="A276" s="1" t="s">
        <v>1015</v>
      </c>
      <c r="B276" s="1" t="s">
        <v>79</v>
      </c>
      <c r="C276" s="1" t="s">
        <v>1016</v>
      </c>
      <c r="D276" s="1" t="s">
        <v>1017</v>
      </c>
      <c r="E276" s="1" t="s">
        <v>77</v>
      </c>
      <c r="F276" s="1">
        <v>45542</v>
      </c>
      <c r="G276" s="1">
        <v>45542</v>
      </c>
      <c r="H276" s="1">
        <v>45544</v>
      </c>
      <c r="I276" s="1" t="s">
        <v>72</v>
      </c>
      <c r="J276" s="1" t="s">
        <v>16</v>
      </c>
      <c r="K276" s="1" t="s">
        <v>21</v>
      </c>
      <c r="L276" s="1" t="s">
        <v>23</v>
      </c>
      <c r="M276" s="1" t="s">
        <v>44</v>
      </c>
      <c r="N276" s="1" t="s">
        <v>38</v>
      </c>
      <c r="O276" s="1" t="s">
        <v>45</v>
      </c>
      <c r="P276" s="1">
        <v>11</v>
      </c>
      <c r="Q276" s="1">
        <v>210</v>
      </c>
      <c r="R276" s="1">
        <v>222.60000000000002</v>
      </c>
      <c r="S276" s="1">
        <v>0.01</v>
      </c>
    </row>
    <row r="277" spans="1:19" x14ac:dyDescent="0.3">
      <c r="A277" s="1" t="s">
        <v>1018</v>
      </c>
      <c r="B277" s="1" t="s">
        <v>1019</v>
      </c>
      <c r="C277" s="1" t="s">
        <v>1020</v>
      </c>
      <c r="D277" s="1" t="s">
        <v>1021</v>
      </c>
      <c r="E277" s="1" t="s">
        <v>192</v>
      </c>
      <c r="F277" s="1">
        <v>45549</v>
      </c>
      <c r="G277" s="1">
        <v>45549</v>
      </c>
      <c r="H277" s="1">
        <v>45553</v>
      </c>
      <c r="I277" s="1" t="s">
        <v>72</v>
      </c>
      <c r="J277" s="1" t="s">
        <v>2</v>
      </c>
      <c r="K277" s="1" t="s">
        <v>20</v>
      </c>
      <c r="L277" s="1" t="s">
        <v>23</v>
      </c>
      <c r="M277" s="1" t="s">
        <v>46</v>
      </c>
      <c r="N277" s="1" t="s">
        <v>38</v>
      </c>
      <c r="O277" s="1" t="s">
        <v>45</v>
      </c>
      <c r="P277" s="1">
        <v>5</v>
      </c>
      <c r="Q277" s="1">
        <v>350</v>
      </c>
      <c r="R277" s="1">
        <v>364</v>
      </c>
      <c r="S277" s="1">
        <v>0.08</v>
      </c>
    </row>
    <row r="278" spans="1:19" x14ac:dyDescent="0.3">
      <c r="A278" s="1" t="s">
        <v>1022</v>
      </c>
      <c r="B278" s="1" t="s">
        <v>518</v>
      </c>
      <c r="C278" s="1" t="s">
        <v>1023</v>
      </c>
      <c r="D278" s="1" t="s">
        <v>1024</v>
      </c>
      <c r="E278" s="1" t="s">
        <v>100</v>
      </c>
      <c r="F278" s="1">
        <v>46170</v>
      </c>
      <c r="G278" s="1">
        <v>46171</v>
      </c>
      <c r="H278" s="1">
        <v>46175</v>
      </c>
      <c r="I278" s="1" t="s">
        <v>72</v>
      </c>
      <c r="J278" s="1" t="s">
        <v>17</v>
      </c>
      <c r="K278" s="1" t="s">
        <v>21</v>
      </c>
      <c r="L278" s="1" t="s">
        <v>24</v>
      </c>
      <c r="M278" s="1" t="s">
        <v>42</v>
      </c>
      <c r="N278" s="1" t="s">
        <v>27</v>
      </c>
      <c r="O278" s="1" t="s">
        <v>28</v>
      </c>
      <c r="P278" s="1">
        <v>6</v>
      </c>
      <c r="Q278" s="1">
        <v>3030</v>
      </c>
      <c r="R278" s="1">
        <v>3211.8</v>
      </c>
      <c r="S278" s="1">
        <v>0.02</v>
      </c>
    </row>
    <row r="279" spans="1:19" x14ac:dyDescent="0.3">
      <c r="A279" s="1" t="s">
        <v>1025</v>
      </c>
      <c r="B279" s="1" t="s">
        <v>365</v>
      </c>
      <c r="C279" s="1" t="s">
        <v>1026</v>
      </c>
      <c r="D279" s="1" t="s">
        <v>1027</v>
      </c>
      <c r="E279" s="1" t="s">
        <v>81</v>
      </c>
      <c r="F279" s="1">
        <v>46051</v>
      </c>
      <c r="G279" s="1">
        <v>46052</v>
      </c>
      <c r="H279" s="1">
        <v>46054</v>
      </c>
      <c r="I279" s="1" t="s">
        <v>72</v>
      </c>
      <c r="J279" s="1" t="s">
        <v>2</v>
      </c>
      <c r="K279" s="1" t="s">
        <v>20</v>
      </c>
      <c r="L279" s="1" t="s">
        <v>24</v>
      </c>
      <c r="M279" s="1" t="s">
        <v>59</v>
      </c>
      <c r="N279" s="1" t="s">
        <v>27</v>
      </c>
      <c r="O279" s="1" t="s">
        <v>60</v>
      </c>
      <c r="P279" s="1">
        <v>10</v>
      </c>
      <c r="Q279" s="1">
        <v>1230</v>
      </c>
      <c r="R279" s="1">
        <v>1328.4</v>
      </c>
      <c r="S279" s="1">
        <v>0.08</v>
      </c>
    </row>
    <row r="280" spans="1:19" x14ac:dyDescent="0.3">
      <c r="A280" s="1" t="s">
        <v>1028</v>
      </c>
      <c r="B280" s="1" t="s">
        <v>147</v>
      </c>
      <c r="C280" s="1" t="s">
        <v>1029</v>
      </c>
      <c r="D280" s="1" t="s">
        <v>448</v>
      </c>
      <c r="E280" s="1" t="s">
        <v>192</v>
      </c>
      <c r="F280" s="1">
        <v>45721</v>
      </c>
      <c r="G280" s="1">
        <v>45722</v>
      </c>
      <c r="H280" s="1">
        <v>45724</v>
      </c>
      <c r="I280" s="1" t="s">
        <v>72</v>
      </c>
      <c r="J280" s="1" t="s">
        <v>2</v>
      </c>
      <c r="K280" s="1" t="s">
        <v>19</v>
      </c>
      <c r="L280" s="1" t="s">
        <v>61</v>
      </c>
      <c r="M280" s="1" t="s">
        <v>46</v>
      </c>
      <c r="N280" s="1" t="s">
        <v>38</v>
      </c>
      <c r="O280" s="1" t="s">
        <v>45</v>
      </c>
      <c r="P280" s="1">
        <v>10</v>
      </c>
      <c r="Q280" s="1">
        <v>350</v>
      </c>
      <c r="R280" s="1">
        <v>364</v>
      </c>
      <c r="S280" s="1">
        <v>0</v>
      </c>
    </row>
    <row r="281" spans="1:19" x14ac:dyDescent="0.3">
      <c r="A281" s="1" t="s">
        <v>1030</v>
      </c>
      <c r="B281" s="1" t="s">
        <v>764</v>
      </c>
      <c r="C281" s="1" t="s">
        <v>1031</v>
      </c>
      <c r="D281" s="1" t="s">
        <v>1032</v>
      </c>
      <c r="E281" s="1" t="s">
        <v>187</v>
      </c>
      <c r="F281" s="1">
        <v>45508</v>
      </c>
      <c r="G281" s="1">
        <v>45508</v>
      </c>
      <c r="H281" s="1">
        <v>45510</v>
      </c>
      <c r="I281" s="1" t="s">
        <v>82</v>
      </c>
      <c r="J281" s="1" t="s">
        <v>18</v>
      </c>
      <c r="K281" s="1" t="s">
        <v>20</v>
      </c>
      <c r="L281" s="1" t="s">
        <v>22</v>
      </c>
      <c r="M281" s="1" t="s">
        <v>40</v>
      </c>
      <c r="N281" s="1" t="s">
        <v>38</v>
      </c>
      <c r="O281" s="1" t="s">
        <v>41</v>
      </c>
      <c r="P281" s="1">
        <v>3</v>
      </c>
      <c r="Q281" s="1">
        <v>170</v>
      </c>
      <c r="R281" s="1">
        <v>188.70000000000002</v>
      </c>
      <c r="S281" s="1">
        <v>0.1</v>
      </c>
    </row>
    <row r="282" spans="1:19" x14ac:dyDescent="0.3">
      <c r="A282" s="1" t="s">
        <v>1033</v>
      </c>
      <c r="B282" s="1" t="s">
        <v>331</v>
      </c>
      <c r="C282" s="1" t="s">
        <v>1034</v>
      </c>
      <c r="D282" s="1" t="s">
        <v>1035</v>
      </c>
      <c r="E282" s="1" t="s">
        <v>173</v>
      </c>
      <c r="F282" s="1">
        <v>45862</v>
      </c>
      <c r="G282" s="1">
        <v>45862</v>
      </c>
      <c r="H282" s="1">
        <v>45866</v>
      </c>
      <c r="I282" s="1" t="s">
        <v>82</v>
      </c>
      <c r="J282" s="1" t="s">
        <v>16</v>
      </c>
      <c r="K282" s="1" t="s">
        <v>20</v>
      </c>
      <c r="L282" s="1" t="s">
        <v>22</v>
      </c>
      <c r="M282" s="1" t="s">
        <v>48</v>
      </c>
      <c r="N282" s="1" t="s">
        <v>38</v>
      </c>
      <c r="O282" s="1" t="s">
        <v>41</v>
      </c>
      <c r="P282" s="1">
        <v>2</v>
      </c>
      <c r="Q282" s="1">
        <v>580</v>
      </c>
      <c r="R282" s="1">
        <v>667</v>
      </c>
      <c r="S282" s="1">
        <v>0.06</v>
      </c>
    </row>
    <row r="283" spans="1:19" x14ac:dyDescent="0.3">
      <c r="A283" s="1" t="s">
        <v>1036</v>
      </c>
      <c r="B283" s="1" t="s">
        <v>315</v>
      </c>
      <c r="C283" s="1" t="s">
        <v>1037</v>
      </c>
      <c r="D283" s="1" t="s">
        <v>1038</v>
      </c>
      <c r="E283" s="1" t="s">
        <v>77</v>
      </c>
      <c r="F283" s="1">
        <v>45622</v>
      </c>
      <c r="G283" s="1">
        <v>45623</v>
      </c>
      <c r="H283" s="1">
        <v>45624</v>
      </c>
      <c r="I283" s="1" t="s">
        <v>82</v>
      </c>
      <c r="J283" s="1" t="s">
        <v>1</v>
      </c>
      <c r="K283" s="1" t="s">
        <v>20</v>
      </c>
      <c r="L283" s="1" t="s">
        <v>23</v>
      </c>
      <c r="M283" s="1" t="s">
        <v>44</v>
      </c>
      <c r="N283" s="1" t="s">
        <v>38</v>
      </c>
      <c r="O283" s="1" t="s">
        <v>45</v>
      </c>
      <c r="P283" s="1">
        <v>4</v>
      </c>
      <c r="Q283" s="1">
        <v>210</v>
      </c>
      <c r="R283" s="1">
        <v>222.60000000000002</v>
      </c>
      <c r="S283" s="1">
        <v>0.03</v>
      </c>
    </row>
    <row r="284" spans="1:19" x14ac:dyDescent="0.3">
      <c r="A284" s="1" t="s">
        <v>1039</v>
      </c>
      <c r="B284" s="1" t="s">
        <v>1040</v>
      </c>
      <c r="C284" s="1" t="s">
        <v>1041</v>
      </c>
      <c r="D284" s="1" t="s">
        <v>1042</v>
      </c>
      <c r="E284" s="1" t="s">
        <v>81</v>
      </c>
      <c r="F284" s="1">
        <v>45316</v>
      </c>
      <c r="G284" s="1">
        <v>45317</v>
      </c>
      <c r="H284" s="1">
        <v>45320</v>
      </c>
      <c r="I284" s="1" t="s">
        <v>72</v>
      </c>
      <c r="J284" s="1" t="s">
        <v>17</v>
      </c>
      <c r="K284" s="1" t="s">
        <v>20</v>
      </c>
      <c r="L284" s="1" t="s">
        <v>24</v>
      </c>
      <c r="M284" s="1" t="s">
        <v>59</v>
      </c>
      <c r="N284" s="1" t="s">
        <v>27</v>
      </c>
      <c r="O284" s="1" t="s">
        <v>60</v>
      </c>
      <c r="P284" s="1">
        <v>8</v>
      </c>
      <c r="Q284" s="1">
        <v>1230</v>
      </c>
      <c r="R284" s="1">
        <v>1328.4</v>
      </c>
      <c r="S284" s="1">
        <v>7.0000000000000007E-2</v>
      </c>
    </row>
    <row r="285" spans="1:19" x14ac:dyDescent="0.3">
      <c r="A285" s="1" t="s">
        <v>1043</v>
      </c>
      <c r="B285" s="1" t="s">
        <v>97</v>
      </c>
      <c r="C285" s="1" t="s">
        <v>1044</v>
      </c>
      <c r="D285" s="1" t="s">
        <v>1045</v>
      </c>
      <c r="E285" s="1" t="s">
        <v>132</v>
      </c>
      <c r="F285" s="1">
        <v>45435</v>
      </c>
      <c r="G285" s="1">
        <v>45436</v>
      </c>
      <c r="H285" s="1">
        <v>45440</v>
      </c>
      <c r="I285" s="1" t="s">
        <v>72</v>
      </c>
      <c r="J285" s="1" t="s">
        <v>17</v>
      </c>
      <c r="K285" s="1" t="s">
        <v>21</v>
      </c>
      <c r="L285" s="1" t="s">
        <v>25</v>
      </c>
      <c r="M285" s="1" t="s">
        <v>53</v>
      </c>
      <c r="N285" s="1" t="s">
        <v>27</v>
      </c>
      <c r="O285" s="1" t="s">
        <v>54</v>
      </c>
      <c r="P285" s="1">
        <v>6</v>
      </c>
      <c r="Q285" s="1">
        <v>430</v>
      </c>
      <c r="R285" s="1">
        <v>455.8</v>
      </c>
      <c r="S285" s="1">
        <v>0.01</v>
      </c>
    </row>
    <row r="286" spans="1:19" x14ac:dyDescent="0.3">
      <c r="A286" s="1" t="s">
        <v>1046</v>
      </c>
      <c r="B286" s="1" t="s">
        <v>689</v>
      </c>
      <c r="C286" s="1" t="s">
        <v>1047</v>
      </c>
      <c r="D286" s="1" t="s">
        <v>1048</v>
      </c>
      <c r="E286" s="1" t="s">
        <v>87</v>
      </c>
      <c r="F286" s="1">
        <v>45941</v>
      </c>
      <c r="G286" s="1">
        <v>45941</v>
      </c>
      <c r="H286" s="1">
        <v>45945</v>
      </c>
      <c r="I286" s="1" t="s">
        <v>72</v>
      </c>
      <c r="J286" s="1" t="s">
        <v>16</v>
      </c>
      <c r="K286" s="1" t="s">
        <v>20</v>
      </c>
      <c r="L286" s="1" t="s">
        <v>24</v>
      </c>
      <c r="M286" s="1" t="s">
        <v>30</v>
      </c>
      <c r="N286" s="1" t="s">
        <v>27</v>
      </c>
      <c r="O286" s="1" t="s">
        <v>31</v>
      </c>
      <c r="P286" s="1">
        <v>7</v>
      </c>
      <c r="Q286" s="1">
        <v>1030</v>
      </c>
      <c r="R286" s="1">
        <v>1174.2</v>
      </c>
      <c r="S286" s="1">
        <v>0.03</v>
      </c>
    </row>
    <row r="287" spans="1:19" x14ac:dyDescent="0.3">
      <c r="A287" s="1" t="s">
        <v>1049</v>
      </c>
      <c r="B287" s="1" t="s">
        <v>271</v>
      </c>
      <c r="C287" s="1" t="s">
        <v>1050</v>
      </c>
      <c r="D287" s="1" t="s">
        <v>1051</v>
      </c>
      <c r="E287" s="1" t="s">
        <v>164</v>
      </c>
      <c r="F287" s="1">
        <v>45363</v>
      </c>
      <c r="G287" s="1">
        <v>45363</v>
      </c>
      <c r="H287" s="1">
        <v>45366</v>
      </c>
      <c r="I287" s="1" t="s">
        <v>82</v>
      </c>
      <c r="J287" s="1" t="s">
        <v>18</v>
      </c>
      <c r="K287" s="1" t="s">
        <v>20</v>
      </c>
      <c r="L287" s="1" t="s">
        <v>22</v>
      </c>
      <c r="M287" s="1" t="s">
        <v>43</v>
      </c>
      <c r="N287" s="1" t="s">
        <v>27</v>
      </c>
      <c r="O287" s="1" t="s">
        <v>31</v>
      </c>
      <c r="P287" s="1">
        <v>4</v>
      </c>
      <c r="Q287" s="1">
        <v>1630</v>
      </c>
      <c r="R287" s="1">
        <v>1744.1000000000001</v>
      </c>
      <c r="S287" s="1">
        <v>0.01</v>
      </c>
    </row>
    <row r="288" spans="1:19" x14ac:dyDescent="0.3">
      <c r="A288" s="1" t="s">
        <v>1052</v>
      </c>
      <c r="B288" s="1" t="s">
        <v>1053</v>
      </c>
      <c r="C288" s="1" t="s">
        <v>1054</v>
      </c>
      <c r="D288" s="1" t="s">
        <v>1055</v>
      </c>
      <c r="E288" s="1" t="s">
        <v>77</v>
      </c>
      <c r="F288" s="1">
        <v>45630</v>
      </c>
      <c r="G288" s="1">
        <v>45631</v>
      </c>
      <c r="H288" s="1">
        <v>45632</v>
      </c>
      <c r="I288" s="1" t="s">
        <v>82</v>
      </c>
      <c r="J288" s="1" t="s">
        <v>1</v>
      </c>
      <c r="K288" s="1" t="s">
        <v>20</v>
      </c>
      <c r="L288" s="1" t="s">
        <v>23</v>
      </c>
      <c r="M288" s="1" t="s">
        <v>44</v>
      </c>
      <c r="N288" s="1" t="s">
        <v>38</v>
      </c>
      <c r="O288" s="1" t="s">
        <v>45</v>
      </c>
      <c r="P288" s="1">
        <v>3</v>
      </c>
      <c r="Q288" s="1">
        <v>210</v>
      </c>
      <c r="R288" s="1">
        <v>222.60000000000002</v>
      </c>
      <c r="S288" s="1">
        <v>0.01</v>
      </c>
    </row>
    <row r="289" spans="1:19" x14ac:dyDescent="0.3">
      <c r="A289" s="1" t="s">
        <v>1056</v>
      </c>
      <c r="B289" s="1" t="s">
        <v>1057</v>
      </c>
      <c r="C289" s="1" t="s">
        <v>1058</v>
      </c>
      <c r="D289" s="1" t="s">
        <v>1059</v>
      </c>
      <c r="E289" s="1" t="s">
        <v>291</v>
      </c>
      <c r="F289" s="1">
        <v>46168</v>
      </c>
      <c r="G289" s="1">
        <v>46168</v>
      </c>
      <c r="H289" s="1">
        <v>46173</v>
      </c>
      <c r="I289" s="1" t="s">
        <v>82</v>
      </c>
      <c r="J289" s="1" t="s">
        <v>2</v>
      </c>
      <c r="K289" s="1" t="s">
        <v>19</v>
      </c>
      <c r="L289" s="1" t="s">
        <v>25</v>
      </c>
      <c r="M289" s="1" t="s">
        <v>57</v>
      </c>
      <c r="N289" s="1" t="s">
        <v>27</v>
      </c>
      <c r="O289" s="1" t="s">
        <v>58</v>
      </c>
      <c r="P289" s="1">
        <v>2</v>
      </c>
      <c r="Q289" s="1">
        <v>480</v>
      </c>
      <c r="R289" s="1">
        <v>513.6</v>
      </c>
      <c r="S289" s="1">
        <v>0.02</v>
      </c>
    </row>
    <row r="290" spans="1:19" x14ac:dyDescent="0.3">
      <c r="A290" s="1" t="s">
        <v>1060</v>
      </c>
      <c r="B290" s="1" t="s">
        <v>1061</v>
      </c>
      <c r="C290" s="1" t="s">
        <v>1062</v>
      </c>
      <c r="D290" s="1" t="s">
        <v>1063</v>
      </c>
      <c r="E290" s="1" t="s">
        <v>178</v>
      </c>
      <c r="F290" s="1">
        <v>45575</v>
      </c>
      <c r="G290" s="1">
        <v>45576</v>
      </c>
      <c r="H290" s="1">
        <v>45579</v>
      </c>
      <c r="I290" s="1" t="s">
        <v>82</v>
      </c>
      <c r="J290" s="1" t="s">
        <v>2</v>
      </c>
      <c r="K290" s="1" t="s">
        <v>20</v>
      </c>
      <c r="L290" s="1" t="s">
        <v>24</v>
      </c>
      <c r="M290" s="1" t="s">
        <v>47</v>
      </c>
      <c r="N290" s="1" t="s">
        <v>38</v>
      </c>
      <c r="O290" s="1" t="s">
        <v>39</v>
      </c>
      <c r="P290" s="1">
        <v>1</v>
      </c>
      <c r="Q290" s="1">
        <v>390</v>
      </c>
      <c r="R290" s="1">
        <v>468</v>
      </c>
      <c r="S290" s="1">
        <v>0</v>
      </c>
    </row>
    <row r="291" spans="1:19" x14ac:dyDescent="0.3">
      <c r="A291" s="1" t="s">
        <v>1064</v>
      </c>
      <c r="B291" s="1" t="s">
        <v>1065</v>
      </c>
      <c r="C291" s="1" t="s">
        <v>1066</v>
      </c>
      <c r="D291" s="1" t="s">
        <v>1067</v>
      </c>
      <c r="E291" s="1" t="s">
        <v>109</v>
      </c>
      <c r="F291" s="1">
        <v>46044</v>
      </c>
      <c r="G291" s="1">
        <v>46044</v>
      </c>
      <c r="H291" s="1">
        <v>46046</v>
      </c>
      <c r="I291" s="1" t="s">
        <v>72</v>
      </c>
      <c r="J291" s="1" t="s">
        <v>1</v>
      </c>
      <c r="K291" s="1" t="s">
        <v>20</v>
      </c>
      <c r="L291" s="1" t="s">
        <v>22</v>
      </c>
      <c r="M291" s="1" t="s">
        <v>55</v>
      </c>
      <c r="N291" s="1" t="s">
        <v>27</v>
      </c>
      <c r="O291" s="1" t="s">
        <v>56</v>
      </c>
      <c r="P291" s="1">
        <v>8</v>
      </c>
      <c r="Q291" s="1">
        <v>650</v>
      </c>
      <c r="R291" s="1">
        <v>663</v>
      </c>
      <c r="S291" s="1">
        <v>0.05</v>
      </c>
    </row>
    <row r="292" spans="1:19" x14ac:dyDescent="0.3">
      <c r="A292" s="1" t="s">
        <v>1068</v>
      </c>
      <c r="B292" s="1" t="s">
        <v>1009</v>
      </c>
      <c r="C292" s="1" t="s">
        <v>1069</v>
      </c>
      <c r="D292" s="1" t="s">
        <v>1070</v>
      </c>
      <c r="E292" s="1" t="s">
        <v>208</v>
      </c>
      <c r="F292" s="1">
        <v>45829</v>
      </c>
      <c r="G292" s="1">
        <v>45829</v>
      </c>
      <c r="H292" s="1">
        <v>45832</v>
      </c>
      <c r="I292" s="1" t="s">
        <v>72</v>
      </c>
      <c r="J292" s="1" t="s">
        <v>1</v>
      </c>
      <c r="K292" s="1" t="s">
        <v>19</v>
      </c>
      <c r="L292" s="1" t="s">
        <v>22</v>
      </c>
      <c r="M292" s="1" t="s">
        <v>50</v>
      </c>
      <c r="N292" s="1" t="s">
        <v>33</v>
      </c>
      <c r="O292" s="1" t="s">
        <v>36</v>
      </c>
      <c r="P292" s="1">
        <v>8</v>
      </c>
      <c r="Q292" s="1">
        <v>930</v>
      </c>
      <c r="R292" s="1">
        <v>1078.8</v>
      </c>
      <c r="S292" s="1">
        <v>0</v>
      </c>
    </row>
    <row r="293" spans="1:19" x14ac:dyDescent="0.3">
      <c r="A293" s="1" t="s">
        <v>1071</v>
      </c>
      <c r="B293" s="1" t="s">
        <v>180</v>
      </c>
      <c r="C293" s="1" t="s">
        <v>1072</v>
      </c>
      <c r="D293" s="1" t="s">
        <v>1073</v>
      </c>
      <c r="E293" s="1" t="s">
        <v>119</v>
      </c>
      <c r="F293" s="1">
        <v>45582</v>
      </c>
      <c r="G293" s="1">
        <v>45582</v>
      </c>
      <c r="H293" s="1">
        <v>45584</v>
      </c>
      <c r="I293" s="1" t="s">
        <v>72</v>
      </c>
      <c r="J293" s="1" t="s">
        <v>16</v>
      </c>
      <c r="K293" s="1" t="s">
        <v>19</v>
      </c>
      <c r="L293" s="1" t="s">
        <v>61</v>
      </c>
      <c r="M293" s="1" t="s">
        <v>37</v>
      </c>
      <c r="N293" s="1" t="s">
        <v>38</v>
      </c>
      <c r="O293" s="1" t="s">
        <v>39</v>
      </c>
      <c r="P293" s="1">
        <v>10</v>
      </c>
      <c r="Q293" s="1">
        <v>250</v>
      </c>
      <c r="R293" s="1">
        <v>270</v>
      </c>
      <c r="S293" s="1">
        <v>0</v>
      </c>
    </row>
    <row r="294" spans="1:19" x14ac:dyDescent="0.3">
      <c r="A294" s="1" t="s">
        <v>1074</v>
      </c>
      <c r="B294" s="1" t="s">
        <v>486</v>
      </c>
      <c r="C294" s="1" t="s">
        <v>1075</v>
      </c>
      <c r="D294" s="1" t="s">
        <v>1076</v>
      </c>
      <c r="E294" s="1" t="s">
        <v>141</v>
      </c>
      <c r="F294" s="1">
        <v>45976</v>
      </c>
      <c r="G294" s="1">
        <v>45976</v>
      </c>
      <c r="H294" s="1">
        <v>45978</v>
      </c>
      <c r="I294" s="1" t="s">
        <v>82</v>
      </c>
      <c r="J294" s="1" t="s">
        <v>17</v>
      </c>
      <c r="K294" s="1" t="s">
        <v>20</v>
      </c>
      <c r="L294" s="1" t="s">
        <v>24</v>
      </c>
      <c r="M294" s="1" t="s">
        <v>35</v>
      </c>
      <c r="N294" s="1" t="s">
        <v>33</v>
      </c>
      <c r="O294" s="1" t="s">
        <v>36</v>
      </c>
      <c r="P294" s="1">
        <v>3</v>
      </c>
      <c r="Q294" s="1">
        <v>1530</v>
      </c>
      <c r="R294" s="1">
        <v>1790.1</v>
      </c>
      <c r="S294" s="1">
        <v>0.01</v>
      </c>
    </row>
    <row r="295" spans="1:19" x14ac:dyDescent="0.3">
      <c r="A295" s="1" t="s">
        <v>1077</v>
      </c>
      <c r="B295" s="1" t="s">
        <v>271</v>
      </c>
      <c r="C295" s="1" t="s">
        <v>1078</v>
      </c>
      <c r="D295" s="1" t="s">
        <v>1079</v>
      </c>
      <c r="E295" s="1" t="s">
        <v>119</v>
      </c>
      <c r="F295" s="1">
        <v>45810</v>
      </c>
      <c r="G295" s="1">
        <v>45811</v>
      </c>
      <c r="H295" s="1">
        <v>45814</v>
      </c>
      <c r="I295" s="1" t="s">
        <v>72</v>
      </c>
      <c r="J295" s="1" t="s">
        <v>2</v>
      </c>
      <c r="K295" s="1" t="s">
        <v>21</v>
      </c>
      <c r="L295" s="1" t="s">
        <v>61</v>
      </c>
      <c r="M295" s="1" t="s">
        <v>37</v>
      </c>
      <c r="N295" s="1" t="s">
        <v>38</v>
      </c>
      <c r="O295" s="1" t="s">
        <v>39</v>
      </c>
      <c r="P295" s="1">
        <v>7</v>
      </c>
      <c r="Q295" s="1">
        <v>250</v>
      </c>
      <c r="R295" s="1">
        <v>270</v>
      </c>
      <c r="S295" s="1">
        <v>0.06</v>
      </c>
    </row>
    <row r="296" spans="1:19" x14ac:dyDescent="0.3">
      <c r="A296" s="1" t="s">
        <v>1080</v>
      </c>
      <c r="B296" s="1" t="s">
        <v>1081</v>
      </c>
      <c r="C296" s="1" t="s">
        <v>1082</v>
      </c>
      <c r="D296" s="1" t="s">
        <v>1083</v>
      </c>
      <c r="E296" s="1" t="s">
        <v>164</v>
      </c>
      <c r="F296" s="1">
        <v>45978</v>
      </c>
      <c r="G296" s="1">
        <v>45978</v>
      </c>
      <c r="H296" s="1">
        <v>45981</v>
      </c>
      <c r="I296" s="1" t="s">
        <v>72</v>
      </c>
      <c r="J296" s="1" t="s">
        <v>2</v>
      </c>
      <c r="K296" s="1" t="s">
        <v>20</v>
      </c>
      <c r="L296" s="1" t="s">
        <v>23</v>
      </c>
      <c r="M296" s="1" t="s">
        <v>43</v>
      </c>
      <c r="N296" s="1" t="s">
        <v>27</v>
      </c>
      <c r="O296" s="1" t="s">
        <v>31</v>
      </c>
      <c r="P296" s="1">
        <v>9</v>
      </c>
      <c r="Q296" s="1">
        <v>1630</v>
      </c>
      <c r="R296" s="1">
        <v>1744.1000000000001</v>
      </c>
      <c r="S296" s="1">
        <v>0.02</v>
      </c>
    </row>
    <row r="297" spans="1:19" x14ac:dyDescent="0.3">
      <c r="A297" s="1" t="s">
        <v>1084</v>
      </c>
      <c r="B297" s="1" t="s">
        <v>389</v>
      </c>
      <c r="C297" s="1" t="s">
        <v>1085</v>
      </c>
      <c r="D297" s="1" t="s">
        <v>1086</v>
      </c>
      <c r="E297" s="1" t="s">
        <v>187</v>
      </c>
      <c r="F297" s="1">
        <v>45366</v>
      </c>
      <c r="G297" s="1">
        <v>45367</v>
      </c>
      <c r="H297" s="1">
        <v>45369</v>
      </c>
      <c r="I297" s="1" t="s">
        <v>72</v>
      </c>
      <c r="J297" s="1" t="s">
        <v>18</v>
      </c>
      <c r="K297" s="1" t="s">
        <v>21</v>
      </c>
      <c r="L297" s="1" t="s">
        <v>23</v>
      </c>
      <c r="M297" s="1" t="s">
        <v>40</v>
      </c>
      <c r="N297" s="1" t="s">
        <v>38</v>
      </c>
      <c r="O297" s="1" t="s">
        <v>41</v>
      </c>
      <c r="P297" s="1">
        <v>8</v>
      </c>
      <c r="Q297" s="1">
        <v>170</v>
      </c>
      <c r="R297" s="1">
        <v>188.70000000000002</v>
      </c>
      <c r="S297" s="1">
        <v>7.0000000000000007E-2</v>
      </c>
    </row>
    <row r="298" spans="1:19" x14ac:dyDescent="0.3">
      <c r="A298" s="1" t="s">
        <v>1087</v>
      </c>
      <c r="B298" s="1" t="s">
        <v>971</v>
      </c>
      <c r="C298" s="1" t="s">
        <v>1088</v>
      </c>
      <c r="D298" s="1" t="s">
        <v>1089</v>
      </c>
      <c r="E298" s="1" t="s">
        <v>132</v>
      </c>
      <c r="F298" s="1">
        <v>45746</v>
      </c>
      <c r="G298" s="1">
        <v>45746</v>
      </c>
      <c r="H298" s="1">
        <v>45750</v>
      </c>
      <c r="I298" s="1" t="s">
        <v>72</v>
      </c>
      <c r="J298" s="1" t="s">
        <v>16</v>
      </c>
      <c r="K298" s="1" t="s">
        <v>19</v>
      </c>
      <c r="L298" s="1" t="s">
        <v>23</v>
      </c>
      <c r="M298" s="1" t="s">
        <v>53</v>
      </c>
      <c r="N298" s="1" t="s">
        <v>27</v>
      </c>
      <c r="O298" s="1" t="s">
        <v>54</v>
      </c>
      <c r="P298" s="1">
        <v>6</v>
      </c>
      <c r="Q298" s="1">
        <v>430</v>
      </c>
      <c r="R298" s="1">
        <v>455.8</v>
      </c>
      <c r="S298" s="1">
        <v>0.02</v>
      </c>
    </row>
    <row r="299" spans="1:19" x14ac:dyDescent="0.3">
      <c r="A299" s="1" t="s">
        <v>1090</v>
      </c>
      <c r="B299" s="1" t="s">
        <v>474</v>
      </c>
      <c r="C299" s="1" t="s">
        <v>1091</v>
      </c>
      <c r="D299" s="1" t="s">
        <v>1092</v>
      </c>
      <c r="E299" s="1" t="s">
        <v>322</v>
      </c>
      <c r="F299" s="1">
        <v>45659</v>
      </c>
      <c r="G299" s="1">
        <v>45660</v>
      </c>
      <c r="H299" s="1">
        <v>45661</v>
      </c>
      <c r="I299" s="1" t="s">
        <v>82</v>
      </c>
      <c r="J299" s="1" t="s">
        <v>1</v>
      </c>
      <c r="K299" s="1" t="s">
        <v>19</v>
      </c>
      <c r="L299" s="1" t="s">
        <v>25</v>
      </c>
      <c r="M299" s="1" t="s">
        <v>26</v>
      </c>
      <c r="N299" s="1" t="s">
        <v>27</v>
      </c>
      <c r="O299" s="1" t="s">
        <v>28</v>
      </c>
      <c r="P299" s="1">
        <v>1</v>
      </c>
      <c r="Q299" s="1">
        <v>3330</v>
      </c>
      <c r="R299" s="1">
        <v>3629.7000000000003</v>
      </c>
      <c r="S299" s="1">
        <v>0.02</v>
      </c>
    </row>
    <row r="300" spans="1:19" x14ac:dyDescent="0.3">
      <c r="A300" s="1" t="s">
        <v>1093</v>
      </c>
      <c r="B300" s="1" t="s">
        <v>1094</v>
      </c>
      <c r="C300" s="1" t="s">
        <v>1095</v>
      </c>
      <c r="D300" s="1" t="s">
        <v>1096</v>
      </c>
      <c r="E300" s="1" t="s">
        <v>164</v>
      </c>
      <c r="F300" s="1">
        <v>45918</v>
      </c>
      <c r="G300" s="1">
        <v>45918</v>
      </c>
      <c r="H300" s="1">
        <v>45923</v>
      </c>
      <c r="I300" s="1" t="s">
        <v>72</v>
      </c>
      <c r="J300" s="1" t="s">
        <v>1</v>
      </c>
      <c r="K300" s="1" t="s">
        <v>21</v>
      </c>
      <c r="L300" s="1" t="s">
        <v>24</v>
      </c>
      <c r="M300" s="1" t="s">
        <v>43</v>
      </c>
      <c r="N300" s="1" t="s">
        <v>27</v>
      </c>
      <c r="O300" s="1" t="s">
        <v>31</v>
      </c>
      <c r="P300" s="1">
        <v>9</v>
      </c>
      <c r="Q300" s="1">
        <v>1630</v>
      </c>
      <c r="R300" s="1">
        <v>1744.1000000000001</v>
      </c>
      <c r="S300" s="1">
        <v>0.01</v>
      </c>
    </row>
    <row r="301" spans="1:19" x14ac:dyDescent="0.3">
      <c r="A301" s="1" t="s">
        <v>1097</v>
      </c>
      <c r="B301" s="1" t="s">
        <v>1098</v>
      </c>
      <c r="C301" s="1" t="s">
        <v>1099</v>
      </c>
      <c r="D301" s="1" t="s">
        <v>1100</v>
      </c>
      <c r="E301" s="1" t="s">
        <v>114</v>
      </c>
      <c r="F301" s="1">
        <v>45460</v>
      </c>
      <c r="G301" s="1">
        <v>45461</v>
      </c>
      <c r="H301" s="1">
        <v>45462</v>
      </c>
      <c r="I301" s="1" t="s">
        <v>72</v>
      </c>
      <c r="J301" s="1" t="s">
        <v>16</v>
      </c>
      <c r="K301" s="1" t="s">
        <v>20</v>
      </c>
      <c r="L301" s="1" t="s">
        <v>23</v>
      </c>
      <c r="M301" s="1" t="s">
        <v>51</v>
      </c>
      <c r="N301" s="1" t="s">
        <v>33</v>
      </c>
      <c r="O301" s="1" t="s">
        <v>52</v>
      </c>
      <c r="P301" s="1">
        <v>7</v>
      </c>
      <c r="Q301" s="1">
        <v>280</v>
      </c>
      <c r="R301" s="1">
        <v>336</v>
      </c>
      <c r="S301" s="1">
        <v>0.01</v>
      </c>
    </row>
    <row r="302" spans="1:19" x14ac:dyDescent="0.3">
      <c r="A302" s="1" t="s">
        <v>1101</v>
      </c>
      <c r="B302" s="1" t="s">
        <v>785</v>
      </c>
      <c r="C302" s="1" t="s">
        <v>1102</v>
      </c>
      <c r="D302" s="1" t="s">
        <v>1103</v>
      </c>
      <c r="E302" s="1" t="s">
        <v>217</v>
      </c>
      <c r="F302" s="1">
        <v>45567</v>
      </c>
      <c r="G302" s="1">
        <v>45567</v>
      </c>
      <c r="H302" s="1">
        <v>45571</v>
      </c>
      <c r="I302" s="1" t="s">
        <v>72</v>
      </c>
      <c r="J302" s="1" t="s">
        <v>16</v>
      </c>
      <c r="K302" s="1" t="s">
        <v>20</v>
      </c>
      <c r="L302" s="1" t="s">
        <v>22</v>
      </c>
      <c r="M302" s="1" t="s">
        <v>29</v>
      </c>
      <c r="N302" s="1" t="s">
        <v>27</v>
      </c>
      <c r="O302" s="1" t="s">
        <v>28</v>
      </c>
      <c r="P302" s="1">
        <v>5</v>
      </c>
      <c r="Q302" s="1">
        <v>3930</v>
      </c>
      <c r="R302" s="1">
        <v>4362.3</v>
      </c>
      <c r="S302" s="1">
        <v>7.0000000000000007E-2</v>
      </c>
    </row>
    <row r="303" spans="1:19" x14ac:dyDescent="0.3">
      <c r="A303" s="1" t="s">
        <v>1104</v>
      </c>
      <c r="B303" s="1" t="s">
        <v>68</v>
      </c>
      <c r="C303" s="1" t="s">
        <v>1105</v>
      </c>
      <c r="D303" s="1" t="s">
        <v>1106</v>
      </c>
      <c r="E303" s="1" t="s">
        <v>322</v>
      </c>
      <c r="F303" s="1">
        <v>45762</v>
      </c>
      <c r="G303" s="1">
        <v>45762</v>
      </c>
      <c r="H303" s="1">
        <v>45764</v>
      </c>
      <c r="I303" s="1" t="s">
        <v>72</v>
      </c>
      <c r="J303" s="1" t="s">
        <v>16</v>
      </c>
      <c r="K303" s="1" t="s">
        <v>20</v>
      </c>
      <c r="L303" s="1" t="s">
        <v>61</v>
      </c>
      <c r="M303" s="1" t="s">
        <v>26</v>
      </c>
      <c r="N303" s="1" t="s">
        <v>27</v>
      </c>
      <c r="O303" s="1" t="s">
        <v>28</v>
      </c>
      <c r="P303" s="1">
        <v>10</v>
      </c>
      <c r="Q303" s="1">
        <v>3330</v>
      </c>
      <c r="R303" s="1">
        <v>3629.7000000000003</v>
      </c>
      <c r="S303" s="1">
        <v>0.06</v>
      </c>
    </row>
    <row r="304" spans="1:19" x14ac:dyDescent="0.3">
      <c r="A304" s="1" t="s">
        <v>1107</v>
      </c>
      <c r="B304" s="1" t="s">
        <v>1108</v>
      </c>
      <c r="C304" s="1" t="s">
        <v>1109</v>
      </c>
      <c r="D304" s="1" t="s">
        <v>1110</v>
      </c>
      <c r="E304" s="1" t="s">
        <v>95</v>
      </c>
      <c r="F304" s="1">
        <v>45498</v>
      </c>
      <c r="G304" s="1">
        <v>45498</v>
      </c>
      <c r="H304" s="1">
        <v>45502</v>
      </c>
      <c r="I304" s="1" t="s">
        <v>72</v>
      </c>
      <c r="J304" s="1" t="s">
        <v>18</v>
      </c>
      <c r="K304" s="1" t="s">
        <v>21</v>
      </c>
      <c r="L304" s="1" t="s">
        <v>61</v>
      </c>
      <c r="M304" s="1" t="s">
        <v>49</v>
      </c>
      <c r="N304" s="1" t="s">
        <v>33</v>
      </c>
      <c r="O304" s="1" t="s">
        <v>34</v>
      </c>
      <c r="P304" s="1">
        <v>6</v>
      </c>
      <c r="Q304" s="1">
        <v>1080</v>
      </c>
      <c r="R304" s="1">
        <v>1112.4000000000001</v>
      </c>
      <c r="S304" s="1">
        <v>0.06</v>
      </c>
    </row>
    <row r="305" spans="1:19" x14ac:dyDescent="0.3">
      <c r="A305" s="1" t="s">
        <v>1111</v>
      </c>
      <c r="B305" s="1" t="s">
        <v>1112</v>
      </c>
      <c r="C305" s="1" t="s">
        <v>1113</v>
      </c>
      <c r="D305" s="1" t="s">
        <v>1114</v>
      </c>
      <c r="E305" s="1" t="s">
        <v>141</v>
      </c>
      <c r="F305" s="1">
        <v>45309</v>
      </c>
      <c r="G305" s="1">
        <v>45309</v>
      </c>
      <c r="H305" s="1">
        <v>45311</v>
      </c>
      <c r="I305" s="1" t="s">
        <v>72</v>
      </c>
      <c r="J305" s="1" t="s">
        <v>1</v>
      </c>
      <c r="K305" s="1" t="s">
        <v>20</v>
      </c>
      <c r="L305" s="1" t="s">
        <v>23</v>
      </c>
      <c r="M305" s="1" t="s">
        <v>35</v>
      </c>
      <c r="N305" s="1" t="s">
        <v>33</v>
      </c>
      <c r="O305" s="1" t="s">
        <v>36</v>
      </c>
      <c r="P305" s="1">
        <v>10</v>
      </c>
      <c r="Q305" s="1">
        <v>1530</v>
      </c>
      <c r="R305" s="1">
        <v>1790.1</v>
      </c>
      <c r="S305" s="1">
        <v>7.0000000000000007E-2</v>
      </c>
    </row>
    <row r="306" spans="1:19" x14ac:dyDescent="0.3">
      <c r="A306" s="1" t="s">
        <v>1115</v>
      </c>
      <c r="B306" s="1" t="s">
        <v>335</v>
      </c>
      <c r="C306" s="1" t="s">
        <v>1116</v>
      </c>
      <c r="D306" s="1" t="s">
        <v>1117</v>
      </c>
      <c r="E306" s="1" t="s">
        <v>164</v>
      </c>
      <c r="F306" s="1">
        <v>46164</v>
      </c>
      <c r="G306" s="1">
        <v>46164</v>
      </c>
      <c r="H306" s="1">
        <v>46169</v>
      </c>
      <c r="I306" s="1" t="s">
        <v>72</v>
      </c>
      <c r="J306" s="1" t="s">
        <v>1</v>
      </c>
      <c r="K306" s="1" t="s">
        <v>21</v>
      </c>
      <c r="L306" s="1" t="s">
        <v>23</v>
      </c>
      <c r="M306" s="1" t="s">
        <v>43</v>
      </c>
      <c r="N306" s="1" t="s">
        <v>27</v>
      </c>
      <c r="O306" s="1" t="s">
        <v>31</v>
      </c>
      <c r="P306" s="1">
        <v>6</v>
      </c>
      <c r="Q306" s="1">
        <v>1630</v>
      </c>
      <c r="R306" s="1">
        <v>1744.1000000000001</v>
      </c>
      <c r="S306" s="1">
        <v>0.1</v>
      </c>
    </row>
    <row r="307" spans="1:19" x14ac:dyDescent="0.3">
      <c r="A307" s="1" t="s">
        <v>1118</v>
      </c>
      <c r="B307" s="1" t="s">
        <v>134</v>
      </c>
      <c r="C307" s="1" t="s">
        <v>1119</v>
      </c>
      <c r="D307" s="1" t="s">
        <v>1120</v>
      </c>
      <c r="E307" s="1" t="s">
        <v>132</v>
      </c>
      <c r="F307" s="1">
        <v>45486</v>
      </c>
      <c r="G307" s="1">
        <v>45486</v>
      </c>
      <c r="H307" s="1">
        <v>45489</v>
      </c>
      <c r="I307" s="1" t="s">
        <v>72</v>
      </c>
      <c r="J307" s="1" t="s">
        <v>17</v>
      </c>
      <c r="K307" s="1" t="s">
        <v>19</v>
      </c>
      <c r="L307" s="1" t="s">
        <v>61</v>
      </c>
      <c r="M307" s="1" t="s">
        <v>53</v>
      </c>
      <c r="N307" s="1" t="s">
        <v>27</v>
      </c>
      <c r="O307" s="1" t="s">
        <v>54</v>
      </c>
      <c r="P307" s="1">
        <v>10</v>
      </c>
      <c r="Q307" s="1">
        <v>430</v>
      </c>
      <c r="R307" s="1">
        <v>455.8</v>
      </c>
      <c r="S307" s="1">
        <v>0.08</v>
      </c>
    </row>
    <row r="308" spans="1:19" x14ac:dyDescent="0.3">
      <c r="A308" s="1" t="s">
        <v>1121</v>
      </c>
      <c r="B308" s="1" t="s">
        <v>1122</v>
      </c>
      <c r="C308" s="1" t="s">
        <v>1123</v>
      </c>
      <c r="D308" s="1" t="s">
        <v>1124</v>
      </c>
      <c r="E308" s="1" t="s">
        <v>217</v>
      </c>
      <c r="F308" s="1">
        <v>45589</v>
      </c>
      <c r="G308" s="1">
        <v>45589</v>
      </c>
      <c r="H308" s="1">
        <v>45592</v>
      </c>
      <c r="I308" s="1" t="s">
        <v>72</v>
      </c>
      <c r="J308" s="1" t="s">
        <v>1</v>
      </c>
      <c r="K308" s="1" t="s">
        <v>20</v>
      </c>
      <c r="L308" s="1" t="s">
        <v>23</v>
      </c>
      <c r="M308" s="1" t="s">
        <v>29</v>
      </c>
      <c r="N308" s="1" t="s">
        <v>27</v>
      </c>
      <c r="O308" s="1" t="s">
        <v>28</v>
      </c>
      <c r="P308" s="1">
        <v>9</v>
      </c>
      <c r="Q308" s="1">
        <v>3930</v>
      </c>
      <c r="R308" s="1">
        <v>4362.3</v>
      </c>
      <c r="S308" s="1">
        <v>0.1</v>
      </c>
    </row>
    <row r="309" spans="1:19" x14ac:dyDescent="0.3">
      <c r="A309" s="1" t="s">
        <v>1125</v>
      </c>
      <c r="B309" s="1" t="s">
        <v>1094</v>
      </c>
      <c r="C309" s="1" t="s">
        <v>1126</v>
      </c>
      <c r="D309" s="1" t="s">
        <v>1127</v>
      </c>
      <c r="E309" s="1" t="s">
        <v>87</v>
      </c>
      <c r="F309" s="1">
        <v>45398</v>
      </c>
      <c r="G309" s="1">
        <v>45399</v>
      </c>
      <c r="H309" s="1">
        <v>45403</v>
      </c>
      <c r="I309" s="1" t="s">
        <v>72</v>
      </c>
      <c r="J309" s="1" t="s">
        <v>17</v>
      </c>
      <c r="K309" s="1" t="s">
        <v>21</v>
      </c>
      <c r="L309" s="1" t="s">
        <v>24</v>
      </c>
      <c r="M309" s="1" t="s">
        <v>30</v>
      </c>
      <c r="N309" s="1" t="s">
        <v>27</v>
      </c>
      <c r="O309" s="1" t="s">
        <v>31</v>
      </c>
      <c r="P309" s="1">
        <v>13</v>
      </c>
      <c r="Q309" s="1">
        <v>1030</v>
      </c>
      <c r="R309" s="1">
        <v>1174.2</v>
      </c>
      <c r="S309" s="1">
        <v>0</v>
      </c>
    </row>
    <row r="310" spans="1:19" x14ac:dyDescent="0.3">
      <c r="A310" s="1" t="s">
        <v>1128</v>
      </c>
      <c r="B310" s="1" t="s">
        <v>121</v>
      </c>
      <c r="C310" s="1" t="s">
        <v>1129</v>
      </c>
      <c r="D310" s="1" t="s">
        <v>794</v>
      </c>
      <c r="E310" s="1" t="s">
        <v>81</v>
      </c>
      <c r="F310" s="1">
        <v>45982</v>
      </c>
      <c r="G310" s="1">
        <v>45983</v>
      </c>
      <c r="H310" s="1">
        <v>45984</v>
      </c>
      <c r="I310" s="1" t="s">
        <v>82</v>
      </c>
      <c r="J310" s="1" t="s">
        <v>16</v>
      </c>
      <c r="K310" s="1" t="s">
        <v>19</v>
      </c>
      <c r="L310" s="1" t="s">
        <v>24</v>
      </c>
      <c r="M310" s="1" t="s">
        <v>59</v>
      </c>
      <c r="N310" s="1" t="s">
        <v>27</v>
      </c>
      <c r="O310" s="1" t="s">
        <v>60</v>
      </c>
      <c r="P310" s="1">
        <v>4</v>
      </c>
      <c r="Q310" s="1">
        <v>1230</v>
      </c>
      <c r="R310" s="1">
        <v>1328.4</v>
      </c>
      <c r="S310" s="1">
        <v>0.02</v>
      </c>
    </row>
    <row r="311" spans="1:19" x14ac:dyDescent="0.3">
      <c r="A311" s="1" t="s">
        <v>1130</v>
      </c>
      <c r="B311" s="1" t="s">
        <v>1131</v>
      </c>
      <c r="C311" s="1" t="s">
        <v>1132</v>
      </c>
      <c r="D311" s="1" t="s">
        <v>1133</v>
      </c>
      <c r="E311" s="1" t="s">
        <v>109</v>
      </c>
      <c r="F311" s="1">
        <v>45869</v>
      </c>
      <c r="G311" s="1">
        <v>45870</v>
      </c>
      <c r="H311" s="1">
        <v>45871</v>
      </c>
      <c r="I311" s="1" t="s">
        <v>72</v>
      </c>
      <c r="J311" s="1" t="s">
        <v>18</v>
      </c>
      <c r="K311" s="1" t="s">
        <v>21</v>
      </c>
      <c r="L311" s="1" t="s">
        <v>22</v>
      </c>
      <c r="M311" s="1" t="s">
        <v>55</v>
      </c>
      <c r="N311" s="1" t="s">
        <v>27</v>
      </c>
      <c r="O311" s="1" t="s">
        <v>56</v>
      </c>
      <c r="P311" s="1">
        <v>7</v>
      </c>
      <c r="Q311" s="1">
        <v>650</v>
      </c>
      <c r="R311" s="1">
        <v>663</v>
      </c>
      <c r="S311" s="1">
        <v>0.05</v>
      </c>
    </row>
    <row r="312" spans="1:19" x14ac:dyDescent="0.3">
      <c r="A312" s="1" t="s">
        <v>1134</v>
      </c>
      <c r="B312" s="1" t="s">
        <v>538</v>
      </c>
      <c r="C312" s="1" t="s">
        <v>1135</v>
      </c>
      <c r="D312" s="1" t="s">
        <v>1136</v>
      </c>
      <c r="E312" s="1" t="s">
        <v>95</v>
      </c>
      <c r="F312" s="1">
        <v>46169</v>
      </c>
      <c r="G312" s="1">
        <v>46169</v>
      </c>
      <c r="H312" s="1">
        <v>46172</v>
      </c>
      <c r="I312" s="1" t="s">
        <v>72</v>
      </c>
      <c r="J312" s="1" t="s">
        <v>17</v>
      </c>
      <c r="K312" s="1" t="s">
        <v>20</v>
      </c>
      <c r="L312" s="1" t="s">
        <v>25</v>
      </c>
      <c r="M312" s="1" t="s">
        <v>49</v>
      </c>
      <c r="N312" s="1" t="s">
        <v>33</v>
      </c>
      <c r="O312" s="1" t="s">
        <v>34</v>
      </c>
      <c r="P312" s="1">
        <v>6</v>
      </c>
      <c r="Q312" s="1">
        <v>1080</v>
      </c>
      <c r="R312" s="1">
        <v>1112.4000000000001</v>
      </c>
      <c r="S312" s="1">
        <v>0</v>
      </c>
    </row>
    <row r="313" spans="1:19" x14ac:dyDescent="0.3">
      <c r="A313" s="1" t="s">
        <v>1137</v>
      </c>
      <c r="B313" s="1" t="s">
        <v>393</v>
      </c>
      <c r="C313" s="1" t="s">
        <v>1138</v>
      </c>
      <c r="D313" s="1" t="s">
        <v>1139</v>
      </c>
      <c r="E313" s="1" t="s">
        <v>95</v>
      </c>
      <c r="F313" s="1">
        <v>45836</v>
      </c>
      <c r="G313" s="1">
        <v>45836</v>
      </c>
      <c r="H313" s="1">
        <v>45838</v>
      </c>
      <c r="I313" s="1" t="s">
        <v>72</v>
      </c>
      <c r="J313" s="1" t="s">
        <v>16</v>
      </c>
      <c r="K313" s="1" t="s">
        <v>20</v>
      </c>
      <c r="L313" s="1" t="s">
        <v>24</v>
      </c>
      <c r="M313" s="1" t="s">
        <v>49</v>
      </c>
      <c r="N313" s="1" t="s">
        <v>33</v>
      </c>
      <c r="O313" s="1" t="s">
        <v>34</v>
      </c>
      <c r="P313" s="1">
        <v>6</v>
      </c>
      <c r="Q313" s="1">
        <v>1080</v>
      </c>
      <c r="R313" s="1">
        <v>1112.4000000000001</v>
      </c>
      <c r="S313" s="1">
        <v>0.02</v>
      </c>
    </row>
    <row r="314" spans="1:19" x14ac:dyDescent="0.3">
      <c r="A314" s="1" t="s">
        <v>1140</v>
      </c>
      <c r="B314" s="1" t="s">
        <v>679</v>
      </c>
      <c r="C314" s="1" t="s">
        <v>1141</v>
      </c>
      <c r="D314" s="1" t="s">
        <v>317</v>
      </c>
      <c r="E314" s="1" t="s">
        <v>141</v>
      </c>
      <c r="F314" s="1">
        <v>45761</v>
      </c>
      <c r="G314" s="1">
        <v>45762</v>
      </c>
      <c r="H314" s="1">
        <v>45766</v>
      </c>
      <c r="I314" s="1" t="s">
        <v>72</v>
      </c>
      <c r="J314" s="1" t="s">
        <v>16</v>
      </c>
      <c r="K314" s="1" t="s">
        <v>20</v>
      </c>
      <c r="L314" s="1" t="s">
        <v>23</v>
      </c>
      <c r="M314" s="1" t="s">
        <v>35</v>
      </c>
      <c r="N314" s="1" t="s">
        <v>33</v>
      </c>
      <c r="O314" s="1" t="s">
        <v>36</v>
      </c>
      <c r="P314" s="1">
        <v>9</v>
      </c>
      <c r="Q314" s="1">
        <v>1530</v>
      </c>
      <c r="R314" s="1">
        <v>1790.1</v>
      </c>
      <c r="S314" s="1">
        <v>0.03</v>
      </c>
    </row>
    <row r="315" spans="1:19" x14ac:dyDescent="0.3">
      <c r="A315" s="1" t="s">
        <v>1142</v>
      </c>
      <c r="B315" s="1" t="s">
        <v>240</v>
      </c>
      <c r="C315" s="1" t="s">
        <v>1143</v>
      </c>
      <c r="D315" s="1" t="s">
        <v>1144</v>
      </c>
      <c r="E315" s="1" t="s">
        <v>100</v>
      </c>
      <c r="F315" s="1">
        <v>45897</v>
      </c>
      <c r="G315" s="1">
        <v>45898</v>
      </c>
      <c r="H315" s="1">
        <v>45901</v>
      </c>
      <c r="I315" s="1" t="s">
        <v>72</v>
      </c>
      <c r="J315" s="1" t="s">
        <v>18</v>
      </c>
      <c r="K315" s="1" t="s">
        <v>21</v>
      </c>
      <c r="L315" s="1" t="s">
        <v>24</v>
      </c>
      <c r="M315" s="1" t="s">
        <v>42</v>
      </c>
      <c r="N315" s="1" t="s">
        <v>27</v>
      </c>
      <c r="O315" s="1" t="s">
        <v>28</v>
      </c>
      <c r="P315" s="1">
        <v>11</v>
      </c>
      <c r="Q315" s="1">
        <v>3030</v>
      </c>
      <c r="R315" s="1">
        <v>3211.8</v>
      </c>
      <c r="S315" s="1">
        <v>0.1</v>
      </c>
    </row>
    <row r="316" spans="1:19" x14ac:dyDescent="0.3">
      <c r="A316" s="1" t="s">
        <v>1145</v>
      </c>
      <c r="B316" s="1" t="s">
        <v>1057</v>
      </c>
      <c r="C316" s="1" t="s">
        <v>1146</v>
      </c>
      <c r="D316" s="1" t="s">
        <v>153</v>
      </c>
      <c r="E316" s="1" t="s">
        <v>322</v>
      </c>
      <c r="F316" s="1">
        <v>46065</v>
      </c>
      <c r="G316" s="1">
        <v>46065</v>
      </c>
      <c r="H316" s="1">
        <v>46069</v>
      </c>
      <c r="I316" s="1" t="s">
        <v>82</v>
      </c>
      <c r="J316" s="1" t="s">
        <v>2</v>
      </c>
      <c r="K316" s="1" t="s">
        <v>19</v>
      </c>
      <c r="L316" s="1" t="s">
        <v>22</v>
      </c>
      <c r="M316" s="1" t="s">
        <v>26</v>
      </c>
      <c r="N316" s="1" t="s">
        <v>27</v>
      </c>
      <c r="O316" s="1" t="s">
        <v>28</v>
      </c>
      <c r="P316" s="1">
        <v>4</v>
      </c>
      <c r="Q316" s="1">
        <v>3330</v>
      </c>
      <c r="R316" s="1">
        <v>3629.7000000000003</v>
      </c>
      <c r="S316" s="1">
        <v>0.1</v>
      </c>
    </row>
    <row r="317" spans="1:19" x14ac:dyDescent="0.3">
      <c r="A317" s="1" t="s">
        <v>1147</v>
      </c>
      <c r="B317" s="1" t="s">
        <v>230</v>
      </c>
      <c r="C317" s="1" t="s">
        <v>1148</v>
      </c>
      <c r="D317" s="1" t="s">
        <v>1149</v>
      </c>
      <c r="E317" s="1" t="s">
        <v>192</v>
      </c>
      <c r="F317" s="1">
        <v>45795</v>
      </c>
      <c r="G317" s="1">
        <v>45796</v>
      </c>
      <c r="H317" s="1">
        <v>45797</v>
      </c>
      <c r="I317" s="1" t="s">
        <v>82</v>
      </c>
      <c r="J317" s="1" t="s">
        <v>2</v>
      </c>
      <c r="K317" s="1" t="s">
        <v>20</v>
      </c>
      <c r="L317" s="1" t="s">
        <v>22</v>
      </c>
      <c r="M317" s="1" t="s">
        <v>46</v>
      </c>
      <c r="N317" s="1" t="s">
        <v>38</v>
      </c>
      <c r="O317" s="1" t="s">
        <v>45</v>
      </c>
      <c r="P317" s="1">
        <v>2</v>
      </c>
      <c r="Q317" s="1">
        <v>350</v>
      </c>
      <c r="R317" s="1">
        <v>364</v>
      </c>
      <c r="S317" s="1">
        <v>0.05</v>
      </c>
    </row>
    <row r="318" spans="1:19" x14ac:dyDescent="0.3">
      <c r="A318" s="1" t="s">
        <v>1150</v>
      </c>
      <c r="B318" s="1" t="s">
        <v>381</v>
      </c>
      <c r="C318" s="1" t="s">
        <v>1151</v>
      </c>
      <c r="D318" s="1" t="s">
        <v>1152</v>
      </c>
      <c r="E318" s="1" t="s">
        <v>77</v>
      </c>
      <c r="F318" s="1">
        <v>45455</v>
      </c>
      <c r="G318" s="1">
        <v>45455</v>
      </c>
      <c r="H318" s="1">
        <v>45459</v>
      </c>
      <c r="I318" s="1" t="s">
        <v>72</v>
      </c>
      <c r="J318" s="1" t="s">
        <v>17</v>
      </c>
      <c r="K318" s="1" t="s">
        <v>20</v>
      </c>
      <c r="L318" s="1" t="s">
        <v>61</v>
      </c>
      <c r="M318" s="1" t="s">
        <v>44</v>
      </c>
      <c r="N318" s="1" t="s">
        <v>38</v>
      </c>
      <c r="O318" s="1" t="s">
        <v>45</v>
      </c>
      <c r="P318" s="1">
        <v>5</v>
      </c>
      <c r="Q318" s="1">
        <v>210</v>
      </c>
      <c r="R318" s="1">
        <v>222.60000000000002</v>
      </c>
      <c r="S318" s="1">
        <v>7.0000000000000007E-2</v>
      </c>
    </row>
    <row r="319" spans="1:19" x14ac:dyDescent="0.3">
      <c r="A319" s="1" t="s">
        <v>1153</v>
      </c>
      <c r="B319" s="1" t="s">
        <v>1154</v>
      </c>
      <c r="C319" s="1" t="s">
        <v>1155</v>
      </c>
      <c r="D319" s="1" t="s">
        <v>1156</v>
      </c>
      <c r="E319" s="1" t="s">
        <v>173</v>
      </c>
      <c r="F319" s="1">
        <v>45509</v>
      </c>
      <c r="G319" s="1">
        <v>45510</v>
      </c>
      <c r="H319" s="1">
        <v>45511</v>
      </c>
      <c r="I319" s="1" t="s">
        <v>82</v>
      </c>
      <c r="J319" s="1" t="s">
        <v>16</v>
      </c>
      <c r="K319" s="1" t="s">
        <v>20</v>
      </c>
      <c r="L319" s="1" t="s">
        <v>23</v>
      </c>
      <c r="M319" s="1" t="s">
        <v>48</v>
      </c>
      <c r="N319" s="1" t="s">
        <v>38</v>
      </c>
      <c r="O319" s="1" t="s">
        <v>41</v>
      </c>
      <c r="P319" s="1">
        <v>1</v>
      </c>
      <c r="Q319" s="1">
        <v>580</v>
      </c>
      <c r="R319" s="1">
        <v>667</v>
      </c>
      <c r="S319" s="1">
        <v>0.09</v>
      </c>
    </row>
    <row r="320" spans="1:19" x14ac:dyDescent="0.3">
      <c r="A320" s="1" t="s">
        <v>1157</v>
      </c>
      <c r="B320" s="1" t="s">
        <v>180</v>
      </c>
      <c r="C320" s="1" t="s">
        <v>1158</v>
      </c>
      <c r="D320" s="1" t="s">
        <v>1159</v>
      </c>
      <c r="E320" s="1" t="s">
        <v>119</v>
      </c>
      <c r="F320" s="1">
        <v>46109</v>
      </c>
      <c r="G320" s="1">
        <v>46109</v>
      </c>
      <c r="H320" s="1">
        <v>46114</v>
      </c>
      <c r="I320" s="1" t="s">
        <v>72</v>
      </c>
      <c r="J320" s="1" t="s">
        <v>16</v>
      </c>
      <c r="K320" s="1" t="s">
        <v>20</v>
      </c>
      <c r="L320" s="1" t="s">
        <v>22</v>
      </c>
      <c r="M320" s="1" t="s">
        <v>37</v>
      </c>
      <c r="N320" s="1" t="s">
        <v>38</v>
      </c>
      <c r="O320" s="1" t="s">
        <v>39</v>
      </c>
      <c r="P320" s="1">
        <v>5</v>
      </c>
      <c r="Q320" s="1">
        <v>250</v>
      </c>
      <c r="R320" s="1">
        <v>270</v>
      </c>
      <c r="S320" s="1">
        <v>0.08</v>
      </c>
    </row>
    <row r="321" spans="1:19" x14ac:dyDescent="0.3">
      <c r="A321" s="1" t="s">
        <v>1160</v>
      </c>
      <c r="B321" s="1" t="s">
        <v>709</v>
      </c>
      <c r="C321" s="1" t="s">
        <v>1161</v>
      </c>
      <c r="D321" s="1" t="s">
        <v>1162</v>
      </c>
      <c r="E321" s="1" t="s">
        <v>100</v>
      </c>
      <c r="F321" s="1">
        <v>45895</v>
      </c>
      <c r="G321" s="1">
        <v>45895</v>
      </c>
      <c r="H321" s="1">
        <v>45899</v>
      </c>
      <c r="I321" s="1" t="s">
        <v>72</v>
      </c>
      <c r="J321" s="1" t="s">
        <v>16</v>
      </c>
      <c r="K321" s="1" t="s">
        <v>19</v>
      </c>
      <c r="L321" s="1" t="s">
        <v>25</v>
      </c>
      <c r="M321" s="1" t="s">
        <v>42</v>
      </c>
      <c r="N321" s="1" t="s">
        <v>27</v>
      </c>
      <c r="O321" s="1" t="s">
        <v>28</v>
      </c>
      <c r="P321" s="1">
        <v>5</v>
      </c>
      <c r="Q321" s="1">
        <v>3030</v>
      </c>
      <c r="R321" s="1">
        <v>3211.8</v>
      </c>
      <c r="S321" s="1">
        <v>0.02</v>
      </c>
    </row>
    <row r="322" spans="1:19" x14ac:dyDescent="0.3">
      <c r="A322" s="1" t="s">
        <v>1163</v>
      </c>
      <c r="B322" s="1" t="s">
        <v>377</v>
      </c>
      <c r="C322" s="1" t="s">
        <v>1164</v>
      </c>
      <c r="D322" s="1" t="s">
        <v>1165</v>
      </c>
      <c r="E322" s="1" t="s">
        <v>114</v>
      </c>
      <c r="F322" s="1">
        <v>45359</v>
      </c>
      <c r="G322" s="1">
        <v>45359</v>
      </c>
      <c r="H322" s="1">
        <v>45361</v>
      </c>
      <c r="I322" s="1" t="s">
        <v>82</v>
      </c>
      <c r="J322" s="1" t="s">
        <v>16</v>
      </c>
      <c r="K322" s="1" t="s">
        <v>20</v>
      </c>
      <c r="L322" s="1" t="s">
        <v>22</v>
      </c>
      <c r="M322" s="1" t="s">
        <v>51</v>
      </c>
      <c r="N322" s="1" t="s">
        <v>33</v>
      </c>
      <c r="O322" s="1" t="s">
        <v>52</v>
      </c>
      <c r="P322" s="1">
        <v>2</v>
      </c>
      <c r="Q322" s="1">
        <v>280</v>
      </c>
      <c r="R322" s="1">
        <v>336</v>
      </c>
      <c r="S322" s="1">
        <v>0.04</v>
      </c>
    </row>
    <row r="323" spans="1:19" x14ac:dyDescent="0.3">
      <c r="A323" s="1" t="s">
        <v>1166</v>
      </c>
      <c r="B323" s="1" t="s">
        <v>1167</v>
      </c>
      <c r="C323" s="1" t="s">
        <v>1168</v>
      </c>
      <c r="D323" s="1" t="s">
        <v>1169</v>
      </c>
      <c r="E323" s="1" t="s">
        <v>81</v>
      </c>
      <c r="F323" s="1">
        <v>45733</v>
      </c>
      <c r="G323" s="1">
        <v>45733</v>
      </c>
      <c r="H323" s="1">
        <v>45738</v>
      </c>
      <c r="I323" s="1" t="s">
        <v>72</v>
      </c>
      <c r="J323" s="1" t="s">
        <v>18</v>
      </c>
      <c r="K323" s="1" t="s">
        <v>21</v>
      </c>
      <c r="L323" s="1" t="s">
        <v>23</v>
      </c>
      <c r="M323" s="1" t="s">
        <v>59</v>
      </c>
      <c r="N323" s="1" t="s">
        <v>27</v>
      </c>
      <c r="O323" s="1" t="s">
        <v>60</v>
      </c>
      <c r="P323" s="1">
        <v>15</v>
      </c>
      <c r="Q323" s="1">
        <v>1230</v>
      </c>
      <c r="R323" s="1">
        <v>1328.4</v>
      </c>
      <c r="S323" s="1">
        <v>0.04</v>
      </c>
    </row>
    <row r="324" spans="1:19" x14ac:dyDescent="0.3">
      <c r="A324" s="1" t="s">
        <v>1170</v>
      </c>
      <c r="B324" s="1" t="s">
        <v>1019</v>
      </c>
      <c r="C324" s="1" t="s">
        <v>1171</v>
      </c>
      <c r="D324" s="1" t="s">
        <v>1172</v>
      </c>
      <c r="E324" s="1" t="s">
        <v>187</v>
      </c>
      <c r="F324" s="1">
        <v>45386</v>
      </c>
      <c r="G324" s="1">
        <v>45387</v>
      </c>
      <c r="H324" s="1">
        <v>45388</v>
      </c>
      <c r="I324" s="1" t="s">
        <v>72</v>
      </c>
      <c r="J324" s="1" t="s">
        <v>2</v>
      </c>
      <c r="K324" s="1" t="s">
        <v>21</v>
      </c>
      <c r="L324" s="1" t="s">
        <v>24</v>
      </c>
      <c r="M324" s="1" t="s">
        <v>40</v>
      </c>
      <c r="N324" s="1" t="s">
        <v>38</v>
      </c>
      <c r="O324" s="1" t="s">
        <v>41</v>
      </c>
      <c r="P324" s="1">
        <v>9</v>
      </c>
      <c r="Q324" s="1">
        <v>170</v>
      </c>
      <c r="R324" s="1">
        <v>188.70000000000002</v>
      </c>
      <c r="S324" s="1">
        <v>0.06</v>
      </c>
    </row>
    <row r="325" spans="1:19" x14ac:dyDescent="0.3">
      <c r="A325" s="1" t="s">
        <v>1173</v>
      </c>
      <c r="B325" s="1" t="s">
        <v>1174</v>
      </c>
      <c r="C325" s="1" t="s">
        <v>1175</v>
      </c>
      <c r="D325" s="1" t="s">
        <v>1176</v>
      </c>
      <c r="E325" s="1" t="s">
        <v>77</v>
      </c>
      <c r="F325" s="1">
        <v>45928</v>
      </c>
      <c r="G325" s="1">
        <v>45928</v>
      </c>
      <c r="H325" s="1">
        <v>45931</v>
      </c>
      <c r="I325" s="1" t="s">
        <v>82</v>
      </c>
      <c r="J325" s="1" t="s">
        <v>2</v>
      </c>
      <c r="K325" s="1" t="s">
        <v>20</v>
      </c>
      <c r="L325" s="1" t="s">
        <v>61</v>
      </c>
      <c r="M325" s="1" t="s">
        <v>44</v>
      </c>
      <c r="N325" s="1" t="s">
        <v>38</v>
      </c>
      <c r="O325" s="1" t="s">
        <v>45</v>
      </c>
      <c r="P325" s="1">
        <v>1</v>
      </c>
      <c r="Q325" s="1">
        <v>210</v>
      </c>
      <c r="R325" s="1">
        <v>222.60000000000002</v>
      </c>
      <c r="S325" s="1">
        <v>0</v>
      </c>
    </row>
    <row r="326" spans="1:19" x14ac:dyDescent="0.3">
      <c r="A326" s="1" t="s">
        <v>1177</v>
      </c>
      <c r="B326" s="1" t="s">
        <v>1178</v>
      </c>
      <c r="C326" s="1" t="s">
        <v>1179</v>
      </c>
      <c r="D326" s="1" t="s">
        <v>1180</v>
      </c>
      <c r="E326" s="1" t="s">
        <v>132</v>
      </c>
      <c r="F326" s="1">
        <v>45738</v>
      </c>
      <c r="G326" s="1">
        <v>45738</v>
      </c>
      <c r="H326" s="1">
        <v>45741</v>
      </c>
      <c r="I326" s="1" t="s">
        <v>72</v>
      </c>
      <c r="J326" s="1" t="s">
        <v>16</v>
      </c>
      <c r="K326" s="1" t="s">
        <v>19</v>
      </c>
      <c r="L326" s="1" t="s">
        <v>25</v>
      </c>
      <c r="M326" s="1" t="s">
        <v>53</v>
      </c>
      <c r="N326" s="1" t="s">
        <v>27</v>
      </c>
      <c r="O326" s="1" t="s">
        <v>54</v>
      </c>
      <c r="P326" s="1">
        <v>7</v>
      </c>
      <c r="Q326" s="1">
        <v>430</v>
      </c>
      <c r="R326" s="1">
        <v>455.8</v>
      </c>
      <c r="S326" s="1">
        <v>0.01</v>
      </c>
    </row>
    <row r="327" spans="1:19" x14ac:dyDescent="0.3">
      <c r="A327" s="1" t="s">
        <v>1181</v>
      </c>
      <c r="B327" s="1" t="s">
        <v>346</v>
      </c>
      <c r="C327" s="1" t="s">
        <v>1182</v>
      </c>
      <c r="D327" s="1" t="s">
        <v>1183</v>
      </c>
      <c r="E327" s="1" t="s">
        <v>71</v>
      </c>
      <c r="F327" s="1">
        <v>45740</v>
      </c>
      <c r="G327" s="1">
        <v>45740</v>
      </c>
      <c r="H327" s="1">
        <v>45743</v>
      </c>
      <c r="I327" s="1" t="s">
        <v>82</v>
      </c>
      <c r="J327" s="1" t="s">
        <v>1</v>
      </c>
      <c r="K327" s="1" t="s">
        <v>20</v>
      </c>
      <c r="L327" s="1" t="s">
        <v>23</v>
      </c>
      <c r="M327" s="1" t="s">
        <v>32</v>
      </c>
      <c r="N327" s="1" t="s">
        <v>33</v>
      </c>
      <c r="O327" s="1" t="s">
        <v>34</v>
      </c>
      <c r="P327" s="1">
        <v>4</v>
      </c>
      <c r="Q327" s="1">
        <v>730</v>
      </c>
      <c r="R327" s="1">
        <v>824.9</v>
      </c>
      <c r="S327" s="1">
        <v>7.0000000000000007E-2</v>
      </c>
    </row>
    <row r="328" spans="1:19" x14ac:dyDescent="0.3">
      <c r="A328" s="1" t="s">
        <v>1184</v>
      </c>
      <c r="B328" s="1" t="s">
        <v>1009</v>
      </c>
      <c r="C328" s="1" t="s">
        <v>1185</v>
      </c>
      <c r="D328" s="1" t="s">
        <v>1186</v>
      </c>
      <c r="E328" s="1" t="s">
        <v>119</v>
      </c>
      <c r="F328" s="1">
        <v>46132</v>
      </c>
      <c r="G328" s="1">
        <v>46133</v>
      </c>
      <c r="H328" s="1">
        <v>46137</v>
      </c>
      <c r="I328" s="1" t="s">
        <v>72</v>
      </c>
      <c r="J328" s="1" t="s">
        <v>16</v>
      </c>
      <c r="K328" s="1" t="s">
        <v>21</v>
      </c>
      <c r="L328" s="1" t="s">
        <v>24</v>
      </c>
      <c r="M328" s="1" t="s">
        <v>37</v>
      </c>
      <c r="N328" s="1" t="s">
        <v>38</v>
      </c>
      <c r="O328" s="1" t="s">
        <v>39</v>
      </c>
      <c r="P328" s="1">
        <v>12</v>
      </c>
      <c r="Q328" s="1">
        <v>250</v>
      </c>
      <c r="R328" s="1">
        <v>270</v>
      </c>
      <c r="S328" s="1">
        <v>0.02</v>
      </c>
    </row>
    <row r="329" spans="1:19" x14ac:dyDescent="0.3">
      <c r="A329" s="1" t="s">
        <v>1187</v>
      </c>
      <c r="B329" s="1" t="s">
        <v>400</v>
      </c>
      <c r="C329" s="1" t="s">
        <v>1188</v>
      </c>
      <c r="D329" s="1" t="s">
        <v>1189</v>
      </c>
      <c r="E329" s="1" t="s">
        <v>81</v>
      </c>
      <c r="F329" s="1">
        <v>46175</v>
      </c>
      <c r="G329" s="1">
        <v>46175</v>
      </c>
      <c r="H329" s="1">
        <v>46178</v>
      </c>
      <c r="I329" s="1" t="s">
        <v>82</v>
      </c>
      <c r="J329" s="1" t="s">
        <v>1</v>
      </c>
      <c r="K329" s="1" t="s">
        <v>19</v>
      </c>
      <c r="L329" s="1" t="s">
        <v>22</v>
      </c>
      <c r="M329" s="1" t="s">
        <v>59</v>
      </c>
      <c r="N329" s="1" t="s">
        <v>27</v>
      </c>
      <c r="O329" s="1" t="s">
        <v>60</v>
      </c>
      <c r="P329" s="1">
        <v>1</v>
      </c>
      <c r="Q329" s="1">
        <v>1230</v>
      </c>
      <c r="R329" s="1">
        <v>1328.4</v>
      </c>
      <c r="S329" s="1">
        <v>0.1</v>
      </c>
    </row>
    <row r="330" spans="1:19" x14ac:dyDescent="0.3">
      <c r="A330" s="1" t="s">
        <v>1190</v>
      </c>
      <c r="B330" s="1" t="s">
        <v>709</v>
      </c>
      <c r="C330" s="1" t="s">
        <v>1191</v>
      </c>
      <c r="D330" s="1" t="s">
        <v>1192</v>
      </c>
      <c r="E330" s="1" t="s">
        <v>77</v>
      </c>
      <c r="F330" s="1">
        <v>45542</v>
      </c>
      <c r="G330" s="1">
        <v>45543</v>
      </c>
      <c r="H330" s="1">
        <v>45547</v>
      </c>
      <c r="I330" s="1" t="s">
        <v>72</v>
      </c>
      <c r="J330" s="1" t="s">
        <v>17</v>
      </c>
      <c r="K330" s="1" t="s">
        <v>19</v>
      </c>
      <c r="L330" s="1" t="s">
        <v>23</v>
      </c>
      <c r="M330" s="1" t="s">
        <v>44</v>
      </c>
      <c r="N330" s="1" t="s">
        <v>38</v>
      </c>
      <c r="O330" s="1" t="s">
        <v>45</v>
      </c>
      <c r="P330" s="1">
        <v>6</v>
      </c>
      <c r="Q330" s="1">
        <v>210</v>
      </c>
      <c r="R330" s="1">
        <v>222.60000000000002</v>
      </c>
      <c r="S330" s="1">
        <v>0.03</v>
      </c>
    </row>
    <row r="331" spans="1:19" x14ac:dyDescent="0.3">
      <c r="A331" s="1" t="s">
        <v>1193</v>
      </c>
      <c r="B331" s="1" t="s">
        <v>420</v>
      </c>
      <c r="C331" s="1" t="s">
        <v>1194</v>
      </c>
      <c r="D331" s="1" t="s">
        <v>1195</v>
      </c>
      <c r="E331" s="1" t="s">
        <v>164</v>
      </c>
      <c r="F331" s="1">
        <v>45937</v>
      </c>
      <c r="G331" s="1">
        <v>45938</v>
      </c>
      <c r="H331" s="1">
        <v>45942</v>
      </c>
      <c r="I331" s="1" t="s">
        <v>72</v>
      </c>
      <c r="J331" s="1" t="s">
        <v>16</v>
      </c>
      <c r="K331" s="1" t="s">
        <v>19</v>
      </c>
      <c r="L331" s="1" t="s">
        <v>23</v>
      </c>
      <c r="M331" s="1" t="s">
        <v>43</v>
      </c>
      <c r="N331" s="1" t="s">
        <v>27</v>
      </c>
      <c r="O331" s="1" t="s">
        <v>31</v>
      </c>
      <c r="P331" s="1">
        <v>7</v>
      </c>
      <c r="Q331" s="1">
        <v>1630</v>
      </c>
      <c r="R331" s="1">
        <v>1744.1000000000001</v>
      </c>
      <c r="S331" s="1">
        <v>0.08</v>
      </c>
    </row>
    <row r="332" spans="1:19" x14ac:dyDescent="0.3">
      <c r="A332" s="1" t="s">
        <v>1196</v>
      </c>
      <c r="B332" s="1" t="s">
        <v>97</v>
      </c>
      <c r="C332" s="1" t="s">
        <v>1197</v>
      </c>
      <c r="D332" s="1" t="s">
        <v>869</v>
      </c>
      <c r="E332" s="1" t="s">
        <v>109</v>
      </c>
      <c r="F332" s="1">
        <v>45375</v>
      </c>
      <c r="G332" s="1">
        <v>45376</v>
      </c>
      <c r="H332" s="1">
        <v>45379</v>
      </c>
      <c r="I332" s="1" t="s">
        <v>72</v>
      </c>
      <c r="J332" s="1" t="s">
        <v>1</v>
      </c>
      <c r="K332" s="1" t="s">
        <v>19</v>
      </c>
      <c r="L332" s="1" t="s">
        <v>22</v>
      </c>
      <c r="M332" s="1" t="s">
        <v>55</v>
      </c>
      <c r="N332" s="1" t="s">
        <v>27</v>
      </c>
      <c r="O332" s="1" t="s">
        <v>56</v>
      </c>
      <c r="P332" s="1">
        <v>10</v>
      </c>
      <c r="Q332" s="1">
        <v>650</v>
      </c>
      <c r="R332" s="1">
        <v>663</v>
      </c>
      <c r="S332" s="1">
        <v>0.04</v>
      </c>
    </row>
    <row r="333" spans="1:19" x14ac:dyDescent="0.3">
      <c r="A333" s="1" t="s">
        <v>1198</v>
      </c>
      <c r="B333" s="1" t="s">
        <v>68</v>
      </c>
      <c r="C333" s="1" t="s">
        <v>1199</v>
      </c>
      <c r="D333" s="1" t="s">
        <v>1200</v>
      </c>
      <c r="E333" s="1" t="s">
        <v>114</v>
      </c>
      <c r="F333" s="1">
        <v>45496</v>
      </c>
      <c r="G333" s="1">
        <v>45497</v>
      </c>
      <c r="H333" s="1">
        <v>45501</v>
      </c>
      <c r="I333" s="1" t="s">
        <v>72</v>
      </c>
      <c r="J333" s="1" t="s">
        <v>18</v>
      </c>
      <c r="K333" s="1" t="s">
        <v>19</v>
      </c>
      <c r="L333" s="1" t="s">
        <v>61</v>
      </c>
      <c r="M333" s="1" t="s">
        <v>51</v>
      </c>
      <c r="N333" s="1" t="s">
        <v>33</v>
      </c>
      <c r="O333" s="1" t="s">
        <v>52</v>
      </c>
      <c r="P333" s="1">
        <v>8</v>
      </c>
      <c r="Q333" s="1">
        <v>280</v>
      </c>
      <c r="R333" s="1">
        <v>336</v>
      </c>
      <c r="S333" s="1">
        <v>0.1</v>
      </c>
    </row>
    <row r="334" spans="1:19" x14ac:dyDescent="0.3">
      <c r="A334" s="1" t="s">
        <v>1201</v>
      </c>
      <c r="B334" s="1" t="s">
        <v>442</v>
      </c>
      <c r="C334" s="1" t="s">
        <v>1202</v>
      </c>
      <c r="D334" s="1" t="s">
        <v>1203</v>
      </c>
      <c r="E334" s="1" t="s">
        <v>164</v>
      </c>
      <c r="F334" s="1">
        <v>46187</v>
      </c>
      <c r="G334" s="1">
        <v>46187</v>
      </c>
      <c r="H334" s="1">
        <v>46192</v>
      </c>
      <c r="I334" s="1" t="s">
        <v>82</v>
      </c>
      <c r="J334" s="1" t="s">
        <v>2</v>
      </c>
      <c r="K334" s="1" t="s">
        <v>20</v>
      </c>
      <c r="L334" s="1" t="s">
        <v>24</v>
      </c>
      <c r="M334" s="1" t="s">
        <v>43</v>
      </c>
      <c r="N334" s="1" t="s">
        <v>27</v>
      </c>
      <c r="O334" s="1" t="s">
        <v>31</v>
      </c>
      <c r="P334" s="1">
        <v>2</v>
      </c>
      <c r="Q334" s="1">
        <v>1630</v>
      </c>
      <c r="R334" s="1">
        <v>1744.1000000000001</v>
      </c>
      <c r="S334" s="1">
        <v>0.04</v>
      </c>
    </row>
    <row r="335" spans="1:19" x14ac:dyDescent="0.3">
      <c r="A335" s="1" t="s">
        <v>1204</v>
      </c>
      <c r="B335" s="1" t="s">
        <v>134</v>
      </c>
      <c r="C335" s="1" t="s">
        <v>1205</v>
      </c>
      <c r="D335" s="1" t="s">
        <v>1206</v>
      </c>
      <c r="E335" s="1" t="s">
        <v>119</v>
      </c>
      <c r="F335" s="1">
        <v>45965</v>
      </c>
      <c r="G335" s="1">
        <v>45965</v>
      </c>
      <c r="H335" s="1">
        <v>45968</v>
      </c>
      <c r="I335" s="1" t="s">
        <v>72</v>
      </c>
      <c r="J335" s="1" t="s">
        <v>1</v>
      </c>
      <c r="K335" s="1" t="s">
        <v>21</v>
      </c>
      <c r="L335" s="1" t="s">
        <v>24</v>
      </c>
      <c r="M335" s="1" t="s">
        <v>37</v>
      </c>
      <c r="N335" s="1" t="s">
        <v>38</v>
      </c>
      <c r="O335" s="1" t="s">
        <v>39</v>
      </c>
      <c r="P335" s="1">
        <v>5</v>
      </c>
      <c r="Q335" s="1">
        <v>250</v>
      </c>
      <c r="R335" s="1">
        <v>270</v>
      </c>
      <c r="S335" s="1">
        <v>7.0000000000000007E-2</v>
      </c>
    </row>
    <row r="336" spans="1:19" x14ac:dyDescent="0.3">
      <c r="A336" s="1" t="s">
        <v>1207</v>
      </c>
      <c r="B336" s="1" t="s">
        <v>435</v>
      </c>
      <c r="C336" s="1" t="s">
        <v>1208</v>
      </c>
      <c r="D336" s="1" t="s">
        <v>1209</v>
      </c>
      <c r="E336" s="1" t="s">
        <v>71</v>
      </c>
      <c r="F336" s="1">
        <v>45716</v>
      </c>
      <c r="G336" s="1">
        <v>45717</v>
      </c>
      <c r="H336" s="1">
        <v>45720</v>
      </c>
      <c r="I336" s="1" t="s">
        <v>72</v>
      </c>
      <c r="J336" s="1" t="s">
        <v>16</v>
      </c>
      <c r="K336" s="1" t="s">
        <v>21</v>
      </c>
      <c r="L336" s="1" t="s">
        <v>22</v>
      </c>
      <c r="M336" s="1" t="s">
        <v>32</v>
      </c>
      <c r="N336" s="1" t="s">
        <v>33</v>
      </c>
      <c r="O336" s="1" t="s">
        <v>34</v>
      </c>
      <c r="P336" s="1">
        <v>14</v>
      </c>
      <c r="Q336" s="1">
        <v>730</v>
      </c>
      <c r="R336" s="1">
        <v>824.9</v>
      </c>
      <c r="S336" s="1">
        <v>0.06</v>
      </c>
    </row>
    <row r="337" spans="1:19" x14ac:dyDescent="0.3">
      <c r="A337" s="1" t="s">
        <v>1210</v>
      </c>
      <c r="B337" s="1" t="s">
        <v>424</v>
      </c>
      <c r="C337" s="1" t="s">
        <v>1211</v>
      </c>
      <c r="D337" s="1" t="s">
        <v>1212</v>
      </c>
      <c r="E337" s="1" t="s">
        <v>164</v>
      </c>
      <c r="F337" s="1">
        <v>45816</v>
      </c>
      <c r="G337" s="1">
        <v>45816</v>
      </c>
      <c r="H337" s="1">
        <v>45818</v>
      </c>
      <c r="I337" s="1" t="s">
        <v>72</v>
      </c>
      <c r="J337" s="1" t="s">
        <v>17</v>
      </c>
      <c r="K337" s="1" t="s">
        <v>21</v>
      </c>
      <c r="L337" s="1" t="s">
        <v>22</v>
      </c>
      <c r="M337" s="1" t="s">
        <v>43</v>
      </c>
      <c r="N337" s="1" t="s">
        <v>27</v>
      </c>
      <c r="O337" s="1" t="s">
        <v>31</v>
      </c>
      <c r="P337" s="1">
        <v>15</v>
      </c>
      <c r="Q337" s="1">
        <v>1630</v>
      </c>
      <c r="R337" s="1">
        <v>1744.1000000000001</v>
      </c>
      <c r="S337" s="1">
        <v>0.1</v>
      </c>
    </row>
    <row r="338" spans="1:19" x14ac:dyDescent="0.3">
      <c r="A338" s="1" t="s">
        <v>1213</v>
      </c>
      <c r="B338" s="1" t="s">
        <v>1112</v>
      </c>
      <c r="C338" s="1" t="s">
        <v>1214</v>
      </c>
      <c r="D338" s="1" t="s">
        <v>1215</v>
      </c>
      <c r="E338" s="1" t="s">
        <v>322</v>
      </c>
      <c r="F338" s="1">
        <v>46048</v>
      </c>
      <c r="G338" s="1">
        <v>46049</v>
      </c>
      <c r="H338" s="1">
        <v>46053</v>
      </c>
      <c r="I338" s="1" t="s">
        <v>82</v>
      </c>
      <c r="J338" s="1" t="s">
        <v>16</v>
      </c>
      <c r="K338" s="1" t="s">
        <v>19</v>
      </c>
      <c r="L338" s="1" t="s">
        <v>23</v>
      </c>
      <c r="M338" s="1" t="s">
        <v>26</v>
      </c>
      <c r="N338" s="1" t="s">
        <v>27</v>
      </c>
      <c r="O338" s="1" t="s">
        <v>28</v>
      </c>
      <c r="P338" s="1">
        <v>4</v>
      </c>
      <c r="Q338" s="1">
        <v>3330</v>
      </c>
      <c r="R338" s="1">
        <v>3629.7000000000003</v>
      </c>
      <c r="S338" s="1">
        <v>0.03</v>
      </c>
    </row>
    <row r="339" spans="1:19" x14ac:dyDescent="0.3">
      <c r="A339" s="1" t="s">
        <v>1216</v>
      </c>
      <c r="B339" s="1" t="s">
        <v>350</v>
      </c>
      <c r="C339" s="1" t="s">
        <v>1217</v>
      </c>
      <c r="D339" s="1" t="s">
        <v>1218</v>
      </c>
      <c r="E339" s="1" t="s">
        <v>87</v>
      </c>
      <c r="F339" s="1">
        <v>45759</v>
      </c>
      <c r="G339" s="1">
        <v>45759</v>
      </c>
      <c r="H339" s="1">
        <v>45763</v>
      </c>
      <c r="I339" s="1" t="s">
        <v>72</v>
      </c>
      <c r="J339" s="1" t="s">
        <v>16</v>
      </c>
      <c r="K339" s="1" t="s">
        <v>21</v>
      </c>
      <c r="L339" s="1" t="s">
        <v>22</v>
      </c>
      <c r="M339" s="1" t="s">
        <v>30</v>
      </c>
      <c r="N339" s="1" t="s">
        <v>27</v>
      </c>
      <c r="O339" s="1" t="s">
        <v>31</v>
      </c>
      <c r="P339" s="1">
        <v>8</v>
      </c>
      <c r="Q339" s="1">
        <v>1030</v>
      </c>
      <c r="R339" s="1">
        <v>1174.2</v>
      </c>
      <c r="S339" s="1">
        <v>0.05</v>
      </c>
    </row>
    <row r="340" spans="1:19" x14ac:dyDescent="0.3">
      <c r="A340" s="1" t="s">
        <v>1219</v>
      </c>
      <c r="B340" s="1" t="s">
        <v>828</v>
      </c>
      <c r="C340" s="1" t="s">
        <v>1220</v>
      </c>
      <c r="D340" s="1" t="s">
        <v>1221</v>
      </c>
      <c r="E340" s="1" t="s">
        <v>322</v>
      </c>
      <c r="F340" s="1">
        <v>45744</v>
      </c>
      <c r="G340" s="1">
        <v>45744</v>
      </c>
      <c r="H340" s="1">
        <v>45746</v>
      </c>
      <c r="I340" s="1" t="s">
        <v>72</v>
      </c>
      <c r="J340" s="1" t="s">
        <v>18</v>
      </c>
      <c r="K340" s="1" t="s">
        <v>20</v>
      </c>
      <c r="L340" s="1" t="s">
        <v>22</v>
      </c>
      <c r="M340" s="1" t="s">
        <v>26</v>
      </c>
      <c r="N340" s="1" t="s">
        <v>27</v>
      </c>
      <c r="O340" s="1" t="s">
        <v>28</v>
      </c>
      <c r="P340" s="1">
        <v>8</v>
      </c>
      <c r="Q340" s="1">
        <v>3330</v>
      </c>
      <c r="R340" s="1">
        <v>3629.7000000000003</v>
      </c>
      <c r="S340" s="1">
        <v>0.03</v>
      </c>
    </row>
    <row r="341" spans="1:19" x14ac:dyDescent="0.3">
      <c r="A341" s="1" t="s">
        <v>1222</v>
      </c>
      <c r="B341" s="1" t="s">
        <v>1154</v>
      </c>
      <c r="C341" s="1" t="s">
        <v>1223</v>
      </c>
      <c r="D341" s="1" t="s">
        <v>1224</v>
      </c>
      <c r="E341" s="1" t="s">
        <v>141</v>
      </c>
      <c r="F341" s="1">
        <v>45791</v>
      </c>
      <c r="G341" s="1">
        <v>45792</v>
      </c>
      <c r="H341" s="1">
        <v>45793</v>
      </c>
      <c r="I341" s="1" t="s">
        <v>82</v>
      </c>
      <c r="J341" s="1" t="s">
        <v>1</v>
      </c>
      <c r="K341" s="1" t="s">
        <v>19</v>
      </c>
      <c r="L341" s="1" t="s">
        <v>23</v>
      </c>
      <c r="M341" s="1" t="s">
        <v>35</v>
      </c>
      <c r="N341" s="1" t="s">
        <v>33</v>
      </c>
      <c r="O341" s="1" t="s">
        <v>36</v>
      </c>
      <c r="P341" s="1">
        <v>4</v>
      </c>
      <c r="Q341" s="1">
        <v>1530</v>
      </c>
      <c r="R341" s="1">
        <v>1790.1</v>
      </c>
      <c r="S341" s="1">
        <v>0.01</v>
      </c>
    </row>
    <row r="342" spans="1:19" x14ac:dyDescent="0.3">
      <c r="A342" s="1" t="s">
        <v>1225</v>
      </c>
      <c r="B342" s="1" t="s">
        <v>1226</v>
      </c>
      <c r="C342" s="1" t="s">
        <v>1227</v>
      </c>
      <c r="D342" s="1" t="s">
        <v>1228</v>
      </c>
      <c r="E342" s="1" t="s">
        <v>71</v>
      </c>
      <c r="F342" s="1">
        <v>45895</v>
      </c>
      <c r="G342" s="1">
        <v>45896</v>
      </c>
      <c r="H342" s="1">
        <v>45897</v>
      </c>
      <c r="I342" s="1" t="s">
        <v>72</v>
      </c>
      <c r="J342" s="1" t="s">
        <v>16</v>
      </c>
      <c r="K342" s="1" t="s">
        <v>21</v>
      </c>
      <c r="L342" s="1" t="s">
        <v>61</v>
      </c>
      <c r="M342" s="1" t="s">
        <v>32</v>
      </c>
      <c r="N342" s="1" t="s">
        <v>33</v>
      </c>
      <c r="O342" s="1" t="s">
        <v>34</v>
      </c>
      <c r="P342" s="1">
        <v>11</v>
      </c>
      <c r="Q342" s="1">
        <v>730</v>
      </c>
      <c r="R342" s="1">
        <v>824.9</v>
      </c>
      <c r="S342" s="1">
        <v>0</v>
      </c>
    </row>
    <row r="343" spans="1:19" x14ac:dyDescent="0.3">
      <c r="A343" s="1" t="s">
        <v>1229</v>
      </c>
      <c r="B343" s="1" t="s">
        <v>393</v>
      </c>
      <c r="C343" s="1" t="s">
        <v>1230</v>
      </c>
      <c r="D343" s="1" t="s">
        <v>1231</v>
      </c>
      <c r="E343" s="1" t="s">
        <v>81</v>
      </c>
      <c r="F343" s="1">
        <v>45570</v>
      </c>
      <c r="G343" s="1">
        <v>45571</v>
      </c>
      <c r="H343" s="1">
        <v>45574</v>
      </c>
      <c r="I343" s="1" t="s">
        <v>72</v>
      </c>
      <c r="J343" s="1" t="s">
        <v>2</v>
      </c>
      <c r="K343" s="1" t="s">
        <v>21</v>
      </c>
      <c r="L343" s="1" t="s">
        <v>25</v>
      </c>
      <c r="M343" s="1" t="s">
        <v>59</v>
      </c>
      <c r="N343" s="1" t="s">
        <v>27</v>
      </c>
      <c r="O343" s="1" t="s">
        <v>60</v>
      </c>
      <c r="P343" s="1">
        <v>13</v>
      </c>
      <c r="Q343" s="1">
        <v>1230</v>
      </c>
      <c r="R343" s="1">
        <v>1328.4</v>
      </c>
      <c r="S343" s="1">
        <v>0.05</v>
      </c>
    </row>
    <row r="344" spans="1:19" x14ac:dyDescent="0.3">
      <c r="A344" s="1" t="s">
        <v>1232</v>
      </c>
      <c r="B344" s="1" t="s">
        <v>424</v>
      </c>
      <c r="C344" s="1" t="s">
        <v>1233</v>
      </c>
      <c r="D344" s="1" t="s">
        <v>1234</v>
      </c>
      <c r="E344" s="1" t="s">
        <v>178</v>
      </c>
      <c r="F344" s="1">
        <v>46165</v>
      </c>
      <c r="G344" s="1">
        <v>46165</v>
      </c>
      <c r="H344" s="1">
        <v>46169</v>
      </c>
      <c r="I344" s="1" t="s">
        <v>72</v>
      </c>
      <c r="J344" s="1" t="s">
        <v>18</v>
      </c>
      <c r="K344" s="1" t="s">
        <v>20</v>
      </c>
      <c r="L344" s="1" t="s">
        <v>22</v>
      </c>
      <c r="M344" s="1" t="s">
        <v>47</v>
      </c>
      <c r="N344" s="1" t="s">
        <v>38</v>
      </c>
      <c r="O344" s="1" t="s">
        <v>39</v>
      </c>
      <c r="P344" s="1">
        <v>5</v>
      </c>
      <c r="Q344" s="1">
        <v>390</v>
      </c>
      <c r="R344" s="1">
        <v>468</v>
      </c>
      <c r="S344" s="1">
        <v>0.06</v>
      </c>
    </row>
    <row r="345" spans="1:19" x14ac:dyDescent="0.3">
      <c r="A345" s="1" t="s">
        <v>1235</v>
      </c>
      <c r="B345" s="1" t="s">
        <v>490</v>
      </c>
      <c r="C345" s="1" t="s">
        <v>1236</v>
      </c>
      <c r="D345" s="1" t="s">
        <v>1237</v>
      </c>
      <c r="E345" s="1" t="s">
        <v>77</v>
      </c>
      <c r="F345" s="1">
        <v>45566</v>
      </c>
      <c r="G345" s="1">
        <v>45566</v>
      </c>
      <c r="H345" s="1">
        <v>45571</v>
      </c>
      <c r="I345" s="1" t="s">
        <v>72</v>
      </c>
      <c r="J345" s="1" t="s">
        <v>16</v>
      </c>
      <c r="K345" s="1" t="s">
        <v>20</v>
      </c>
      <c r="L345" s="1" t="s">
        <v>61</v>
      </c>
      <c r="M345" s="1" t="s">
        <v>44</v>
      </c>
      <c r="N345" s="1" t="s">
        <v>38</v>
      </c>
      <c r="O345" s="1" t="s">
        <v>45</v>
      </c>
      <c r="P345" s="1">
        <v>6</v>
      </c>
      <c r="Q345" s="1">
        <v>210</v>
      </c>
      <c r="R345" s="1">
        <v>222.60000000000002</v>
      </c>
      <c r="S345" s="1">
        <v>0.09</v>
      </c>
    </row>
    <row r="346" spans="1:19" x14ac:dyDescent="0.3">
      <c r="A346" s="1" t="s">
        <v>1238</v>
      </c>
      <c r="B346" s="1" t="s">
        <v>125</v>
      </c>
      <c r="C346" s="1" t="s">
        <v>1239</v>
      </c>
      <c r="D346" s="1" t="s">
        <v>1152</v>
      </c>
      <c r="E346" s="1" t="s">
        <v>217</v>
      </c>
      <c r="F346" s="1">
        <v>45786</v>
      </c>
      <c r="G346" s="1">
        <v>45787</v>
      </c>
      <c r="H346" s="1">
        <v>45788</v>
      </c>
      <c r="I346" s="1" t="s">
        <v>72</v>
      </c>
      <c r="J346" s="1" t="s">
        <v>2</v>
      </c>
      <c r="K346" s="1" t="s">
        <v>20</v>
      </c>
      <c r="L346" s="1" t="s">
        <v>22</v>
      </c>
      <c r="M346" s="1" t="s">
        <v>29</v>
      </c>
      <c r="N346" s="1" t="s">
        <v>27</v>
      </c>
      <c r="O346" s="1" t="s">
        <v>28</v>
      </c>
      <c r="P346" s="1">
        <v>9</v>
      </c>
      <c r="Q346" s="1">
        <v>3930</v>
      </c>
      <c r="R346" s="1">
        <v>4362.3</v>
      </c>
      <c r="S346" s="1">
        <v>0.02</v>
      </c>
    </row>
    <row r="347" spans="1:19" x14ac:dyDescent="0.3">
      <c r="A347" s="1" t="s">
        <v>1240</v>
      </c>
      <c r="B347" s="1" t="s">
        <v>531</v>
      </c>
      <c r="C347" s="1" t="s">
        <v>1241</v>
      </c>
      <c r="D347" s="1" t="s">
        <v>1242</v>
      </c>
      <c r="E347" s="1" t="s">
        <v>87</v>
      </c>
      <c r="F347" s="1">
        <v>45402</v>
      </c>
      <c r="G347" s="1">
        <v>45402</v>
      </c>
      <c r="H347" s="1">
        <v>45407</v>
      </c>
      <c r="I347" s="1" t="s">
        <v>82</v>
      </c>
      <c r="J347" s="1" t="s">
        <v>1</v>
      </c>
      <c r="K347" s="1" t="s">
        <v>19</v>
      </c>
      <c r="L347" s="1" t="s">
        <v>25</v>
      </c>
      <c r="M347" s="1" t="s">
        <v>30</v>
      </c>
      <c r="N347" s="1" t="s">
        <v>27</v>
      </c>
      <c r="O347" s="1" t="s">
        <v>31</v>
      </c>
      <c r="P347" s="1">
        <v>3</v>
      </c>
      <c r="Q347" s="1">
        <v>1030</v>
      </c>
      <c r="R347" s="1">
        <v>1174.2</v>
      </c>
      <c r="S347" s="1">
        <v>0.09</v>
      </c>
    </row>
    <row r="348" spans="1:19" x14ac:dyDescent="0.3">
      <c r="A348" s="1" t="s">
        <v>1243</v>
      </c>
      <c r="B348" s="1" t="s">
        <v>995</v>
      </c>
      <c r="C348" s="1" t="s">
        <v>1244</v>
      </c>
      <c r="D348" s="1" t="s">
        <v>1245</v>
      </c>
      <c r="E348" s="1" t="s">
        <v>208</v>
      </c>
      <c r="F348" s="1">
        <v>45791</v>
      </c>
      <c r="G348" s="1">
        <v>45792</v>
      </c>
      <c r="H348" s="1">
        <v>45793</v>
      </c>
      <c r="I348" s="1" t="s">
        <v>82</v>
      </c>
      <c r="J348" s="1" t="s">
        <v>2</v>
      </c>
      <c r="K348" s="1" t="s">
        <v>20</v>
      </c>
      <c r="L348" s="1" t="s">
        <v>61</v>
      </c>
      <c r="M348" s="1" t="s">
        <v>50</v>
      </c>
      <c r="N348" s="1" t="s">
        <v>33</v>
      </c>
      <c r="O348" s="1" t="s">
        <v>36</v>
      </c>
      <c r="P348" s="1">
        <v>3</v>
      </c>
      <c r="Q348" s="1">
        <v>930</v>
      </c>
      <c r="R348" s="1">
        <v>1078.8</v>
      </c>
      <c r="S348" s="1">
        <v>0.05</v>
      </c>
    </row>
    <row r="349" spans="1:19" x14ac:dyDescent="0.3">
      <c r="A349" s="1" t="s">
        <v>1246</v>
      </c>
      <c r="B349" s="1" t="s">
        <v>354</v>
      </c>
      <c r="C349" s="1" t="s">
        <v>1247</v>
      </c>
      <c r="D349" s="1" t="s">
        <v>1248</v>
      </c>
      <c r="E349" s="1" t="s">
        <v>187</v>
      </c>
      <c r="F349" s="1">
        <v>45778</v>
      </c>
      <c r="G349" s="1">
        <v>45778</v>
      </c>
      <c r="H349" s="1">
        <v>45780</v>
      </c>
      <c r="I349" s="1" t="s">
        <v>72</v>
      </c>
      <c r="J349" s="1" t="s">
        <v>1</v>
      </c>
      <c r="K349" s="1" t="s">
        <v>20</v>
      </c>
      <c r="L349" s="1" t="s">
        <v>61</v>
      </c>
      <c r="M349" s="1" t="s">
        <v>40</v>
      </c>
      <c r="N349" s="1" t="s">
        <v>38</v>
      </c>
      <c r="O349" s="1" t="s">
        <v>41</v>
      </c>
      <c r="P349" s="1">
        <v>8</v>
      </c>
      <c r="Q349" s="1">
        <v>170</v>
      </c>
      <c r="R349" s="1">
        <v>188.70000000000002</v>
      </c>
      <c r="S349" s="1">
        <v>0.03</v>
      </c>
    </row>
    <row r="350" spans="1:19" x14ac:dyDescent="0.3">
      <c r="A350" s="1" t="s">
        <v>1249</v>
      </c>
      <c r="B350" s="1" t="s">
        <v>975</v>
      </c>
      <c r="C350" s="1" t="s">
        <v>1250</v>
      </c>
      <c r="D350" s="1" t="s">
        <v>1251</v>
      </c>
      <c r="E350" s="1" t="s">
        <v>291</v>
      </c>
      <c r="F350" s="1">
        <v>45403</v>
      </c>
      <c r="G350" s="1">
        <v>45403</v>
      </c>
      <c r="H350" s="1">
        <v>45407</v>
      </c>
      <c r="I350" s="1" t="s">
        <v>72</v>
      </c>
      <c r="J350" s="1" t="s">
        <v>17</v>
      </c>
      <c r="K350" s="1" t="s">
        <v>21</v>
      </c>
      <c r="L350" s="1" t="s">
        <v>25</v>
      </c>
      <c r="M350" s="1" t="s">
        <v>57</v>
      </c>
      <c r="N350" s="1" t="s">
        <v>27</v>
      </c>
      <c r="O350" s="1" t="s">
        <v>58</v>
      </c>
      <c r="P350" s="1">
        <v>10</v>
      </c>
      <c r="Q350" s="1">
        <v>480</v>
      </c>
      <c r="R350" s="1">
        <v>513.6</v>
      </c>
      <c r="S350" s="1">
        <v>0.04</v>
      </c>
    </row>
    <row r="351" spans="1:19" x14ac:dyDescent="0.3">
      <c r="A351" s="1" t="s">
        <v>1252</v>
      </c>
      <c r="B351" s="1" t="s">
        <v>1253</v>
      </c>
      <c r="C351" s="1" t="s">
        <v>1254</v>
      </c>
      <c r="D351" s="1" t="s">
        <v>1255</v>
      </c>
      <c r="E351" s="1" t="s">
        <v>77</v>
      </c>
      <c r="F351" s="1">
        <v>45571</v>
      </c>
      <c r="G351" s="1">
        <v>45572</v>
      </c>
      <c r="H351" s="1">
        <v>45573</v>
      </c>
      <c r="I351" s="1" t="s">
        <v>72</v>
      </c>
      <c r="J351" s="1" t="s">
        <v>1</v>
      </c>
      <c r="K351" s="1" t="s">
        <v>20</v>
      </c>
      <c r="L351" s="1" t="s">
        <v>24</v>
      </c>
      <c r="M351" s="1" t="s">
        <v>44</v>
      </c>
      <c r="N351" s="1" t="s">
        <v>38</v>
      </c>
      <c r="O351" s="1" t="s">
        <v>45</v>
      </c>
      <c r="P351" s="1">
        <v>8</v>
      </c>
      <c r="Q351" s="1">
        <v>210</v>
      </c>
      <c r="R351" s="1">
        <v>222.60000000000002</v>
      </c>
      <c r="S351" s="1">
        <v>0.1</v>
      </c>
    </row>
    <row r="352" spans="1:19" x14ac:dyDescent="0.3">
      <c r="A352" s="1" t="s">
        <v>1256</v>
      </c>
      <c r="B352" s="1" t="s">
        <v>297</v>
      </c>
      <c r="C352" s="1" t="s">
        <v>1257</v>
      </c>
      <c r="D352" s="1" t="s">
        <v>1258</v>
      </c>
      <c r="E352" s="1" t="s">
        <v>208</v>
      </c>
      <c r="F352" s="1">
        <v>45663</v>
      </c>
      <c r="G352" s="1">
        <v>45663</v>
      </c>
      <c r="H352" s="1">
        <v>45668</v>
      </c>
      <c r="I352" s="1" t="s">
        <v>72</v>
      </c>
      <c r="J352" s="1" t="s">
        <v>2</v>
      </c>
      <c r="K352" s="1" t="s">
        <v>21</v>
      </c>
      <c r="L352" s="1" t="s">
        <v>25</v>
      </c>
      <c r="M352" s="1" t="s">
        <v>50</v>
      </c>
      <c r="N352" s="1" t="s">
        <v>33</v>
      </c>
      <c r="O352" s="1" t="s">
        <v>36</v>
      </c>
      <c r="P352" s="1">
        <v>12</v>
      </c>
      <c r="Q352" s="1">
        <v>930</v>
      </c>
      <c r="R352" s="1">
        <v>1078.8</v>
      </c>
      <c r="S352" s="1">
        <v>0.08</v>
      </c>
    </row>
    <row r="353" spans="1:19" x14ac:dyDescent="0.3">
      <c r="A353" s="1" t="s">
        <v>1259</v>
      </c>
      <c r="B353" s="1" t="s">
        <v>143</v>
      </c>
      <c r="C353" s="1" t="s">
        <v>1260</v>
      </c>
      <c r="D353" s="1" t="s">
        <v>1261</v>
      </c>
      <c r="E353" s="1" t="s">
        <v>187</v>
      </c>
      <c r="F353" s="1">
        <v>45866</v>
      </c>
      <c r="G353" s="1">
        <v>45866</v>
      </c>
      <c r="H353" s="1">
        <v>45871</v>
      </c>
      <c r="I353" s="1" t="s">
        <v>72</v>
      </c>
      <c r="J353" s="1" t="s">
        <v>17</v>
      </c>
      <c r="K353" s="1" t="s">
        <v>20</v>
      </c>
      <c r="L353" s="1" t="s">
        <v>24</v>
      </c>
      <c r="M353" s="1" t="s">
        <v>40</v>
      </c>
      <c r="N353" s="1" t="s">
        <v>38</v>
      </c>
      <c r="O353" s="1" t="s">
        <v>41</v>
      </c>
      <c r="P353" s="1">
        <v>10</v>
      </c>
      <c r="Q353" s="1">
        <v>170</v>
      </c>
      <c r="R353" s="1">
        <v>188.70000000000002</v>
      </c>
      <c r="S353" s="1">
        <v>0.1</v>
      </c>
    </row>
    <row r="354" spans="1:19" x14ac:dyDescent="0.3">
      <c r="A354" s="1" t="s">
        <v>1262</v>
      </c>
      <c r="B354" s="1" t="s">
        <v>933</v>
      </c>
      <c r="C354" s="1" t="s">
        <v>1263</v>
      </c>
      <c r="D354" s="1" t="s">
        <v>1264</v>
      </c>
      <c r="E354" s="1" t="s">
        <v>119</v>
      </c>
      <c r="F354" s="1">
        <v>45981</v>
      </c>
      <c r="G354" s="1">
        <v>45982</v>
      </c>
      <c r="H354" s="1">
        <v>45984</v>
      </c>
      <c r="I354" s="1" t="s">
        <v>72</v>
      </c>
      <c r="J354" s="1" t="s">
        <v>17</v>
      </c>
      <c r="K354" s="1" t="s">
        <v>19</v>
      </c>
      <c r="L354" s="1" t="s">
        <v>25</v>
      </c>
      <c r="M354" s="1" t="s">
        <v>37</v>
      </c>
      <c r="N354" s="1" t="s">
        <v>38</v>
      </c>
      <c r="O354" s="1" t="s">
        <v>39</v>
      </c>
      <c r="P354" s="1">
        <v>10</v>
      </c>
      <c r="Q354" s="1">
        <v>250</v>
      </c>
      <c r="R354" s="1">
        <v>270</v>
      </c>
      <c r="S354" s="1">
        <v>0.06</v>
      </c>
    </row>
    <row r="355" spans="1:19" x14ac:dyDescent="0.3">
      <c r="A355" s="1" t="s">
        <v>1265</v>
      </c>
      <c r="B355" s="1" t="s">
        <v>943</v>
      </c>
      <c r="C355" s="1" t="s">
        <v>1266</v>
      </c>
      <c r="D355" s="1" t="s">
        <v>1267</v>
      </c>
      <c r="E355" s="1" t="s">
        <v>173</v>
      </c>
      <c r="F355" s="1">
        <v>45599</v>
      </c>
      <c r="G355" s="1">
        <v>45599</v>
      </c>
      <c r="H355" s="1">
        <v>45604</v>
      </c>
      <c r="I355" s="1" t="s">
        <v>72</v>
      </c>
      <c r="J355" s="1" t="s">
        <v>16</v>
      </c>
      <c r="K355" s="1" t="s">
        <v>21</v>
      </c>
      <c r="L355" s="1" t="s">
        <v>61</v>
      </c>
      <c r="M355" s="1" t="s">
        <v>48</v>
      </c>
      <c r="N355" s="1" t="s">
        <v>38</v>
      </c>
      <c r="O355" s="1" t="s">
        <v>41</v>
      </c>
      <c r="P355" s="1">
        <v>8</v>
      </c>
      <c r="Q355" s="1">
        <v>580</v>
      </c>
      <c r="R355" s="1">
        <v>667</v>
      </c>
      <c r="S355" s="1">
        <v>0.08</v>
      </c>
    </row>
    <row r="356" spans="1:19" x14ac:dyDescent="0.3">
      <c r="A356" s="1" t="s">
        <v>1268</v>
      </c>
      <c r="B356" s="1" t="s">
        <v>652</v>
      </c>
      <c r="C356" s="1" t="s">
        <v>1269</v>
      </c>
      <c r="D356" s="1" t="s">
        <v>1270</v>
      </c>
      <c r="E356" s="1" t="s">
        <v>192</v>
      </c>
      <c r="F356" s="1">
        <v>45760</v>
      </c>
      <c r="G356" s="1">
        <v>45761</v>
      </c>
      <c r="H356" s="1">
        <v>45764</v>
      </c>
      <c r="I356" s="1" t="s">
        <v>72</v>
      </c>
      <c r="J356" s="1" t="s">
        <v>2</v>
      </c>
      <c r="K356" s="1" t="s">
        <v>20</v>
      </c>
      <c r="L356" s="1" t="s">
        <v>23</v>
      </c>
      <c r="M356" s="1" t="s">
        <v>46</v>
      </c>
      <c r="N356" s="1" t="s">
        <v>38</v>
      </c>
      <c r="O356" s="1" t="s">
        <v>45</v>
      </c>
      <c r="P356" s="1">
        <v>9</v>
      </c>
      <c r="Q356" s="1">
        <v>350</v>
      </c>
      <c r="R356" s="1">
        <v>364</v>
      </c>
      <c r="S356" s="1">
        <v>0.1</v>
      </c>
    </row>
    <row r="357" spans="1:19" x14ac:dyDescent="0.3">
      <c r="A357" s="1" t="s">
        <v>1271</v>
      </c>
      <c r="B357" s="1" t="s">
        <v>412</v>
      </c>
      <c r="C357" s="1" t="s">
        <v>1272</v>
      </c>
      <c r="D357" s="1" t="s">
        <v>1273</v>
      </c>
      <c r="E357" s="1" t="s">
        <v>81</v>
      </c>
      <c r="F357" s="1">
        <v>45892</v>
      </c>
      <c r="G357" s="1">
        <v>45892</v>
      </c>
      <c r="H357" s="1">
        <v>45895</v>
      </c>
      <c r="I357" s="1" t="s">
        <v>72</v>
      </c>
      <c r="J357" s="1" t="s">
        <v>17</v>
      </c>
      <c r="K357" s="1" t="s">
        <v>20</v>
      </c>
      <c r="L357" s="1" t="s">
        <v>24</v>
      </c>
      <c r="M357" s="1" t="s">
        <v>59</v>
      </c>
      <c r="N357" s="1" t="s">
        <v>27</v>
      </c>
      <c r="O357" s="1" t="s">
        <v>60</v>
      </c>
      <c r="P357" s="1">
        <v>6</v>
      </c>
      <c r="Q357" s="1">
        <v>1230</v>
      </c>
      <c r="R357" s="1">
        <v>1328.4</v>
      </c>
      <c r="S357" s="1">
        <v>0.06</v>
      </c>
    </row>
    <row r="358" spans="1:19" x14ac:dyDescent="0.3">
      <c r="A358" s="1" t="s">
        <v>1274</v>
      </c>
      <c r="B358" s="1" t="s">
        <v>106</v>
      </c>
      <c r="C358" s="1" t="s">
        <v>1275</v>
      </c>
      <c r="D358" s="1" t="s">
        <v>1276</v>
      </c>
      <c r="E358" s="1" t="s">
        <v>114</v>
      </c>
      <c r="F358" s="1">
        <v>45712</v>
      </c>
      <c r="G358" s="1">
        <v>45712</v>
      </c>
      <c r="H358" s="1">
        <v>45717</v>
      </c>
      <c r="I358" s="1" t="s">
        <v>72</v>
      </c>
      <c r="J358" s="1" t="s">
        <v>18</v>
      </c>
      <c r="K358" s="1" t="s">
        <v>21</v>
      </c>
      <c r="L358" s="1" t="s">
        <v>25</v>
      </c>
      <c r="M358" s="1" t="s">
        <v>51</v>
      </c>
      <c r="N358" s="1" t="s">
        <v>33</v>
      </c>
      <c r="O358" s="1" t="s">
        <v>52</v>
      </c>
      <c r="P358" s="1">
        <v>14</v>
      </c>
      <c r="Q358" s="1">
        <v>280</v>
      </c>
      <c r="R358" s="1">
        <v>336</v>
      </c>
      <c r="S358" s="1">
        <v>0.03</v>
      </c>
    </row>
    <row r="359" spans="1:19" x14ac:dyDescent="0.3">
      <c r="A359" s="1" t="s">
        <v>1277</v>
      </c>
      <c r="B359" s="1" t="s">
        <v>1278</v>
      </c>
      <c r="C359" s="1" t="s">
        <v>1279</v>
      </c>
      <c r="D359" s="1" t="s">
        <v>1280</v>
      </c>
      <c r="E359" s="1" t="s">
        <v>77</v>
      </c>
      <c r="F359" s="1">
        <v>45843</v>
      </c>
      <c r="G359" s="1">
        <v>45844</v>
      </c>
      <c r="H359" s="1">
        <v>45847</v>
      </c>
      <c r="I359" s="1" t="s">
        <v>72</v>
      </c>
      <c r="J359" s="1" t="s">
        <v>18</v>
      </c>
      <c r="K359" s="1" t="s">
        <v>19</v>
      </c>
      <c r="L359" s="1" t="s">
        <v>24</v>
      </c>
      <c r="M359" s="1" t="s">
        <v>44</v>
      </c>
      <c r="N359" s="1" t="s">
        <v>38</v>
      </c>
      <c r="O359" s="1" t="s">
        <v>45</v>
      </c>
      <c r="P359" s="1">
        <v>5</v>
      </c>
      <c r="Q359" s="1">
        <v>210</v>
      </c>
      <c r="R359" s="1">
        <v>222.60000000000002</v>
      </c>
      <c r="S359" s="1">
        <v>0.05</v>
      </c>
    </row>
    <row r="360" spans="1:19" x14ac:dyDescent="0.3">
      <c r="A360" s="1" t="s">
        <v>1281</v>
      </c>
      <c r="B360" s="1" t="s">
        <v>508</v>
      </c>
      <c r="C360" s="1" t="s">
        <v>1282</v>
      </c>
      <c r="D360" s="1" t="s">
        <v>738</v>
      </c>
      <c r="E360" s="1" t="s">
        <v>178</v>
      </c>
      <c r="F360" s="1">
        <v>46128</v>
      </c>
      <c r="G360" s="1">
        <v>46129</v>
      </c>
      <c r="H360" s="1">
        <v>46133</v>
      </c>
      <c r="I360" s="1" t="s">
        <v>72</v>
      </c>
      <c r="J360" s="1" t="s">
        <v>2</v>
      </c>
      <c r="K360" s="1" t="s">
        <v>21</v>
      </c>
      <c r="L360" s="1" t="s">
        <v>25</v>
      </c>
      <c r="M360" s="1" t="s">
        <v>47</v>
      </c>
      <c r="N360" s="1" t="s">
        <v>38</v>
      </c>
      <c r="O360" s="1" t="s">
        <v>39</v>
      </c>
      <c r="P360" s="1">
        <v>15</v>
      </c>
      <c r="Q360" s="1">
        <v>390</v>
      </c>
      <c r="R360" s="1">
        <v>468</v>
      </c>
      <c r="S360" s="1">
        <v>0.03</v>
      </c>
    </row>
    <row r="361" spans="1:19" x14ac:dyDescent="0.3">
      <c r="A361" s="1" t="s">
        <v>1283</v>
      </c>
      <c r="B361" s="1" t="s">
        <v>121</v>
      </c>
      <c r="C361" s="1" t="s">
        <v>1284</v>
      </c>
      <c r="D361" s="1" t="s">
        <v>1285</v>
      </c>
      <c r="E361" s="1" t="s">
        <v>322</v>
      </c>
      <c r="F361" s="1">
        <v>45608</v>
      </c>
      <c r="G361" s="1">
        <v>45609</v>
      </c>
      <c r="H361" s="1">
        <v>45610</v>
      </c>
      <c r="I361" s="1" t="s">
        <v>72</v>
      </c>
      <c r="J361" s="1" t="s">
        <v>17</v>
      </c>
      <c r="K361" s="1" t="s">
        <v>21</v>
      </c>
      <c r="L361" s="1" t="s">
        <v>61</v>
      </c>
      <c r="M361" s="1" t="s">
        <v>26</v>
      </c>
      <c r="N361" s="1" t="s">
        <v>27</v>
      </c>
      <c r="O361" s="1" t="s">
        <v>28</v>
      </c>
      <c r="P361" s="1">
        <v>7</v>
      </c>
      <c r="Q361" s="1">
        <v>3330</v>
      </c>
      <c r="R361" s="1">
        <v>3629.7000000000003</v>
      </c>
      <c r="S361" s="1">
        <v>0.05</v>
      </c>
    </row>
    <row r="362" spans="1:19" x14ac:dyDescent="0.3">
      <c r="A362" s="1" t="s">
        <v>1286</v>
      </c>
      <c r="B362" s="1" t="s">
        <v>971</v>
      </c>
      <c r="C362" s="1" t="s">
        <v>1287</v>
      </c>
      <c r="D362" s="1" t="s">
        <v>1288</v>
      </c>
      <c r="E362" s="1" t="s">
        <v>95</v>
      </c>
      <c r="F362" s="1">
        <v>45591</v>
      </c>
      <c r="G362" s="1">
        <v>45592</v>
      </c>
      <c r="H362" s="1">
        <v>45594</v>
      </c>
      <c r="I362" s="1" t="s">
        <v>82</v>
      </c>
      <c r="J362" s="1" t="s">
        <v>2</v>
      </c>
      <c r="K362" s="1" t="s">
        <v>20</v>
      </c>
      <c r="L362" s="1" t="s">
        <v>23</v>
      </c>
      <c r="M362" s="1" t="s">
        <v>49</v>
      </c>
      <c r="N362" s="1" t="s">
        <v>33</v>
      </c>
      <c r="O362" s="1" t="s">
        <v>34</v>
      </c>
      <c r="P362" s="1">
        <v>3</v>
      </c>
      <c r="Q362" s="1">
        <v>1080</v>
      </c>
      <c r="R362" s="1">
        <v>1112.4000000000001</v>
      </c>
      <c r="S362" s="1">
        <v>7.0000000000000007E-2</v>
      </c>
    </row>
    <row r="363" spans="1:19" x14ac:dyDescent="0.3">
      <c r="A363" s="1" t="s">
        <v>1289</v>
      </c>
      <c r="B363" s="1" t="s">
        <v>1290</v>
      </c>
      <c r="C363" s="1" t="s">
        <v>1291</v>
      </c>
      <c r="D363" s="1" t="s">
        <v>1292</v>
      </c>
      <c r="E363" s="1" t="s">
        <v>192</v>
      </c>
      <c r="F363" s="1">
        <v>45389</v>
      </c>
      <c r="G363" s="1">
        <v>45389</v>
      </c>
      <c r="H363" s="1">
        <v>45392</v>
      </c>
      <c r="I363" s="1" t="s">
        <v>72</v>
      </c>
      <c r="J363" s="1" t="s">
        <v>1</v>
      </c>
      <c r="K363" s="1" t="s">
        <v>20</v>
      </c>
      <c r="L363" s="1" t="s">
        <v>23</v>
      </c>
      <c r="M363" s="1" t="s">
        <v>46</v>
      </c>
      <c r="N363" s="1" t="s">
        <v>38</v>
      </c>
      <c r="O363" s="1" t="s">
        <v>45</v>
      </c>
      <c r="P363" s="1">
        <v>8</v>
      </c>
      <c r="Q363" s="1">
        <v>350</v>
      </c>
      <c r="R363" s="1">
        <v>364</v>
      </c>
      <c r="S363" s="1">
        <v>0.01</v>
      </c>
    </row>
    <row r="364" spans="1:19" x14ac:dyDescent="0.3">
      <c r="A364" s="1" t="s">
        <v>1293</v>
      </c>
      <c r="B364" s="1" t="s">
        <v>1040</v>
      </c>
      <c r="C364" s="1" t="s">
        <v>1294</v>
      </c>
      <c r="D364" s="1" t="s">
        <v>1295</v>
      </c>
      <c r="E364" s="1" t="s">
        <v>81</v>
      </c>
      <c r="F364" s="1">
        <v>45645</v>
      </c>
      <c r="G364" s="1">
        <v>45645</v>
      </c>
      <c r="H364" s="1">
        <v>45650</v>
      </c>
      <c r="I364" s="1" t="s">
        <v>72</v>
      </c>
      <c r="J364" s="1" t="s">
        <v>18</v>
      </c>
      <c r="K364" s="1" t="s">
        <v>20</v>
      </c>
      <c r="L364" s="1" t="s">
        <v>61</v>
      </c>
      <c r="M364" s="1" t="s">
        <v>59</v>
      </c>
      <c r="N364" s="1" t="s">
        <v>27</v>
      </c>
      <c r="O364" s="1" t="s">
        <v>60</v>
      </c>
      <c r="P364" s="1">
        <v>6</v>
      </c>
      <c r="Q364" s="1">
        <v>1230</v>
      </c>
      <c r="R364" s="1">
        <v>1328.4</v>
      </c>
      <c r="S364" s="1">
        <v>0.02</v>
      </c>
    </row>
    <row r="365" spans="1:19" x14ac:dyDescent="0.3">
      <c r="A365" s="1" t="s">
        <v>1296</v>
      </c>
      <c r="B365" s="1" t="s">
        <v>1297</v>
      </c>
      <c r="C365" s="1" t="s">
        <v>1298</v>
      </c>
      <c r="D365" s="1" t="s">
        <v>1299</v>
      </c>
      <c r="E365" s="1" t="s">
        <v>291</v>
      </c>
      <c r="F365" s="1">
        <v>46135</v>
      </c>
      <c r="G365" s="1">
        <v>46136</v>
      </c>
      <c r="H365" s="1">
        <v>46137</v>
      </c>
      <c r="I365" s="1" t="s">
        <v>82</v>
      </c>
      <c r="J365" s="1" t="s">
        <v>1</v>
      </c>
      <c r="K365" s="1" t="s">
        <v>19</v>
      </c>
      <c r="L365" s="1" t="s">
        <v>23</v>
      </c>
      <c r="M365" s="1" t="s">
        <v>57</v>
      </c>
      <c r="N365" s="1" t="s">
        <v>27</v>
      </c>
      <c r="O365" s="1" t="s">
        <v>58</v>
      </c>
      <c r="P365" s="1">
        <v>3</v>
      </c>
      <c r="Q365" s="1">
        <v>480</v>
      </c>
      <c r="R365" s="1">
        <v>513.6</v>
      </c>
      <c r="S365" s="1">
        <v>0.05</v>
      </c>
    </row>
    <row r="366" spans="1:19" x14ac:dyDescent="0.3">
      <c r="A366" s="1" t="s">
        <v>1300</v>
      </c>
      <c r="B366" s="1" t="s">
        <v>863</v>
      </c>
      <c r="C366" s="1" t="s">
        <v>1301</v>
      </c>
      <c r="D366" s="1" t="s">
        <v>1302</v>
      </c>
      <c r="E366" s="1" t="s">
        <v>87</v>
      </c>
      <c r="F366" s="1">
        <v>45443</v>
      </c>
      <c r="G366" s="1">
        <v>45443</v>
      </c>
      <c r="H366" s="1">
        <v>45445</v>
      </c>
      <c r="I366" s="1" t="s">
        <v>82</v>
      </c>
      <c r="J366" s="1" t="s">
        <v>16</v>
      </c>
      <c r="K366" s="1" t="s">
        <v>19</v>
      </c>
      <c r="L366" s="1" t="s">
        <v>61</v>
      </c>
      <c r="M366" s="1" t="s">
        <v>30</v>
      </c>
      <c r="N366" s="1" t="s">
        <v>27</v>
      </c>
      <c r="O366" s="1" t="s">
        <v>31</v>
      </c>
      <c r="P366" s="1">
        <v>2</v>
      </c>
      <c r="Q366" s="1">
        <v>1030</v>
      </c>
      <c r="R366" s="1">
        <v>1174.2</v>
      </c>
      <c r="S366" s="1">
        <v>0.06</v>
      </c>
    </row>
    <row r="367" spans="1:19" x14ac:dyDescent="0.3">
      <c r="A367" s="1" t="s">
        <v>1303</v>
      </c>
      <c r="B367" s="1" t="s">
        <v>389</v>
      </c>
      <c r="C367" s="1" t="s">
        <v>1304</v>
      </c>
      <c r="D367" s="1" t="s">
        <v>1305</v>
      </c>
      <c r="E367" s="1" t="s">
        <v>119</v>
      </c>
      <c r="F367" s="1">
        <v>46104</v>
      </c>
      <c r="G367" s="1">
        <v>46104</v>
      </c>
      <c r="H367" s="1">
        <v>46108</v>
      </c>
      <c r="I367" s="1" t="s">
        <v>82</v>
      </c>
      <c r="J367" s="1" t="s">
        <v>16</v>
      </c>
      <c r="K367" s="1" t="s">
        <v>20</v>
      </c>
      <c r="L367" s="1" t="s">
        <v>61</v>
      </c>
      <c r="M367" s="1" t="s">
        <v>37</v>
      </c>
      <c r="N367" s="1" t="s">
        <v>38</v>
      </c>
      <c r="O367" s="1" t="s">
        <v>39</v>
      </c>
      <c r="P367" s="1">
        <v>2</v>
      </c>
      <c r="Q367" s="1">
        <v>250</v>
      </c>
      <c r="R367" s="1">
        <v>270</v>
      </c>
      <c r="S367" s="1">
        <v>0</v>
      </c>
    </row>
    <row r="368" spans="1:19" x14ac:dyDescent="0.3">
      <c r="A368" s="1" t="s">
        <v>1306</v>
      </c>
      <c r="B368" s="1" t="s">
        <v>404</v>
      </c>
      <c r="C368" s="1" t="s">
        <v>1307</v>
      </c>
      <c r="D368" s="1" t="s">
        <v>1308</v>
      </c>
      <c r="E368" s="1" t="s">
        <v>81</v>
      </c>
      <c r="F368" s="1">
        <v>45520</v>
      </c>
      <c r="G368" s="1">
        <v>45521</v>
      </c>
      <c r="H368" s="1">
        <v>45522</v>
      </c>
      <c r="I368" s="1" t="s">
        <v>72</v>
      </c>
      <c r="J368" s="1" t="s">
        <v>16</v>
      </c>
      <c r="K368" s="1" t="s">
        <v>21</v>
      </c>
      <c r="L368" s="1" t="s">
        <v>25</v>
      </c>
      <c r="M368" s="1" t="s">
        <v>59</v>
      </c>
      <c r="N368" s="1" t="s">
        <v>27</v>
      </c>
      <c r="O368" s="1" t="s">
        <v>60</v>
      </c>
      <c r="P368" s="1">
        <v>8</v>
      </c>
      <c r="Q368" s="1">
        <v>1230</v>
      </c>
      <c r="R368" s="1">
        <v>1328.4</v>
      </c>
      <c r="S368" s="1">
        <v>0.08</v>
      </c>
    </row>
    <row r="369" spans="1:19" x14ac:dyDescent="0.3">
      <c r="A369" s="1" t="s">
        <v>1309</v>
      </c>
      <c r="B369" s="1" t="s">
        <v>803</v>
      </c>
      <c r="C369" s="1" t="s">
        <v>1310</v>
      </c>
      <c r="D369" s="1" t="s">
        <v>1311</v>
      </c>
      <c r="E369" s="1" t="s">
        <v>173</v>
      </c>
      <c r="F369" s="1">
        <v>45997</v>
      </c>
      <c r="G369" s="1">
        <v>45997</v>
      </c>
      <c r="H369" s="1">
        <v>46002</v>
      </c>
      <c r="I369" s="1" t="s">
        <v>72</v>
      </c>
      <c r="J369" s="1" t="s">
        <v>16</v>
      </c>
      <c r="K369" s="1" t="s">
        <v>21</v>
      </c>
      <c r="L369" s="1" t="s">
        <v>25</v>
      </c>
      <c r="M369" s="1" t="s">
        <v>48</v>
      </c>
      <c r="N369" s="1" t="s">
        <v>38</v>
      </c>
      <c r="O369" s="1" t="s">
        <v>41</v>
      </c>
      <c r="P369" s="1">
        <v>10</v>
      </c>
      <c r="Q369" s="1">
        <v>580</v>
      </c>
      <c r="R369" s="1">
        <v>667</v>
      </c>
      <c r="S369" s="1">
        <v>0</v>
      </c>
    </row>
    <row r="370" spans="1:19" x14ac:dyDescent="0.3">
      <c r="A370" s="1" t="s">
        <v>1312</v>
      </c>
      <c r="B370" s="1" t="s">
        <v>578</v>
      </c>
      <c r="C370" s="1" t="s">
        <v>1313</v>
      </c>
      <c r="D370" s="1" t="s">
        <v>1314</v>
      </c>
      <c r="E370" s="1" t="s">
        <v>178</v>
      </c>
      <c r="F370" s="1">
        <v>46108</v>
      </c>
      <c r="G370" s="1">
        <v>46109</v>
      </c>
      <c r="H370" s="1">
        <v>46111</v>
      </c>
      <c r="I370" s="1" t="s">
        <v>72</v>
      </c>
      <c r="J370" s="1" t="s">
        <v>17</v>
      </c>
      <c r="K370" s="1" t="s">
        <v>21</v>
      </c>
      <c r="L370" s="1" t="s">
        <v>23</v>
      </c>
      <c r="M370" s="1" t="s">
        <v>47</v>
      </c>
      <c r="N370" s="1" t="s">
        <v>38</v>
      </c>
      <c r="O370" s="1" t="s">
        <v>39</v>
      </c>
      <c r="P370" s="1">
        <v>5</v>
      </c>
      <c r="Q370" s="1">
        <v>390</v>
      </c>
      <c r="R370" s="1">
        <v>468</v>
      </c>
      <c r="S370" s="1">
        <v>0</v>
      </c>
    </row>
    <row r="371" spans="1:19" x14ac:dyDescent="0.3">
      <c r="A371" s="1" t="s">
        <v>1315</v>
      </c>
      <c r="B371" s="1" t="s">
        <v>1316</v>
      </c>
      <c r="C371" s="1" t="s">
        <v>1317</v>
      </c>
      <c r="D371" s="1" t="s">
        <v>1318</v>
      </c>
      <c r="E371" s="1" t="s">
        <v>291</v>
      </c>
      <c r="F371" s="1">
        <v>45578</v>
      </c>
      <c r="G371" s="1">
        <v>45579</v>
      </c>
      <c r="H371" s="1">
        <v>45582</v>
      </c>
      <c r="I371" s="1" t="s">
        <v>72</v>
      </c>
      <c r="J371" s="1" t="s">
        <v>18</v>
      </c>
      <c r="K371" s="1" t="s">
        <v>21</v>
      </c>
      <c r="L371" s="1" t="s">
        <v>25</v>
      </c>
      <c r="M371" s="1" t="s">
        <v>57</v>
      </c>
      <c r="N371" s="1" t="s">
        <v>27</v>
      </c>
      <c r="O371" s="1" t="s">
        <v>58</v>
      </c>
      <c r="P371" s="1">
        <v>7</v>
      </c>
      <c r="Q371" s="1">
        <v>480</v>
      </c>
      <c r="R371" s="1">
        <v>513.6</v>
      </c>
      <c r="S371" s="1">
        <v>0.08</v>
      </c>
    </row>
    <row r="372" spans="1:19" x14ac:dyDescent="0.3">
      <c r="A372" s="1" t="s">
        <v>1319</v>
      </c>
      <c r="B372" s="1" t="s">
        <v>979</v>
      </c>
      <c r="C372" s="1" t="s">
        <v>1320</v>
      </c>
      <c r="D372" s="1" t="s">
        <v>1139</v>
      </c>
      <c r="E372" s="1" t="s">
        <v>119</v>
      </c>
      <c r="F372" s="1">
        <v>45547</v>
      </c>
      <c r="G372" s="1">
        <v>45548</v>
      </c>
      <c r="H372" s="1">
        <v>45552</v>
      </c>
      <c r="I372" s="1" t="s">
        <v>82</v>
      </c>
      <c r="J372" s="1" t="s">
        <v>16</v>
      </c>
      <c r="K372" s="1" t="s">
        <v>20</v>
      </c>
      <c r="L372" s="1" t="s">
        <v>61</v>
      </c>
      <c r="M372" s="1" t="s">
        <v>37</v>
      </c>
      <c r="N372" s="1" t="s">
        <v>38</v>
      </c>
      <c r="O372" s="1" t="s">
        <v>39</v>
      </c>
      <c r="P372" s="1">
        <v>3</v>
      </c>
      <c r="Q372" s="1">
        <v>250</v>
      </c>
      <c r="R372" s="1">
        <v>270</v>
      </c>
      <c r="S372" s="1">
        <v>0.01</v>
      </c>
    </row>
    <row r="373" spans="1:19" x14ac:dyDescent="0.3">
      <c r="A373" s="1" t="s">
        <v>1321</v>
      </c>
      <c r="B373" s="1" t="s">
        <v>1108</v>
      </c>
      <c r="C373" s="1" t="s">
        <v>1322</v>
      </c>
      <c r="D373" s="1" t="s">
        <v>1323</v>
      </c>
      <c r="E373" s="1" t="s">
        <v>173</v>
      </c>
      <c r="F373" s="1">
        <v>45858</v>
      </c>
      <c r="G373" s="1">
        <v>45859</v>
      </c>
      <c r="H373" s="1">
        <v>45863</v>
      </c>
      <c r="I373" s="1" t="s">
        <v>82</v>
      </c>
      <c r="J373" s="1" t="s">
        <v>2</v>
      </c>
      <c r="K373" s="1" t="s">
        <v>20</v>
      </c>
      <c r="L373" s="1" t="s">
        <v>25</v>
      </c>
      <c r="M373" s="1" t="s">
        <v>48</v>
      </c>
      <c r="N373" s="1" t="s">
        <v>38</v>
      </c>
      <c r="O373" s="1" t="s">
        <v>41</v>
      </c>
      <c r="P373" s="1">
        <v>1</v>
      </c>
      <c r="Q373" s="1">
        <v>580</v>
      </c>
      <c r="R373" s="1">
        <v>667</v>
      </c>
      <c r="S373" s="1">
        <v>0</v>
      </c>
    </row>
    <row r="374" spans="1:19" x14ac:dyDescent="0.3">
      <c r="A374" s="1" t="s">
        <v>1324</v>
      </c>
      <c r="B374" s="1" t="s">
        <v>1325</v>
      </c>
      <c r="C374" s="1" t="s">
        <v>1326</v>
      </c>
      <c r="D374" s="1" t="s">
        <v>1327</v>
      </c>
      <c r="E374" s="1" t="s">
        <v>119</v>
      </c>
      <c r="F374" s="1">
        <v>45625</v>
      </c>
      <c r="G374" s="1">
        <v>45625</v>
      </c>
      <c r="H374" s="1">
        <v>45627</v>
      </c>
      <c r="I374" s="1" t="s">
        <v>82</v>
      </c>
      <c r="J374" s="1" t="s">
        <v>18</v>
      </c>
      <c r="K374" s="1" t="s">
        <v>19</v>
      </c>
      <c r="L374" s="1" t="s">
        <v>23</v>
      </c>
      <c r="M374" s="1" t="s">
        <v>37</v>
      </c>
      <c r="N374" s="1" t="s">
        <v>38</v>
      </c>
      <c r="O374" s="1" t="s">
        <v>39</v>
      </c>
      <c r="P374" s="1">
        <v>1</v>
      </c>
      <c r="Q374" s="1">
        <v>250</v>
      </c>
      <c r="R374" s="1">
        <v>270</v>
      </c>
      <c r="S374" s="1">
        <v>0</v>
      </c>
    </row>
    <row r="375" spans="1:19" x14ac:dyDescent="0.3">
      <c r="A375" s="1" t="s">
        <v>1328</v>
      </c>
      <c r="B375" s="1" t="s">
        <v>170</v>
      </c>
      <c r="C375" s="1" t="s">
        <v>1329</v>
      </c>
      <c r="D375" s="1" t="s">
        <v>1330</v>
      </c>
      <c r="E375" s="1" t="s">
        <v>322</v>
      </c>
      <c r="F375" s="1">
        <v>45850</v>
      </c>
      <c r="G375" s="1">
        <v>45851</v>
      </c>
      <c r="H375" s="1">
        <v>45855</v>
      </c>
      <c r="I375" s="1" t="s">
        <v>82</v>
      </c>
      <c r="J375" s="1" t="s">
        <v>1</v>
      </c>
      <c r="K375" s="1" t="s">
        <v>20</v>
      </c>
      <c r="L375" s="1" t="s">
        <v>22</v>
      </c>
      <c r="M375" s="1" t="s">
        <v>26</v>
      </c>
      <c r="N375" s="1" t="s">
        <v>27</v>
      </c>
      <c r="O375" s="1" t="s">
        <v>28</v>
      </c>
      <c r="P375" s="1">
        <v>2</v>
      </c>
      <c r="Q375" s="1">
        <v>3330</v>
      </c>
      <c r="R375" s="1">
        <v>3629.7000000000003</v>
      </c>
      <c r="S375" s="1">
        <v>0.08</v>
      </c>
    </row>
    <row r="376" spans="1:19" x14ac:dyDescent="0.3">
      <c r="A376" s="1" t="s">
        <v>1331</v>
      </c>
      <c r="B376" s="1" t="s">
        <v>311</v>
      </c>
      <c r="C376" s="1" t="s">
        <v>1332</v>
      </c>
      <c r="D376" s="1" t="s">
        <v>1333</v>
      </c>
      <c r="E376" s="1" t="s">
        <v>114</v>
      </c>
      <c r="F376" s="1">
        <v>45509</v>
      </c>
      <c r="G376" s="1">
        <v>45509</v>
      </c>
      <c r="H376" s="1">
        <v>45513</v>
      </c>
      <c r="I376" s="1" t="s">
        <v>72</v>
      </c>
      <c r="J376" s="1" t="s">
        <v>17</v>
      </c>
      <c r="K376" s="1" t="s">
        <v>20</v>
      </c>
      <c r="L376" s="1" t="s">
        <v>25</v>
      </c>
      <c r="M376" s="1" t="s">
        <v>51</v>
      </c>
      <c r="N376" s="1" t="s">
        <v>33</v>
      </c>
      <c r="O376" s="1" t="s">
        <v>52</v>
      </c>
      <c r="P376" s="1">
        <v>5</v>
      </c>
      <c r="Q376" s="1">
        <v>280</v>
      </c>
      <c r="R376" s="1">
        <v>336</v>
      </c>
      <c r="S376" s="1">
        <v>0.03</v>
      </c>
    </row>
    <row r="377" spans="1:19" x14ac:dyDescent="0.3">
      <c r="A377" s="1" t="s">
        <v>1334</v>
      </c>
      <c r="B377" s="1" t="s">
        <v>925</v>
      </c>
      <c r="C377" s="1" t="s">
        <v>1335</v>
      </c>
      <c r="D377" s="1" t="s">
        <v>1336</v>
      </c>
      <c r="E377" s="1" t="s">
        <v>114</v>
      </c>
      <c r="F377" s="1">
        <v>45774</v>
      </c>
      <c r="G377" s="1">
        <v>45774</v>
      </c>
      <c r="H377" s="1">
        <v>45777</v>
      </c>
      <c r="I377" s="1" t="s">
        <v>72</v>
      </c>
      <c r="J377" s="1" t="s">
        <v>17</v>
      </c>
      <c r="K377" s="1" t="s">
        <v>20</v>
      </c>
      <c r="L377" s="1" t="s">
        <v>25</v>
      </c>
      <c r="M377" s="1" t="s">
        <v>51</v>
      </c>
      <c r="N377" s="1" t="s">
        <v>33</v>
      </c>
      <c r="O377" s="1" t="s">
        <v>52</v>
      </c>
      <c r="P377" s="1">
        <v>10</v>
      </c>
      <c r="Q377" s="1">
        <v>280</v>
      </c>
      <c r="R377" s="1">
        <v>336</v>
      </c>
      <c r="S377" s="1">
        <v>0.06</v>
      </c>
    </row>
    <row r="378" spans="1:19" x14ac:dyDescent="0.3">
      <c r="A378" s="1" t="s">
        <v>1337</v>
      </c>
      <c r="B378" s="1" t="s">
        <v>1338</v>
      </c>
      <c r="C378" s="1" t="s">
        <v>1339</v>
      </c>
      <c r="D378" s="1" t="s">
        <v>1340</v>
      </c>
      <c r="E378" s="1" t="s">
        <v>95</v>
      </c>
      <c r="F378" s="1">
        <v>45538</v>
      </c>
      <c r="G378" s="1">
        <v>45538</v>
      </c>
      <c r="H378" s="1">
        <v>45543</v>
      </c>
      <c r="I378" s="1" t="s">
        <v>82</v>
      </c>
      <c r="J378" s="1" t="s">
        <v>16</v>
      </c>
      <c r="K378" s="1" t="s">
        <v>19</v>
      </c>
      <c r="L378" s="1" t="s">
        <v>23</v>
      </c>
      <c r="M378" s="1" t="s">
        <v>49</v>
      </c>
      <c r="N378" s="1" t="s">
        <v>33</v>
      </c>
      <c r="O378" s="1" t="s">
        <v>34</v>
      </c>
      <c r="P378" s="1">
        <v>3</v>
      </c>
      <c r="Q378" s="1">
        <v>1080</v>
      </c>
      <c r="R378" s="1">
        <v>1112.4000000000001</v>
      </c>
      <c r="S378" s="1">
        <v>0.01</v>
      </c>
    </row>
    <row r="379" spans="1:19" x14ac:dyDescent="0.3">
      <c r="A379" s="1" t="s">
        <v>1341</v>
      </c>
      <c r="B379" s="1" t="s">
        <v>304</v>
      </c>
      <c r="C379" s="1" t="s">
        <v>1342</v>
      </c>
      <c r="D379" s="1" t="s">
        <v>1343</v>
      </c>
      <c r="E379" s="1" t="s">
        <v>109</v>
      </c>
      <c r="F379" s="1">
        <v>45330</v>
      </c>
      <c r="G379" s="1">
        <v>45330</v>
      </c>
      <c r="H379" s="1">
        <v>45334</v>
      </c>
      <c r="I379" s="1" t="s">
        <v>72</v>
      </c>
      <c r="J379" s="1" t="s">
        <v>2</v>
      </c>
      <c r="K379" s="1" t="s">
        <v>19</v>
      </c>
      <c r="L379" s="1" t="s">
        <v>25</v>
      </c>
      <c r="M379" s="1" t="s">
        <v>55</v>
      </c>
      <c r="N379" s="1" t="s">
        <v>27</v>
      </c>
      <c r="O379" s="1" t="s">
        <v>56</v>
      </c>
      <c r="P379" s="1">
        <v>10</v>
      </c>
      <c r="Q379" s="1">
        <v>650</v>
      </c>
      <c r="R379" s="1">
        <v>663</v>
      </c>
      <c r="S379" s="1">
        <v>0.1</v>
      </c>
    </row>
    <row r="380" spans="1:19" x14ac:dyDescent="0.3">
      <c r="A380" s="1" t="s">
        <v>1344</v>
      </c>
      <c r="B380" s="1" t="s">
        <v>297</v>
      </c>
      <c r="C380" s="1" t="s">
        <v>1345</v>
      </c>
      <c r="D380" s="1" t="s">
        <v>1346</v>
      </c>
      <c r="E380" s="1" t="s">
        <v>178</v>
      </c>
      <c r="F380" s="1">
        <v>45777</v>
      </c>
      <c r="G380" s="1">
        <v>45778</v>
      </c>
      <c r="H380" s="1">
        <v>45781</v>
      </c>
      <c r="I380" s="1" t="s">
        <v>72</v>
      </c>
      <c r="J380" s="1" t="s">
        <v>18</v>
      </c>
      <c r="K380" s="1" t="s">
        <v>21</v>
      </c>
      <c r="L380" s="1" t="s">
        <v>24</v>
      </c>
      <c r="M380" s="1" t="s">
        <v>47</v>
      </c>
      <c r="N380" s="1" t="s">
        <v>38</v>
      </c>
      <c r="O380" s="1" t="s">
        <v>39</v>
      </c>
      <c r="P380" s="1">
        <v>12</v>
      </c>
      <c r="Q380" s="1">
        <v>390</v>
      </c>
      <c r="R380" s="1">
        <v>468</v>
      </c>
      <c r="S380" s="1">
        <v>0.02</v>
      </c>
    </row>
    <row r="381" spans="1:19" x14ac:dyDescent="0.3">
      <c r="A381" s="1" t="s">
        <v>1347</v>
      </c>
      <c r="B381" s="1" t="s">
        <v>1297</v>
      </c>
      <c r="C381" s="1" t="s">
        <v>1348</v>
      </c>
      <c r="D381" s="1" t="s">
        <v>1349</v>
      </c>
      <c r="E381" s="1" t="s">
        <v>291</v>
      </c>
      <c r="F381" s="1">
        <v>45793</v>
      </c>
      <c r="G381" s="1">
        <v>45793</v>
      </c>
      <c r="H381" s="1">
        <v>45797</v>
      </c>
      <c r="I381" s="1" t="s">
        <v>72</v>
      </c>
      <c r="J381" s="1" t="s">
        <v>17</v>
      </c>
      <c r="K381" s="1" t="s">
        <v>21</v>
      </c>
      <c r="L381" s="1" t="s">
        <v>25</v>
      </c>
      <c r="M381" s="1" t="s">
        <v>57</v>
      </c>
      <c r="N381" s="1" t="s">
        <v>27</v>
      </c>
      <c r="O381" s="1" t="s">
        <v>58</v>
      </c>
      <c r="P381" s="1">
        <v>9</v>
      </c>
      <c r="Q381" s="1">
        <v>480</v>
      </c>
      <c r="R381" s="1">
        <v>513.6</v>
      </c>
      <c r="S381" s="1">
        <v>0.09</v>
      </c>
    </row>
    <row r="382" spans="1:19" x14ac:dyDescent="0.3">
      <c r="A382" s="1" t="s">
        <v>1350</v>
      </c>
      <c r="B382" s="1" t="s">
        <v>501</v>
      </c>
      <c r="C382" s="1" t="s">
        <v>1351</v>
      </c>
      <c r="D382" s="1" t="s">
        <v>1352</v>
      </c>
      <c r="E382" s="1" t="s">
        <v>217</v>
      </c>
      <c r="F382" s="1">
        <v>45408</v>
      </c>
      <c r="G382" s="1">
        <v>45409</v>
      </c>
      <c r="H382" s="1">
        <v>45410</v>
      </c>
      <c r="I382" s="1" t="s">
        <v>72</v>
      </c>
      <c r="J382" s="1" t="s">
        <v>2</v>
      </c>
      <c r="K382" s="1" t="s">
        <v>19</v>
      </c>
      <c r="L382" s="1" t="s">
        <v>61</v>
      </c>
      <c r="M382" s="1" t="s">
        <v>29</v>
      </c>
      <c r="N382" s="1" t="s">
        <v>27</v>
      </c>
      <c r="O382" s="1" t="s">
        <v>28</v>
      </c>
      <c r="P382" s="1">
        <v>7</v>
      </c>
      <c r="Q382" s="1">
        <v>3930</v>
      </c>
      <c r="R382" s="1">
        <v>4362.3</v>
      </c>
      <c r="S382" s="1">
        <v>0.02</v>
      </c>
    </row>
    <row r="383" spans="1:19" x14ac:dyDescent="0.3">
      <c r="A383" s="1" t="s">
        <v>1353</v>
      </c>
      <c r="B383" s="1" t="s">
        <v>564</v>
      </c>
      <c r="C383" s="1" t="s">
        <v>1354</v>
      </c>
      <c r="D383" s="1" t="s">
        <v>1355</v>
      </c>
      <c r="E383" s="1" t="s">
        <v>164</v>
      </c>
      <c r="F383" s="1">
        <v>45333</v>
      </c>
      <c r="G383" s="1">
        <v>45333</v>
      </c>
      <c r="H383" s="1">
        <v>45338</v>
      </c>
      <c r="I383" s="1" t="s">
        <v>82</v>
      </c>
      <c r="J383" s="1" t="s">
        <v>1</v>
      </c>
      <c r="K383" s="1" t="s">
        <v>20</v>
      </c>
      <c r="L383" s="1" t="s">
        <v>25</v>
      </c>
      <c r="M383" s="1" t="s">
        <v>43</v>
      </c>
      <c r="N383" s="1" t="s">
        <v>27</v>
      </c>
      <c r="O383" s="1" t="s">
        <v>31</v>
      </c>
      <c r="P383" s="1">
        <v>4</v>
      </c>
      <c r="Q383" s="1">
        <v>1630</v>
      </c>
      <c r="R383" s="1">
        <v>1744.1000000000001</v>
      </c>
      <c r="S383" s="1">
        <v>0.05</v>
      </c>
    </row>
    <row r="384" spans="1:19" x14ac:dyDescent="0.3">
      <c r="A384" s="1" t="s">
        <v>1356</v>
      </c>
      <c r="B384" s="1" t="s">
        <v>1065</v>
      </c>
      <c r="C384" s="1" t="s">
        <v>1357</v>
      </c>
      <c r="D384" s="1" t="s">
        <v>1073</v>
      </c>
      <c r="E384" s="1" t="s">
        <v>291</v>
      </c>
      <c r="F384" s="1">
        <v>45507</v>
      </c>
      <c r="G384" s="1">
        <v>45507</v>
      </c>
      <c r="H384" s="1">
        <v>45511</v>
      </c>
      <c r="I384" s="1" t="s">
        <v>72</v>
      </c>
      <c r="J384" s="1" t="s">
        <v>16</v>
      </c>
      <c r="K384" s="1" t="s">
        <v>19</v>
      </c>
      <c r="L384" s="1" t="s">
        <v>24</v>
      </c>
      <c r="M384" s="1" t="s">
        <v>57</v>
      </c>
      <c r="N384" s="1" t="s">
        <v>27</v>
      </c>
      <c r="O384" s="1" t="s">
        <v>58</v>
      </c>
      <c r="P384" s="1">
        <v>5</v>
      </c>
      <c r="Q384" s="1">
        <v>480</v>
      </c>
      <c r="R384" s="1">
        <v>513.6</v>
      </c>
      <c r="S384" s="1">
        <v>0.03</v>
      </c>
    </row>
    <row r="385" spans="1:19" x14ac:dyDescent="0.3">
      <c r="A385" s="1" t="s">
        <v>1358</v>
      </c>
      <c r="B385" s="1" t="s">
        <v>210</v>
      </c>
      <c r="C385" s="1" t="s">
        <v>1359</v>
      </c>
      <c r="D385" s="1" t="s">
        <v>1089</v>
      </c>
      <c r="E385" s="1" t="s">
        <v>77</v>
      </c>
      <c r="F385" s="1">
        <v>45784</v>
      </c>
      <c r="G385" s="1">
        <v>45785</v>
      </c>
      <c r="H385" s="1">
        <v>45789</v>
      </c>
      <c r="I385" s="1" t="s">
        <v>72</v>
      </c>
      <c r="J385" s="1" t="s">
        <v>17</v>
      </c>
      <c r="K385" s="1" t="s">
        <v>19</v>
      </c>
      <c r="L385" s="1" t="s">
        <v>25</v>
      </c>
      <c r="M385" s="1" t="s">
        <v>44</v>
      </c>
      <c r="N385" s="1" t="s">
        <v>38</v>
      </c>
      <c r="O385" s="1" t="s">
        <v>45</v>
      </c>
      <c r="P385" s="1">
        <v>10</v>
      </c>
      <c r="Q385" s="1">
        <v>210</v>
      </c>
      <c r="R385" s="1">
        <v>222.60000000000002</v>
      </c>
      <c r="S385" s="1">
        <v>0.1</v>
      </c>
    </row>
    <row r="386" spans="1:19" x14ac:dyDescent="0.3">
      <c r="A386" s="1" t="s">
        <v>1360</v>
      </c>
      <c r="B386" s="1" t="s">
        <v>1361</v>
      </c>
      <c r="C386" s="1" t="s">
        <v>1362</v>
      </c>
      <c r="D386" s="1" t="s">
        <v>1363</v>
      </c>
      <c r="E386" s="1" t="s">
        <v>87</v>
      </c>
      <c r="F386" s="1">
        <v>45655</v>
      </c>
      <c r="G386" s="1">
        <v>45655</v>
      </c>
      <c r="H386" s="1">
        <v>45659</v>
      </c>
      <c r="I386" s="1" t="s">
        <v>72</v>
      </c>
      <c r="J386" s="1" t="s">
        <v>2</v>
      </c>
      <c r="K386" s="1" t="s">
        <v>20</v>
      </c>
      <c r="L386" s="1" t="s">
        <v>25</v>
      </c>
      <c r="M386" s="1" t="s">
        <v>30</v>
      </c>
      <c r="N386" s="1" t="s">
        <v>27</v>
      </c>
      <c r="O386" s="1" t="s">
        <v>31</v>
      </c>
      <c r="P386" s="1">
        <v>10</v>
      </c>
      <c r="Q386" s="1">
        <v>1030</v>
      </c>
      <c r="R386" s="1">
        <v>1174.2</v>
      </c>
      <c r="S386" s="1">
        <v>0.02</v>
      </c>
    </row>
    <row r="387" spans="1:19" x14ac:dyDescent="0.3">
      <c r="A387" s="1" t="s">
        <v>1364</v>
      </c>
      <c r="B387" s="1" t="s">
        <v>851</v>
      </c>
      <c r="C387" s="1" t="s">
        <v>1365</v>
      </c>
      <c r="D387" s="1" t="s">
        <v>1366</v>
      </c>
      <c r="E387" s="1" t="s">
        <v>291</v>
      </c>
      <c r="F387" s="1">
        <v>45973</v>
      </c>
      <c r="G387" s="1">
        <v>45974</v>
      </c>
      <c r="H387" s="1">
        <v>45976</v>
      </c>
      <c r="I387" s="1" t="s">
        <v>72</v>
      </c>
      <c r="J387" s="1" t="s">
        <v>1</v>
      </c>
      <c r="K387" s="1" t="s">
        <v>20</v>
      </c>
      <c r="L387" s="1" t="s">
        <v>24</v>
      </c>
      <c r="M387" s="1" t="s">
        <v>57</v>
      </c>
      <c r="N387" s="1" t="s">
        <v>27</v>
      </c>
      <c r="O387" s="1" t="s">
        <v>58</v>
      </c>
      <c r="P387" s="1">
        <v>6</v>
      </c>
      <c r="Q387" s="1">
        <v>480</v>
      </c>
      <c r="R387" s="1">
        <v>513.6</v>
      </c>
      <c r="S387" s="1">
        <v>0.01</v>
      </c>
    </row>
    <row r="388" spans="1:19" x14ac:dyDescent="0.3">
      <c r="A388" s="1" t="s">
        <v>1367</v>
      </c>
      <c r="B388" s="1" t="s">
        <v>373</v>
      </c>
      <c r="C388" s="1" t="s">
        <v>1368</v>
      </c>
      <c r="D388" s="1" t="s">
        <v>1369</v>
      </c>
      <c r="E388" s="1" t="s">
        <v>291</v>
      </c>
      <c r="F388" s="1">
        <v>46156</v>
      </c>
      <c r="G388" s="1">
        <v>46157</v>
      </c>
      <c r="H388" s="1">
        <v>46158</v>
      </c>
      <c r="I388" s="1" t="s">
        <v>72</v>
      </c>
      <c r="J388" s="1" t="s">
        <v>16</v>
      </c>
      <c r="K388" s="1" t="s">
        <v>21</v>
      </c>
      <c r="L388" s="1" t="s">
        <v>24</v>
      </c>
      <c r="M388" s="1" t="s">
        <v>57</v>
      </c>
      <c r="N388" s="1" t="s">
        <v>27</v>
      </c>
      <c r="O388" s="1" t="s">
        <v>58</v>
      </c>
      <c r="P388" s="1">
        <v>13</v>
      </c>
      <c r="Q388" s="1">
        <v>480</v>
      </c>
      <c r="R388" s="1">
        <v>513.6</v>
      </c>
      <c r="S388" s="1">
        <v>0.05</v>
      </c>
    </row>
    <row r="389" spans="1:19" x14ac:dyDescent="0.3">
      <c r="A389" s="1" t="s">
        <v>1370</v>
      </c>
      <c r="B389" s="1" t="s">
        <v>315</v>
      </c>
      <c r="C389" s="1" t="s">
        <v>1371</v>
      </c>
      <c r="D389" s="1" t="s">
        <v>1372</v>
      </c>
      <c r="E389" s="1" t="s">
        <v>71</v>
      </c>
      <c r="F389" s="1">
        <v>45352</v>
      </c>
      <c r="G389" s="1">
        <v>45352</v>
      </c>
      <c r="H389" s="1">
        <v>45355</v>
      </c>
      <c r="I389" s="1" t="s">
        <v>82</v>
      </c>
      <c r="J389" s="1" t="s">
        <v>16</v>
      </c>
      <c r="K389" s="1" t="s">
        <v>19</v>
      </c>
      <c r="L389" s="1" t="s">
        <v>25</v>
      </c>
      <c r="M389" s="1" t="s">
        <v>32</v>
      </c>
      <c r="N389" s="1" t="s">
        <v>33</v>
      </c>
      <c r="O389" s="1" t="s">
        <v>34</v>
      </c>
      <c r="P389" s="1">
        <v>4</v>
      </c>
      <c r="Q389" s="1">
        <v>730</v>
      </c>
      <c r="R389" s="1">
        <v>824.9</v>
      </c>
      <c r="S389" s="1">
        <v>7.0000000000000007E-2</v>
      </c>
    </row>
    <row r="390" spans="1:19" x14ac:dyDescent="0.3">
      <c r="A390" s="1" t="s">
        <v>1373</v>
      </c>
      <c r="B390" s="1" t="s">
        <v>1112</v>
      </c>
      <c r="C390" s="1" t="s">
        <v>1374</v>
      </c>
      <c r="D390" s="1" t="s">
        <v>1375</v>
      </c>
      <c r="E390" s="1" t="s">
        <v>173</v>
      </c>
      <c r="F390" s="1">
        <v>45770</v>
      </c>
      <c r="G390" s="1">
        <v>45770</v>
      </c>
      <c r="H390" s="1">
        <v>45774</v>
      </c>
      <c r="I390" s="1" t="s">
        <v>72</v>
      </c>
      <c r="J390" s="1" t="s">
        <v>18</v>
      </c>
      <c r="K390" s="1" t="s">
        <v>19</v>
      </c>
      <c r="L390" s="1" t="s">
        <v>61</v>
      </c>
      <c r="M390" s="1" t="s">
        <v>48</v>
      </c>
      <c r="N390" s="1" t="s">
        <v>38</v>
      </c>
      <c r="O390" s="1" t="s">
        <v>41</v>
      </c>
      <c r="P390" s="1">
        <v>9</v>
      </c>
      <c r="Q390" s="1">
        <v>580</v>
      </c>
      <c r="R390" s="1">
        <v>667</v>
      </c>
      <c r="S390" s="1">
        <v>0.05</v>
      </c>
    </row>
    <row r="391" spans="1:19" x14ac:dyDescent="0.3">
      <c r="A391" s="1" t="s">
        <v>1376</v>
      </c>
      <c r="B391" s="1" t="s">
        <v>1377</v>
      </c>
      <c r="C391" s="1" t="s">
        <v>1378</v>
      </c>
      <c r="D391" s="1" t="s">
        <v>1379</v>
      </c>
      <c r="E391" s="1" t="s">
        <v>87</v>
      </c>
      <c r="F391" s="1">
        <v>45704</v>
      </c>
      <c r="G391" s="1">
        <v>45705</v>
      </c>
      <c r="H391" s="1">
        <v>45709</v>
      </c>
      <c r="I391" s="1" t="s">
        <v>72</v>
      </c>
      <c r="J391" s="1" t="s">
        <v>1</v>
      </c>
      <c r="K391" s="1" t="s">
        <v>21</v>
      </c>
      <c r="L391" s="1" t="s">
        <v>22</v>
      </c>
      <c r="M391" s="1" t="s">
        <v>30</v>
      </c>
      <c r="N391" s="1" t="s">
        <v>27</v>
      </c>
      <c r="O391" s="1" t="s">
        <v>31</v>
      </c>
      <c r="P391" s="1">
        <v>7</v>
      </c>
      <c r="Q391" s="1">
        <v>1030</v>
      </c>
      <c r="R391" s="1">
        <v>1174.2</v>
      </c>
      <c r="S391" s="1">
        <v>0.04</v>
      </c>
    </row>
    <row r="392" spans="1:19" x14ac:dyDescent="0.3">
      <c r="A392" s="1" t="s">
        <v>1380</v>
      </c>
      <c r="B392" s="1" t="s">
        <v>175</v>
      </c>
      <c r="C392" s="1" t="s">
        <v>1381</v>
      </c>
      <c r="D392" s="1" t="s">
        <v>1382</v>
      </c>
      <c r="E392" s="1" t="s">
        <v>192</v>
      </c>
      <c r="F392" s="1">
        <v>45492</v>
      </c>
      <c r="G392" s="1">
        <v>45493</v>
      </c>
      <c r="H392" s="1">
        <v>45495</v>
      </c>
      <c r="I392" s="1" t="s">
        <v>82</v>
      </c>
      <c r="J392" s="1" t="s">
        <v>2</v>
      </c>
      <c r="K392" s="1" t="s">
        <v>20</v>
      </c>
      <c r="L392" s="1" t="s">
        <v>24</v>
      </c>
      <c r="M392" s="1" t="s">
        <v>46</v>
      </c>
      <c r="N392" s="1" t="s">
        <v>38</v>
      </c>
      <c r="O392" s="1" t="s">
        <v>45</v>
      </c>
      <c r="P392" s="1">
        <v>4</v>
      </c>
      <c r="Q392" s="1">
        <v>350</v>
      </c>
      <c r="R392" s="1">
        <v>364</v>
      </c>
      <c r="S392" s="1">
        <v>0.01</v>
      </c>
    </row>
    <row r="393" spans="1:19" x14ac:dyDescent="0.3">
      <c r="A393" s="1" t="s">
        <v>1383</v>
      </c>
      <c r="B393" s="1" t="s">
        <v>501</v>
      </c>
      <c r="C393" s="1" t="s">
        <v>1384</v>
      </c>
      <c r="D393" s="1" t="s">
        <v>1385</v>
      </c>
      <c r="E393" s="1" t="s">
        <v>71</v>
      </c>
      <c r="F393" s="1">
        <v>45746</v>
      </c>
      <c r="G393" s="1">
        <v>45746</v>
      </c>
      <c r="H393" s="1">
        <v>45750</v>
      </c>
      <c r="I393" s="1" t="s">
        <v>72</v>
      </c>
      <c r="J393" s="1" t="s">
        <v>18</v>
      </c>
      <c r="K393" s="1" t="s">
        <v>19</v>
      </c>
      <c r="L393" s="1" t="s">
        <v>24</v>
      </c>
      <c r="M393" s="1" t="s">
        <v>32</v>
      </c>
      <c r="N393" s="1" t="s">
        <v>33</v>
      </c>
      <c r="O393" s="1" t="s">
        <v>34</v>
      </c>
      <c r="P393" s="1">
        <v>6</v>
      </c>
      <c r="Q393" s="1">
        <v>730</v>
      </c>
      <c r="R393" s="1">
        <v>824.9</v>
      </c>
      <c r="S393" s="1">
        <v>0.04</v>
      </c>
    </row>
    <row r="394" spans="1:19" x14ac:dyDescent="0.3">
      <c r="A394" s="1" t="s">
        <v>1386</v>
      </c>
      <c r="B394" s="1" t="s">
        <v>1081</v>
      </c>
      <c r="C394" s="1" t="s">
        <v>1387</v>
      </c>
      <c r="D394" s="1" t="s">
        <v>1388</v>
      </c>
      <c r="E394" s="1" t="s">
        <v>178</v>
      </c>
      <c r="F394" s="1">
        <v>46049</v>
      </c>
      <c r="G394" s="1">
        <v>46050</v>
      </c>
      <c r="H394" s="1">
        <v>46053</v>
      </c>
      <c r="I394" s="1" t="s">
        <v>72</v>
      </c>
      <c r="J394" s="1" t="s">
        <v>17</v>
      </c>
      <c r="K394" s="1" t="s">
        <v>20</v>
      </c>
      <c r="L394" s="1" t="s">
        <v>22</v>
      </c>
      <c r="M394" s="1" t="s">
        <v>47</v>
      </c>
      <c r="N394" s="1" t="s">
        <v>38</v>
      </c>
      <c r="O394" s="1" t="s">
        <v>39</v>
      </c>
      <c r="P394" s="1">
        <v>7</v>
      </c>
      <c r="Q394" s="1">
        <v>390</v>
      </c>
      <c r="R394" s="1">
        <v>468</v>
      </c>
      <c r="S394" s="1">
        <v>0.04</v>
      </c>
    </row>
    <row r="395" spans="1:19" x14ac:dyDescent="0.3">
      <c r="A395" s="1" t="s">
        <v>1389</v>
      </c>
      <c r="B395" s="1" t="s">
        <v>369</v>
      </c>
      <c r="C395" s="1" t="s">
        <v>1390</v>
      </c>
      <c r="D395" s="1" t="s">
        <v>1391</v>
      </c>
      <c r="E395" s="1" t="s">
        <v>100</v>
      </c>
      <c r="F395" s="1">
        <v>46090</v>
      </c>
      <c r="G395" s="1">
        <v>46091</v>
      </c>
      <c r="H395" s="1">
        <v>46092</v>
      </c>
      <c r="I395" s="1" t="s">
        <v>72</v>
      </c>
      <c r="J395" s="1" t="s">
        <v>17</v>
      </c>
      <c r="K395" s="1" t="s">
        <v>19</v>
      </c>
      <c r="L395" s="1" t="s">
        <v>24</v>
      </c>
      <c r="M395" s="1" t="s">
        <v>42</v>
      </c>
      <c r="N395" s="1" t="s">
        <v>27</v>
      </c>
      <c r="O395" s="1" t="s">
        <v>28</v>
      </c>
      <c r="P395" s="1">
        <v>6</v>
      </c>
      <c r="Q395" s="1">
        <v>3030</v>
      </c>
      <c r="R395" s="1">
        <v>3211.8</v>
      </c>
      <c r="S395" s="1">
        <v>0.08</v>
      </c>
    </row>
    <row r="396" spans="1:19" x14ac:dyDescent="0.3">
      <c r="A396" s="1" t="s">
        <v>1392</v>
      </c>
      <c r="B396" s="1" t="s">
        <v>979</v>
      </c>
      <c r="C396" s="1" t="s">
        <v>1393</v>
      </c>
      <c r="D396" s="1" t="s">
        <v>1394</v>
      </c>
      <c r="E396" s="1" t="s">
        <v>132</v>
      </c>
      <c r="F396" s="1">
        <v>46051</v>
      </c>
      <c r="G396" s="1">
        <v>46051</v>
      </c>
      <c r="H396" s="1">
        <v>46056</v>
      </c>
      <c r="I396" s="1" t="s">
        <v>82</v>
      </c>
      <c r="J396" s="1" t="s">
        <v>2</v>
      </c>
      <c r="K396" s="1" t="s">
        <v>19</v>
      </c>
      <c r="L396" s="1" t="s">
        <v>23</v>
      </c>
      <c r="M396" s="1" t="s">
        <v>53</v>
      </c>
      <c r="N396" s="1" t="s">
        <v>27</v>
      </c>
      <c r="O396" s="1" t="s">
        <v>54</v>
      </c>
      <c r="P396" s="1">
        <v>1</v>
      </c>
      <c r="Q396" s="1">
        <v>430</v>
      </c>
      <c r="R396" s="1">
        <v>455.8</v>
      </c>
      <c r="S396" s="1">
        <v>0.03</v>
      </c>
    </row>
    <row r="397" spans="1:19" x14ac:dyDescent="0.3">
      <c r="A397" s="1" t="s">
        <v>1395</v>
      </c>
      <c r="B397" s="1" t="s">
        <v>474</v>
      </c>
      <c r="C397" s="1" t="s">
        <v>1396</v>
      </c>
      <c r="D397" s="1" t="s">
        <v>1397</v>
      </c>
      <c r="E397" s="1" t="s">
        <v>109</v>
      </c>
      <c r="F397" s="1">
        <v>45865</v>
      </c>
      <c r="G397" s="1">
        <v>45865</v>
      </c>
      <c r="H397" s="1">
        <v>45869</v>
      </c>
      <c r="I397" s="1" t="s">
        <v>82</v>
      </c>
      <c r="J397" s="1" t="s">
        <v>2</v>
      </c>
      <c r="K397" s="1" t="s">
        <v>19</v>
      </c>
      <c r="L397" s="1" t="s">
        <v>61</v>
      </c>
      <c r="M397" s="1" t="s">
        <v>55</v>
      </c>
      <c r="N397" s="1" t="s">
        <v>27</v>
      </c>
      <c r="O397" s="1" t="s">
        <v>56</v>
      </c>
      <c r="P397" s="1">
        <v>3</v>
      </c>
      <c r="Q397" s="1">
        <v>650</v>
      </c>
      <c r="R397" s="1">
        <v>663</v>
      </c>
      <c r="S397" s="1">
        <v>0.05</v>
      </c>
    </row>
    <row r="398" spans="1:19" x14ac:dyDescent="0.3">
      <c r="A398" s="1" t="s">
        <v>1398</v>
      </c>
      <c r="B398" s="1" t="s">
        <v>1399</v>
      </c>
      <c r="C398" s="1" t="s">
        <v>1400</v>
      </c>
      <c r="D398" s="1" t="s">
        <v>1401</v>
      </c>
      <c r="E398" s="1" t="s">
        <v>178</v>
      </c>
      <c r="F398" s="1">
        <v>46047</v>
      </c>
      <c r="G398" s="1">
        <v>46048</v>
      </c>
      <c r="H398" s="1">
        <v>46050</v>
      </c>
      <c r="I398" s="1" t="s">
        <v>72</v>
      </c>
      <c r="J398" s="1" t="s">
        <v>17</v>
      </c>
      <c r="K398" s="1" t="s">
        <v>21</v>
      </c>
      <c r="L398" s="1" t="s">
        <v>23</v>
      </c>
      <c r="M398" s="1" t="s">
        <v>47</v>
      </c>
      <c r="N398" s="1" t="s">
        <v>38</v>
      </c>
      <c r="O398" s="1" t="s">
        <v>39</v>
      </c>
      <c r="P398" s="1">
        <v>11</v>
      </c>
      <c r="Q398" s="1">
        <v>390</v>
      </c>
      <c r="R398" s="1">
        <v>468</v>
      </c>
      <c r="S398" s="1">
        <v>0.04</v>
      </c>
    </row>
    <row r="399" spans="1:19" x14ac:dyDescent="0.3">
      <c r="A399" s="1" t="s">
        <v>1402</v>
      </c>
      <c r="B399" s="1" t="s">
        <v>161</v>
      </c>
      <c r="C399" s="1" t="s">
        <v>1403</v>
      </c>
      <c r="D399" s="1" t="s">
        <v>1404</v>
      </c>
      <c r="E399" s="1" t="s">
        <v>164</v>
      </c>
      <c r="F399" s="1">
        <v>45825</v>
      </c>
      <c r="G399" s="1">
        <v>45826</v>
      </c>
      <c r="H399" s="1">
        <v>45827</v>
      </c>
      <c r="I399" s="1" t="s">
        <v>72</v>
      </c>
      <c r="J399" s="1" t="s">
        <v>2</v>
      </c>
      <c r="K399" s="1" t="s">
        <v>19</v>
      </c>
      <c r="L399" s="1" t="s">
        <v>23</v>
      </c>
      <c r="M399" s="1" t="s">
        <v>43</v>
      </c>
      <c r="N399" s="1" t="s">
        <v>27</v>
      </c>
      <c r="O399" s="1" t="s">
        <v>31</v>
      </c>
      <c r="P399" s="1">
        <v>7</v>
      </c>
      <c r="Q399" s="1">
        <v>1630</v>
      </c>
      <c r="R399" s="1">
        <v>1744.1000000000001</v>
      </c>
      <c r="S399" s="1">
        <v>0.03</v>
      </c>
    </row>
    <row r="400" spans="1:19" x14ac:dyDescent="0.3">
      <c r="A400" s="1" t="s">
        <v>1405</v>
      </c>
      <c r="B400" s="1" t="s">
        <v>319</v>
      </c>
      <c r="C400" s="1" t="s">
        <v>1406</v>
      </c>
      <c r="D400" s="1" t="s">
        <v>1407</v>
      </c>
      <c r="E400" s="1" t="s">
        <v>95</v>
      </c>
      <c r="F400" s="1">
        <v>45739</v>
      </c>
      <c r="G400" s="1">
        <v>45739</v>
      </c>
      <c r="H400" s="1">
        <v>45744</v>
      </c>
      <c r="I400" s="1" t="s">
        <v>72</v>
      </c>
      <c r="J400" s="1" t="s">
        <v>17</v>
      </c>
      <c r="K400" s="1" t="s">
        <v>20</v>
      </c>
      <c r="L400" s="1" t="s">
        <v>24</v>
      </c>
      <c r="M400" s="1" t="s">
        <v>49</v>
      </c>
      <c r="N400" s="1" t="s">
        <v>33</v>
      </c>
      <c r="O400" s="1" t="s">
        <v>34</v>
      </c>
      <c r="P400" s="1">
        <v>6</v>
      </c>
      <c r="Q400" s="1">
        <v>1080</v>
      </c>
      <c r="R400" s="1">
        <v>1112.4000000000001</v>
      </c>
      <c r="S400" s="1">
        <v>0.06</v>
      </c>
    </row>
    <row r="401" spans="1:19" x14ac:dyDescent="0.3">
      <c r="A401" s="1" t="s">
        <v>1408</v>
      </c>
      <c r="B401" s="1" t="s">
        <v>743</v>
      </c>
      <c r="C401" s="1" t="s">
        <v>1409</v>
      </c>
      <c r="D401" s="1" t="s">
        <v>1410</v>
      </c>
      <c r="E401" s="1" t="s">
        <v>132</v>
      </c>
      <c r="F401" s="1">
        <v>45925</v>
      </c>
      <c r="G401" s="1">
        <v>45925</v>
      </c>
      <c r="H401" s="1">
        <v>45930</v>
      </c>
      <c r="I401" s="1" t="s">
        <v>72</v>
      </c>
      <c r="J401" s="1" t="s">
        <v>16</v>
      </c>
      <c r="K401" s="1" t="s">
        <v>20</v>
      </c>
      <c r="L401" s="1" t="s">
        <v>61</v>
      </c>
      <c r="M401" s="1" t="s">
        <v>53</v>
      </c>
      <c r="N401" s="1" t="s">
        <v>27</v>
      </c>
      <c r="O401" s="1" t="s">
        <v>54</v>
      </c>
      <c r="P401" s="1">
        <v>5</v>
      </c>
      <c r="Q401" s="1">
        <v>430</v>
      </c>
      <c r="R401" s="1">
        <v>455.8</v>
      </c>
      <c r="S401" s="1">
        <v>0.03</v>
      </c>
    </row>
    <row r="402" spans="1:19" x14ac:dyDescent="0.3">
      <c r="A402" s="1" t="s">
        <v>1411</v>
      </c>
      <c r="B402" s="1" t="s">
        <v>1053</v>
      </c>
      <c r="C402" s="1" t="s">
        <v>1412</v>
      </c>
      <c r="D402" s="1" t="s">
        <v>1413</v>
      </c>
      <c r="E402" s="1" t="s">
        <v>71</v>
      </c>
      <c r="F402" s="1">
        <v>45816</v>
      </c>
      <c r="G402" s="1">
        <v>45816</v>
      </c>
      <c r="H402" s="1">
        <v>45820</v>
      </c>
      <c r="I402" s="1" t="s">
        <v>72</v>
      </c>
      <c r="J402" s="1" t="s">
        <v>2</v>
      </c>
      <c r="K402" s="1" t="s">
        <v>20</v>
      </c>
      <c r="L402" s="1" t="s">
        <v>25</v>
      </c>
      <c r="M402" s="1" t="s">
        <v>32</v>
      </c>
      <c r="N402" s="1" t="s">
        <v>33</v>
      </c>
      <c r="O402" s="1" t="s">
        <v>34</v>
      </c>
      <c r="P402" s="1">
        <v>5</v>
      </c>
      <c r="Q402" s="1">
        <v>730</v>
      </c>
      <c r="R402" s="1">
        <v>824.9</v>
      </c>
      <c r="S402" s="1">
        <v>0.1</v>
      </c>
    </row>
    <row r="403" spans="1:19" x14ac:dyDescent="0.3">
      <c r="A403" s="1" t="s">
        <v>1414</v>
      </c>
      <c r="B403" s="1" t="s">
        <v>339</v>
      </c>
      <c r="C403" s="1" t="s">
        <v>1415</v>
      </c>
      <c r="D403" s="1" t="s">
        <v>1416</v>
      </c>
      <c r="E403" s="1" t="s">
        <v>100</v>
      </c>
      <c r="F403" s="1">
        <v>46065</v>
      </c>
      <c r="G403" s="1">
        <v>46065</v>
      </c>
      <c r="H403" s="1">
        <v>46067</v>
      </c>
      <c r="I403" s="1" t="s">
        <v>72</v>
      </c>
      <c r="J403" s="1" t="s">
        <v>17</v>
      </c>
      <c r="K403" s="1" t="s">
        <v>21</v>
      </c>
      <c r="L403" s="1" t="s">
        <v>24</v>
      </c>
      <c r="M403" s="1" t="s">
        <v>42</v>
      </c>
      <c r="N403" s="1" t="s">
        <v>27</v>
      </c>
      <c r="O403" s="1" t="s">
        <v>28</v>
      </c>
      <c r="P403" s="1">
        <v>11</v>
      </c>
      <c r="Q403" s="1">
        <v>3030</v>
      </c>
      <c r="R403" s="1">
        <v>3211.8</v>
      </c>
      <c r="S403" s="1">
        <v>0.08</v>
      </c>
    </row>
    <row r="404" spans="1:19" x14ac:dyDescent="0.3">
      <c r="A404" s="1" t="s">
        <v>1417</v>
      </c>
      <c r="B404" s="1" t="s">
        <v>867</v>
      </c>
      <c r="C404" s="1" t="s">
        <v>1418</v>
      </c>
      <c r="D404" s="1" t="s">
        <v>283</v>
      </c>
      <c r="E404" s="1" t="s">
        <v>87</v>
      </c>
      <c r="F404" s="1">
        <v>45731</v>
      </c>
      <c r="G404" s="1">
        <v>45731</v>
      </c>
      <c r="H404" s="1">
        <v>45734</v>
      </c>
      <c r="I404" s="1" t="s">
        <v>82</v>
      </c>
      <c r="J404" s="1" t="s">
        <v>1</v>
      </c>
      <c r="K404" s="1" t="s">
        <v>19</v>
      </c>
      <c r="L404" s="1" t="s">
        <v>61</v>
      </c>
      <c r="M404" s="1" t="s">
        <v>30</v>
      </c>
      <c r="N404" s="1" t="s">
        <v>27</v>
      </c>
      <c r="O404" s="1" t="s">
        <v>31</v>
      </c>
      <c r="P404" s="1">
        <v>3</v>
      </c>
      <c r="Q404" s="1">
        <v>1030</v>
      </c>
      <c r="R404" s="1">
        <v>1174.2</v>
      </c>
      <c r="S404" s="1">
        <v>0.06</v>
      </c>
    </row>
    <row r="405" spans="1:19" x14ac:dyDescent="0.3">
      <c r="A405" s="1" t="s">
        <v>1419</v>
      </c>
      <c r="B405" s="1" t="s">
        <v>205</v>
      </c>
      <c r="C405" s="1" t="s">
        <v>1420</v>
      </c>
      <c r="D405" s="1" t="s">
        <v>1421</v>
      </c>
      <c r="E405" s="1" t="s">
        <v>208</v>
      </c>
      <c r="F405" s="1">
        <v>46081</v>
      </c>
      <c r="G405" s="1">
        <v>46081</v>
      </c>
      <c r="H405" s="1">
        <v>46086</v>
      </c>
      <c r="I405" s="1" t="s">
        <v>72</v>
      </c>
      <c r="J405" s="1" t="s">
        <v>18</v>
      </c>
      <c r="K405" s="1" t="s">
        <v>21</v>
      </c>
      <c r="L405" s="1" t="s">
        <v>24</v>
      </c>
      <c r="M405" s="1" t="s">
        <v>50</v>
      </c>
      <c r="N405" s="1" t="s">
        <v>33</v>
      </c>
      <c r="O405" s="1" t="s">
        <v>36</v>
      </c>
      <c r="P405" s="1">
        <v>14</v>
      </c>
      <c r="Q405" s="1">
        <v>930</v>
      </c>
      <c r="R405" s="1">
        <v>1078.8</v>
      </c>
      <c r="S405" s="1">
        <v>0.01</v>
      </c>
    </row>
    <row r="406" spans="1:19" x14ac:dyDescent="0.3">
      <c r="A406" s="1" t="s">
        <v>1422</v>
      </c>
      <c r="B406" s="1" t="s">
        <v>633</v>
      </c>
      <c r="C406" s="1" t="s">
        <v>1423</v>
      </c>
      <c r="D406" s="1" t="s">
        <v>1424</v>
      </c>
      <c r="E406" s="1" t="s">
        <v>291</v>
      </c>
      <c r="F406" s="1">
        <v>45504</v>
      </c>
      <c r="G406" s="1">
        <v>45505</v>
      </c>
      <c r="H406" s="1">
        <v>45507</v>
      </c>
      <c r="I406" s="1" t="s">
        <v>72</v>
      </c>
      <c r="J406" s="1" t="s">
        <v>17</v>
      </c>
      <c r="K406" s="1" t="s">
        <v>20</v>
      </c>
      <c r="L406" s="1" t="s">
        <v>22</v>
      </c>
      <c r="M406" s="1" t="s">
        <v>57</v>
      </c>
      <c r="N406" s="1" t="s">
        <v>27</v>
      </c>
      <c r="O406" s="1" t="s">
        <v>58</v>
      </c>
      <c r="P406" s="1">
        <v>6</v>
      </c>
      <c r="Q406" s="1">
        <v>480</v>
      </c>
      <c r="R406" s="1">
        <v>513.6</v>
      </c>
      <c r="S406" s="1">
        <v>0.08</v>
      </c>
    </row>
    <row r="407" spans="1:19" x14ac:dyDescent="0.3">
      <c r="A407" s="1" t="s">
        <v>1425</v>
      </c>
      <c r="B407" s="1" t="s">
        <v>902</v>
      </c>
      <c r="C407" s="1" t="s">
        <v>1426</v>
      </c>
      <c r="D407" s="1" t="s">
        <v>1427</v>
      </c>
      <c r="E407" s="1" t="s">
        <v>208</v>
      </c>
      <c r="F407" s="1">
        <v>45769</v>
      </c>
      <c r="G407" s="1">
        <v>45769</v>
      </c>
      <c r="H407" s="1">
        <v>45773</v>
      </c>
      <c r="I407" s="1" t="s">
        <v>82</v>
      </c>
      <c r="J407" s="1" t="s">
        <v>1</v>
      </c>
      <c r="K407" s="1" t="s">
        <v>20</v>
      </c>
      <c r="L407" s="1" t="s">
        <v>23</v>
      </c>
      <c r="M407" s="1" t="s">
        <v>50</v>
      </c>
      <c r="N407" s="1" t="s">
        <v>33</v>
      </c>
      <c r="O407" s="1" t="s">
        <v>36</v>
      </c>
      <c r="P407" s="1">
        <v>1</v>
      </c>
      <c r="Q407" s="1">
        <v>930</v>
      </c>
      <c r="R407" s="1">
        <v>1078.8</v>
      </c>
      <c r="S407" s="1">
        <v>0</v>
      </c>
    </row>
    <row r="408" spans="1:19" x14ac:dyDescent="0.3">
      <c r="A408" s="1" t="s">
        <v>1428</v>
      </c>
      <c r="B408" s="1" t="s">
        <v>1429</v>
      </c>
      <c r="C408" s="1" t="s">
        <v>1430</v>
      </c>
      <c r="D408" s="1" t="s">
        <v>1343</v>
      </c>
      <c r="E408" s="1" t="s">
        <v>192</v>
      </c>
      <c r="F408" s="1">
        <v>45821</v>
      </c>
      <c r="G408" s="1">
        <v>45821</v>
      </c>
      <c r="H408" s="1">
        <v>45823</v>
      </c>
      <c r="I408" s="1" t="s">
        <v>72</v>
      </c>
      <c r="J408" s="1" t="s">
        <v>16</v>
      </c>
      <c r="K408" s="1" t="s">
        <v>19</v>
      </c>
      <c r="L408" s="1" t="s">
        <v>25</v>
      </c>
      <c r="M408" s="1" t="s">
        <v>46</v>
      </c>
      <c r="N408" s="1" t="s">
        <v>38</v>
      </c>
      <c r="O408" s="1" t="s">
        <v>45</v>
      </c>
      <c r="P408" s="1">
        <v>5</v>
      </c>
      <c r="Q408" s="1">
        <v>350</v>
      </c>
      <c r="R408" s="1">
        <v>364</v>
      </c>
      <c r="S408" s="1">
        <v>0.09</v>
      </c>
    </row>
    <row r="409" spans="1:19" x14ac:dyDescent="0.3">
      <c r="A409" s="1" t="s">
        <v>1431</v>
      </c>
      <c r="B409" s="1" t="s">
        <v>1432</v>
      </c>
      <c r="C409" s="1" t="s">
        <v>1433</v>
      </c>
      <c r="D409" s="1" t="s">
        <v>1434</v>
      </c>
      <c r="E409" s="1" t="s">
        <v>109</v>
      </c>
      <c r="F409" s="1">
        <v>45475</v>
      </c>
      <c r="G409" s="1">
        <v>45476</v>
      </c>
      <c r="H409" s="1">
        <v>45479</v>
      </c>
      <c r="I409" s="1" t="s">
        <v>82</v>
      </c>
      <c r="J409" s="1" t="s">
        <v>1</v>
      </c>
      <c r="K409" s="1" t="s">
        <v>19</v>
      </c>
      <c r="L409" s="1" t="s">
        <v>25</v>
      </c>
      <c r="M409" s="1" t="s">
        <v>55</v>
      </c>
      <c r="N409" s="1" t="s">
        <v>27</v>
      </c>
      <c r="O409" s="1" t="s">
        <v>56</v>
      </c>
      <c r="P409" s="1">
        <v>3</v>
      </c>
      <c r="Q409" s="1">
        <v>650</v>
      </c>
      <c r="R409" s="1">
        <v>663</v>
      </c>
      <c r="S409" s="1">
        <v>0.02</v>
      </c>
    </row>
    <row r="410" spans="1:19" x14ac:dyDescent="0.3">
      <c r="A410" s="1" t="s">
        <v>1435</v>
      </c>
      <c r="B410" s="1" t="s">
        <v>1178</v>
      </c>
      <c r="C410" s="1" t="s">
        <v>1436</v>
      </c>
      <c r="D410" s="1" t="s">
        <v>1437</v>
      </c>
      <c r="E410" s="1" t="s">
        <v>119</v>
      </c>
      <c r="F410" s="1">
        <v>45383</v>
      </c>
      <c r="G410" s="1">
        <v>45383</v>
      </c>
      <c r="H410" s="1">
        <v>45388</v>
      </c>
      <c r="I410" s="1" t="s">
        <v>72</v>
      </c>
      <c r="J410" s="1" t="s">
        <v>16</v>
      </c>
      <c r="K410" s="1" t="s">
        <v>21</v>
      </c>
      <c r="L410" s="1" t="s">
        <v>61</v>
      </c>
      <c r="M410" s="1" t="s">
        <v>37</v>
      </c>
      <c r="N410" s="1" t="s">
        <v>38</v>
      </c>
      <c r="O410" s="1" t="s">
        <v>39</v>
      </c>
      <c r="P410" s="1">
        <v>13</v>
      </c>
      <c r="Q410" s="1">
        <v>250</v>
      </c>
      <c r="R410" s="1">
        <v>270</v>
      </c>
      <c r="S410" s="1">
        <v>0</v>
      </c>
    </row>
    <row r="411" spans="1:19" x14ac:dyDescent="0.3">
      <c r="A411" s="1" t="s">
        <v>1438</v>
      </c>
      <c r="B411" s="1" t="s">
        <v>1377</v>
      </c>
      <c r="C411" s="1" t="s">
        <v>1439</v>
      </c>
      <c r="D411" s="1" t="s">
        <v>1440</v>
      </c>
      <c r="E411" s="1" t="s">
        <v>187</v>
      </c>
      <c r="F411" s="1">
        <v>46167</v>
      </c>
      <c r="G411" s="1">
        <v>46168</v>
      </c>
      <c r="H411" s="1">
        <v>46171</v>
      </c>
      <c r="I411" s="1" t="s">
        <v>72</v>
      </c>
      <c r="J411" s="1" t="s">
        <v>17</v>
      </c>
      <c r="K411" s="1" t="s">
        <v>19</v>
      </c>
      <c r="L411" s="1" t="s">
        <v>25</v>
      </c>
      <c r="M411" s="1" t="s">
        <v>40</v>
      </c>
      <c r="N411" s="1" t="s">
        <v>38</v>
      </c>
      <c r="O411" s="1" t="s">
        <v>41</v>
      </c>
      <c r="P411" s="1">
        <v>6</v>
      </c>
      <c r="Q411" s="1">
        <v>170</v>
      </c>
      <c r="R411" s="1">
        <v>188.70000000000002</v>
      </c>
      <c r="S411" s="1">
        <v>0.05</v>
      </c>
    </row>
    <row r="412" spans="1:19" x14ac:dyDescent="0.3">
      <c r="A412" s="1" t="s">
        <v>1441</v>
      </c>
      <c r="B412" s="1" t="s">
        <v>1040</v>
      </c>
      <c r="C412" s="1" t="s">
        <v>1442</v>
      </c>
      <c r="D412" s="1" t="s">
        <v>1443</v>
      </c>
      <c r="E412" s="1" t="s">
        <v>291</v>
      </c>
      <c r="F412" s="1">
        <v>45428</v>
      </c>
      <c r="G412" s="1">
        <v>45429</v>
      </c>
      <c r="H412" s="1">
        <v>45431</v>
      </c>
      <c r="I412" s="1" t="s">
        <v>72</v>
      </c>
      <c r="J412" s="1" t="s">
        <v>2</v>
      </c>
      <c r="K412" s="1" t="s">
        <v>19</v>
      </c>
      <c r="L412" s="1" t="s">
        <v>22</v>
      </c>
      <c r="M412" s="1" t="s">
        <v>57</v>
      </c>
      <c r="N412" s="1" t="s">
        <v>27</v>
      </c>
      <c r="O412" s="1" t="s">
        <v>58</v>
      </c>
      <c r="P412" s="1">
        <v>9</v>
      </c>
      <c r="Q412" s="1">
        <v>480</v>
      </c>
      <c r="R412" s="1">
        <v>513.6</v>
      </c>
      <c r="S412" s="1">
        <v>0.04</v>
      </c>
    </row>
    <row r="413" spans="1:19" x14ac:dyDescent="0.3">
      <c r="A413" s="1" t="s">
        <v>1444</v>
      </c>
      <c r="B413" s="1" t="s">
        <v>1445</v>
      </c>
      <c r="C413" s="1" t="s">
        <v>1446</v>
      </c>
      <c r="D413" s="1" t="s">
        <v>1447</v>
      </c>
      <c r="E413" s="1" t="s">
        <v>291</v>
      </c>
      <c r="F413" s="1">
        <v>45887</v>
      </c>
      <c r="G413" s="1">
        <v>45888</v>
      </c>
      <c r="H413" s="1">
        <v>45892</v>
      </c>
      <c r="I413" s="1" t="s">
        <v>72</v>
      </c>
      <c r="J413" s="1" t="s">
        <v>2</v>
      </c>
      <c r="K413" s="1" t="s">
        <v>21</v>
      </c>
      <c r="L413" s="1" t="s">
        <v>61</v>
      </c>
      <c r="M413" s="1" t="s">
        <v>57</v>
      </c>
      <c r="N413" s="1" t="s">
        <v>27</v>
      </c>
      <c r="O413" s="1" t="s">
        <v>58</v>
      </c>
      <c r="P413" s="1">
        <v>5</v>
      </c>
      <c r="Q413" s="1">
        <v>480</v>
      </c>
      <c r="R413" s="1">
        <v>513.6</v>
      </c>
      <c r="S413" s="1">
        <v>0.09</v>
      </c>
    </row>
    <row r="414" spans="1:19" x14ac:dyDescent="0.3">
      <c r="A414" s="1" t="s">
        <v>1448</v>
      </c>
      <c r="B414" s="1" t="s">
        <v>803</v>
      </c>
      <c r="C414" s="1" t="s">
        <v>1449</v>
      </c>
      <c r="D414" s="1" t="s">
        <v>1450</v>
      </c>
      <c r="E414" s="1" t="s">
        <v>119</v>
      </c>
      <c r="F414" s="1">
        <v>45972</v>
      </c>
      <c r="G414" s="1">
        <v>45973</v>
      </c>
      <c r="H414" s="1">
        <v>45977</v>
      </c>
      <c r="I414" s="1" t="s">
        <v>72</v>
      </c>
      <c r="J414" s="1" t="s">
        <v>16</v>
      </c>
      <c r="K414" s="1" t="s">
        <v>20</v>
      </c>
      <c r="L414" s="1" t="s">
        <v>61</v>
      </c>
      <c r="M414" s="1" t="s">
        <v>37</v>
      </c>
      <c r="N414" s="1" t="s">
        <v>38</v>
      </c>
      <c r="O414" s="1" t="s">
        <v>39</v>
      </c>
      <c r="P414" s="1">
        <v>8</v>
      </c>
      <c r="Q414" s="1">
        <v>250</v>
      </c>
      <c r="R414" s="1">
        <v>270</v>
      </c>
      <c r="S414" s="1">
        <v>0.06</v>
      </c>
    </row>
    <row r="415" spans="1:19" x14ac:dyDescent="0.3">
      <c r="A415" s="1" t="s">
        <v>1451</v>
      </c>
      <c r="B415" s="1" t="s">
        <v>89</v>
      </c>
      <c r="C415" s="1" t="s">
        <v>1452</v>
      </c>
      <c r="D415" s="1" t="s">
        <v>1453</v>
      </c>
      <c r="E415" s="1" t="s">
        <v>95</v>
      </c>
      <c r="F415" s="1">
        <v>46017</v>
      </c>
      <c r="G415" s="1">
        <v>46017</v>
      </c>
      <c r="H415" s="1">
        <v>46020</v>
      </c>
      <c r="I415" s="1" t="s">
        <v>72</v>
      </c>
      <c r="J415" s="1" t="s">
        <v>1</v>
      </c>
      <c r="K415" s="1" t="s">
        <v>19</v>
      </c>
      <c r="L415" s="1" t="s">
        <v>25</v>
      </c>
      <c r="M415" s="1" t="s">
        <v>49</v>
      </c>
      <c r="N415" s="1" t="s">
        <v>33</v>
      </c>
      <c r="O415" s="1" t="s">
        <v>34</v>
      </c>
      <c r="P415" s="1">
        <v>8</v>
      </c>
      <c r="Q415" s="1">
        <v>1080</v>
      </c>
      <c r="R415" s="1">
        <v>1112.4000000000001</v>
      </c>
      <c r="S415" s="1">
        <v>0.08</v>
      </c>
    </row>
    <row r="416" spans="1:19" x14ac:dyDescent="0.3">
      <c r="A416" s="1" t="s">
        <v>1454</v>
      </c>
      <c r="B416" s="1" t="s">
        <v>365</v>
      </c>
      <c r="C416" s="1" t="s">
        <v>1455</v>
      </c>
      <c r="D416" s="1" t="s">
        <v>1456</v>
      </c>
      <c r="E416" s="1" t="s">
        <v>109</v>
      </c>
      <c r="F416" s="1">
        <v>45513</v>
      </c>
      <c r="G416" s="1">
        <v>45514</v>
      </c>
      <c r="H416" s="1">
        <v>45516</v>
      </c>
      <c r="I416" s="1" t="s">
        <v>72</v>
      </c>
      <c r="J416" s="1" t="s">
        <v>18</v>
      </c>
      <c r="K416" s="1" t="s">
        <v>21</v>
      </c>
      <c r="L416" s="1" t="s">
        <v>22</v>
      </c>
      <c r="M416" s="1" t="s">
        <v>55</v>
      </c>
      <c r="N416" s="1" t="s">
        <v>27</v>
      </c>
      <c r="O416" s="1" t="s">
        <v>56</v>
      </c>
      <c r="P416" s="1">
        <v>13</v>
      </c>
      <c r="Q416" s="1">
        <v>650</v>
      </c>
      <c r="R416" s="1">
        <v>663</v>
      </c>
      <c r="S416" s="1">
        <v>0.05</v>
      </c>
    </row>
    <row r="417" spans="1:19" x14ac:dyDescent="0.3">
      <c r="A417" s="1" t="s">
        <v>1457</v>
      </c>
      <c r="B417" s="1" t="s">
        <v>205</v>
      </c>
      <c r="C417" s="1" t="s">
        <v>1458</v>
      </c>
      <c r="D417" s="1" t="s">
        <v>1459</v>
      </c>
      <c r="E417" s="1" t="s">
        <v>291</v>
      </c>
      <c r="F417" s="1">
        <v>45986</v>
      </c>
      <c r="G417" s="1">
        <v>45986</v>
      </c>
      <c r="H417" s="1">
        <v>45989</v>
      </c>
      <c r="I417" s="1" t="s">
        <v>72</v>
      </c>
      <c r="J417" s="1" t="s">
        <v>2</v>
      </c>
      <c r="K417" s="1" t="s">
        <v>20</v>
      </c>
      <c r="L417" s="1" t="s">
        <v>22</v>
      </c>
      <c r="M417" s="1" t="s">
        <v>57</v>
      </c>
      <c r="N417" s="1" t="s">
        <v>27</v>
      </c>
      <c r="O417" s="1" t="s">
        <v>58</v>
      </c>
      <c r="P417" s="1">
        <v>6</v>
      </c>
      <c r="Q417" s="1">
        <v>480</v>
      </c>
      <c r="R417" s="1">
        <v>513.6</v>
      </c>
      <c r="S417" s="1">
        <v>0.03</v>
      </c>
    </row>
    <row r="418" spans="1:19" x14ac:dyDescent="0.3">
      <c r="A418" s="1" t="s">
        <v>1460</v>
      </c>
      <c r="B418" s="1" t="s">
        <v>578</v>
      </c>
      <c r="C418" s="1" t="s">
        <v>1461</v>
      </c>
      <c r="D418" s="1" t="s">
        <v>1462</v>
      </c>
      <c r="E418" s="1" t="s">
        <v>77</v>
      </c>
      <c r="F418" s="1">
        <v>45399</v>
      </c>
      <c r="G418" s="1">
        <v>45399</v>
      </c>
      <c r="H418" s="1">
        <v>45404</v>
      </c>
      <c r="I418" s="1" t="s">
        <v>72</v>
      </c>
      <c r="J418" s="1" t="s">
        <v>1</v>
      </c>
      <c r="K418" s="1" t="s">
        <v>19</v>
      </c>
      <c r="L418" s="1" t="s">
        <v>22</v>
      </c>
      <c r="M418" s="1" t="s">
        <v>44</v>
      </c>
      <c r="N418" s="1" t="s">
        <v>38</v>
      </c>
      <c r="O418" s="1" t="s">
        <v>45</v>
      </c>
      <c r="P418" s="1">
        <v>6</v>
      </c>
      <c r="Q418" s="1">
        <v>210</v>
      </c>
      <c r="R418" s="1">
        <v>222.60000000000002</v>
      </c>
      <c r="S418" s="1">
        <v>7.0000000000000007E-2</v>
      </c>
    </row>
    <row r="419" spans="1:19" x14ac:dyDescent="0.3">
      <c r="A419" s="1" t="s">
        <v>1463</v>
      </c>
      <c r="B419" s="1" t="s">
        <v>564</v>
      </c>
      <c r="C419" s="1" t="s">
        <v>1464</v>
      </c>
      <c r="D419" s="1" t="s">
        <v>1465</v>
      </c>
      <c r="E419" s="1" t="s">
        <v>114</v>
      </c>
      <c r="F419" s="1">
        <v>45972</v>
      </c>
      <c r="G419" s="1">
        <v>45973</v>
      </c>
      <c r="H419" s="1">
        <v>45975</v>
      </c>
      <c r="I419" s="1" t="s">
        <v>72</v>
      </c>
      <c r="J419" s="1" t="s">
        <v>2</v>
      </c>
      <c r="K419" s="1" t="s">
        <v>21</v>
      </c>
      <c r="L419" s="1" t="s">
        <v>25</v>
      </c>
      <c r="M419" s="1" t="s">
        <v>51</v>
      </c>
      <c r="N419" s="1" t="s">
        <v>33</v>
      </c>
      <c r="O419" s="1" t="s">
        <v>52</v>
      </c>
      <c r="P419" s="1">
        <v>5</v>
      </c>
      <c r="Q419" s="1">
        <v>280</v>
      </c>
      <c r="R419" s="1">
        <v>336</v>
      </c>
      <c r="S419" s="1">
        <v>0.01</v>
      </c>
    </row>
    <row r="420" spans="1:19" x14ac:dyDescent="0.3">
      <c r="A420" s="1" t="s">
        <v>1466</v>
      </c>
      <c r="B420" s="1" t="s">
        <v>1112</v>
      </c>
      <c r="C420" s="1" t="s">
        <v>1467</v>
      </c>
      <c r="D420" s="1" t="s">
        <v>1468</v>
      </c>
      <c r="E420" s="1" t="s">
        <v>164</v>
      </c>
      <c r="F420" s="1">
        <v>46103</v>
      </c>
      <c r="G420" s="1">
        <v>46104</v>
      </c>
      <c r="H420" s="1">
        <v>46105</v>
      </c>
      <c r="I420" s="1" t="s">
        <v>72</v>
      </c>
      <c r="J420" s="1" t="s">
        <v>2</v>
      </c>
      <c r="K420" s="1" t="s">
        <v>21</v>
      </c>
      <c r="L420" s="1" t="s">
        <v>24</v>
      </c>
      <c r="M420" s="1" t="s">
        <v>43</v>
      </c>
      <c r="N420" s="1" t="s">
        <v>27</v>
      </c>
      <c r="O420" s="1" t="s">
        <v>31</v>
      </c>
      <c r="P420" s="1">
        <v>6</v>
      </c>
      <c r="Q420" s="1">
        <v>1630</v>
      </c>
      <c r="R420" s="1">
        <v>1744.1000000000001</v>
      </c>
      <c r="S420" s="1">
        <v>0.06</v>
      </c>
    </row>
    <row r="421" spans="1:19" x14ac:dyDescent="0.3">
      <c r="A421" s="1" t="s">
        <v>1469</v>
      </c>
      <c r="B421" s="1" t="s">
        <v>1445</v>
      </c>
      <c r="C421" s="1" t="s">
        <v>1470</v>
      </c>
      <c r="D421" s="1" t="s">
        <v>1471</v>
      </c>
      <c r="E421" s="1" t="s">
        <v>192</v>
      </c>
      <c r="F421" s="1">
        <v>45586</v>
      </c>
      <c r="G421" s="1">
        <v>45587</v>
      </c>
      <c r="H421" s="1">
        <v>45590</v>
      </c>
      <c r="I421" s="1" t="s">
        <v>82</v>
      </c>
      <c r="J421" s="1" t="s">
        <v>1</v>
      </c>
      <c r="K421" s="1" t="s">
        <v>20</v>
      </c>
      <c r="L421" s="1" t="s">
        <v>25</v>
      </c>
      <c r="M421" s="1" t="s">
        <v>46</v>
      </c>
      <c r="N421" s="1" t="s">
        <v>38</v>
      </c>
      <c r="O421" s="1" t="s">
        <v>45</v>
      </c>
      <c r="P421" s="1">
        <v>2</v>
      </c>
      <c r="Q421" s="1">
        <v>350</v>
      </c>
      <c r="R421" s="1">
        <v>364</v>
      </c>
      <c r="S421" s="1">
        <v>0.09</v>
      </c>
    </row>
    <row r="422" spans="1:19" x14ac:dyDescent="0.3">
      <c r="A422" s="1" t="s">
        <v>1472</v>
      </c>
      <c r="B422" s="1" t="s">
        <v>1473</v>
      </c>
      <c r="C422" s="1" t="s">
        <v>1474</v>
      </c>
      <c r="D422" s="1" t="s">
        <v>1475</v>
      </c>
      <c r="E422" s="1" t="s">
        <v>192</v>
      </c>
      <c r="F422" s="1">
        <v>45760</v>
      </c>
      <c r="G422" s="1">
        <v>45761</v>
      </c>
      <c r="H422" s="1">
        <v>45763</v>
      </c>
      <c r="I422" s="1" t="s">
        <v>72</v>
      </c>
      <c r="J422" s="1" t="s">
        <v>16</v>
      </c>
      <c r="K422" s="1" t="s">
        <v>21</v>
      </c>
      <c r="L422" s="1" t="s">
        <v>25</v>
      </c>
      <c r="M422" s="1" t="s">
        <v>46</v>
      </c>
      <c r="N422" s="1" t="s">
        <v>38</v>
      </c>
      <c r="O422" s="1" t="s">
        <v>45</v>
      </c>
      <c r="P422" s="1">
        <v>5</v>
      </c>
      <c r="Q422" s="1">
        <v>350</v>
      </c>
      <c r="R422" s="1">
        <v>364</v>
      </c>
      <c r="S422" s="1">
        <v>0.09</v>
      </c>
    </row>
    <row r="423" spans="1:19" x14ac:dyDescent="0.3">
      <c r="A423" s="1" t="s">
        <v>1476</v>
      </c>
      <c r="B423" s="1" t="s">
        <v>1065</v>
      </c>
      <c r="C423" s="1" t="s">
        <v>1477</v>
      </c>
      <c r="D423" s="1" t="s">
        <v>1478</v>
      </c>
      <c r="E423" s="1" t="s">
        <v>173</v>
      </c>
      <c r="F423" s="1">
        <v>45782</v>
      </c>
      <c r="G423" s="1">
        <v>45782</v>
      </c>
      <c r="H423" s="1">
        <v>45784</v>
      </c>
      <c r="I423" s="1" t="s">
        <v>82</v>
      </c>
      <c r="J423" s="1" t="s">
        <v>17</v>
      </c>
      <c r="K423" s="1" t="s">
        <v>19</v>
      </c>
      <c r="L423" s="1" t="s">
        <v>25</v>
      </c>
      <c r="M423" s="1" t="s">
        <v>48</v>
      </c>
      <c r="N423" s="1" t="s">
        <v>38</v>
      </c>
      <c r="O423" s="1" t="s">
        <v>41</v>
      </c>
      <c r="P423" s="1">
        <v>1</v>
      </c>
      <c r="Q423" s="1">
        <v>580</v>
      </c>
      <c r="R423" s="1">
        <v>667</v>
      </c>
      <c r="S423" s="1">
        <v>0.08</v>
      </c>
    </row>
    <row r="424" spans="1:19" x14ac:dyDescent="0.3">
      <c r="A424" s="1" t="s">
        <v>1479</v>
      </c>
      <c r="B424" s="1" t="s">
        <v>1480</v>
      </c>
      <c r="C424" s="1" t="s">
        <v>1481</v>
      </c>
      <c r="D424" s="1" t="s">
        <v>1482</v>
      </c>
      <c r="E424" s="1" t="s">
        <v>208</v>
      </c>
      <c r="F424" s="1">
        <v>45969</v>
      </c>
      <c r="G424" s="1">
        <v>45969</v>
      </c>
      <c r="H424" s="1">
        <v>45972</v>
      </c>
      <c r="I424" s="1" t="s">
        <v>72</v>
      </c>
      <c r="J424" s="1" t="s">
        <v>18</v>
      </c>
      <c r="K424" s="1" t="s">
        <v>20</v>
      </c>
      <c r="L424" s="1" t="s">
        <v>22</v>
      </c>
      <c r="M424" s="1" t="s">
        <v>50</v>
      </c>
      <c r="N424" s="1" t="s">
        <v>33</v>
      </c>
      <c r="O424" s="1" t="s">
        <v>36</v>
      </c>
      <c r="P424" s="1">
        <v>7</v>
      </c>
      <c r="Q424" s="1">
        <v>930</v>
      </c>
      <c r="R424" s="1">
        <v>1078.8</v>
      </c>
      <c r="S424" s="1">
        <v>0.03</v>
      </c>
    </row>
    <row r="425" spans="1:19" x14ac:dyDescent="0.3">
      <c r="A425" s="1" t="s">
        <v>1483</v>
      </c>
      <c r="B425" s="1" t="s">
        <v>297</v>
      </c>
      <c r="C425" s="1" t="s">
        <v>1484</v>
      </c>
      <c r="D425" s="1" t="s">
        <v>1485</v>
      </c>
      <c r="E425" s="1" t="s">
        <v>95</v>
      </c>
      <c r="F425" s="1">
        <v>45322</v>
      </c>
      <c r="G425" s="1">
        <v>45323</v>
      </c>
      <c r="H425" s="1">
        <v>45326</v>
      </c>
      <c r="I425" s="1" t="s">
        <v>72</v>
      </c>
      <c r="J425" s="1" t="s">
        <v>17</v>
      </c>
      <c r="K425" s="1" t="s">
        <v>20</v>
      </c>
      <c r="L425" s="1" t="s">
        <v>24</v>
      </c>
      <c r="M425" s="1" t="s">
        <v>49</v>
      </c>
      <c r="N425" s="1" t="s">
        <v>33</v>
      </c>
      <c r="O425" s="1" t="s">
        <v>34</v>
      </c>
      <c r="P425" s="1">
        <v>9</v>
      </c>
      <c r="Q425" s="1">
        <v>1080</v>
      </c>
      <c r="R425" s="1">
        <v>1112.4000000000001</v>
      </c>
      <c r="S425" s="1">
        <v>0.1</v>
      </c>
    </row>
    <row r="426" spans="1:19" x14ac:dyDescent="0.3">
      <c r="A426" s="1" t="s">
        <v>1486</v>
      </c>
      <c r="B426" s="1" t="s">
        <v>689</v>
      </c>
      <c r="C426" s="1" t="s">
        <v>1487</v>
      </c>
      <c r="D426" s="1" t="s">
        <v>1488</v>
      </c>
      <c r="E426" s="1" t="s">
        <v>187</v>
      </c>
      <c r="F426" s="1">
        <v>46135</v>
      </c>
      <c r="G426" s="1">
        <v>46135</v>
      </c>
      <c r="H426" s="1">
        <v>46139</v>
      </c>
      <c r="I426" s="1" t="s">
        <v>82</v>
      </c>
      <c r="J426" s="1" t="s">
        <v>16</v>
      </c>
      <c r="K426" s="1" t="s">
        <v>19</v>
      </c>
      <c r="L426" s="1" t="s">
        <v>25</v>
      </c>
      <c r="M426" s="1" t="s">
        <v>40</v>
      </c>
      <c r="N426" s="1" t="s">
        <v>38</v>
      </c>
      <c r="O426" s="1" t="s">
        <v>41</v>
      </c>
      <c r="P426" s="1">
        <v>2</v>
      </c>
      <c r="Q426" s="1">
        <v>170</v>
      </c>
      <c r="R426" s="1">
        <v>188.70000000000002</v>
      </c>
      <c r="S426" s="1">
        <v>0.06</v>
      </c>
    </row>
    <row r="427" spans="1:19" x14ac:dyDescent="0.3">
      <c r="A427" s="1" t="s">
        <v>1489</v>
      </c>
      <c r="B427" s="1" t="s">
        <v>170</v>
      </c>
      <c r="C427" s="1" t="s">
        <v>1490</v>
      </c>
      <c r="D427" s="1" t="s">
        <v>1491</v>
      </c>
      <c r="E427" s="1" t="s">
        <v>208</v>
      </c>
      <c r="F427" s="1">
        <v>45727</v>
      </c>
      <c r="G427" s="1">
        <v>45728</v>
      </c>
      <c r="H427" s="1">
        <v>45732</v>
      </c>
      <c r="I427" s="1" t="s">
        <v>72</v>
      </c>
      <c r="J427" s="1" t="s">
        <v>18</v>
      </c>
      <c r="K427" s="1" t="s">
        <v>21</v>
      </c>
      <c r="L427" s="1" t="s">
        <v>61</v>
      </c>
      <c r="M427" s="1" t="s">
        <v>50</v>
      </c>
      <c r="N427" s="1" t="s">
        <v>33</v>
      </c>
      <c r="O427" s="1" t="s">
        <v>36</v>
      </c>
      <c r="P427" s="1">
        <v>12</v>
      </c>
      <c r="Q427" s="1">
        <v>930</v>
      </c>
      <c r="R427" s="1">
        <v>1078.8</v>
      </c>
      <c r="S427" s="1">
        <v>0.04</v>
      </c>
    </row>
    <row r="428" spans="1:19" x14ac:dyDescent="0.3">
      <c r="A428" s="1" t="s">
        <v>1492</v>
      </c>
      <c r="B428" s="1" t="s">
        <v>490</v>
      </c>
      <c r="C428" s="1" t="s">
        <v>1493</v>
      </c>
      <c r="D428" s="1" t="s">
        <v>671</v>
      </c>
      <c r="E428" s="1" t="s">
        <v>77</v>
      </c>
      <c r="F428" s="1">
        <v>45922</v>
      </c>
      <c r="G428" s="1">
        <v>45923</v>
      </c>
      <c r="H428" s="1">
        <v>45926</v>
      </c>
      <c r="I428" s="1" t="s">
        <v>72</v>
      </c>
      <c r="J428" s="1" t="s">
        <v>17</v>
      </c>
      <c r="K428" s="1" t="s">
        <v>21</v>
      </c>
      <c r="L428" s="1" t="s">
        <v>23</v>
      </c>
      <c r="M428" s="1" t="s">
        <v>44</v>
      </c>
      <c r="N428" s="1" t="s">
        <v>38</v>
      </c>
      <c r="O428" s="1" t="s">
        <v>45</v>
      </c>
      <c r="P428" s="1">
        <v>15</v>
      </c>
      <c r="Q428" s="1">
        <v>210</v>
      </c>
      <c r="R428" s="1">
        <v>222.60000000000002</v>
      </c>
      <c r="S428" s="1">
        <v>7.0000000000000007E-2</v>
      </c>
    </row>
    <row r="429" spans="1:19" x14ac:dyDescent="0.3">
      <c r="A429" s="1" t="s">
        <v>1494</v>
      </c>
      <c r="B429" s="1" t="s">
        <v>851</v>
      </c>
      <c r="C429" s="1" t="s">
        <v>1495</v>
      </c>
      <c r="D429" s="1" t="s">
        <v>1496</v>
      </c>
      <c r="E429" s="1" t="s">
        <v>114</v>
      </c>
      <c r="F429" s="1">
        <v>45492</v>
      </c>
      <c r="G429" s="1">
        <v>45492</v>
      </c>
      <c r="H429" s="1">
        <v>45495</v>
      </c>
      <c r="I429" s="1" t="s">
        <v>72</v>
      </c>
      <c r="J429" s="1" t="s">
        <v>1</v>
      </c>
      <c r="K429" s="1" t="s">
        <v>19</v>
      </c>
      <c r="L429" s="1" t="s">
        <v>25</v>
      </c>
      <c r="M429" s="1" t="s">
        <v>51</v>
      </c>
      <c r="N429" s="1" t="s">
        <v>33</v>
      </c>
      <c r="O429" s="1" t="s">
        <v>52</v>
      </c>
      <c r="P429" s="1">
        <v>10</v>
      </c>
      <c r="Q429" s="1">
        <v>280</v>
      </c>
      <c r="R429" s="1">
        <v>336</v>
      </c>
      <c r="S429" s="1">
        <v>0.06</v>
      </c>
    </row>
    <row r="430" spans="1:19" x14ac:dyDescent="0.3">
      <c r="A430" s="1" t="s">
        <v>1497</v>
      </c>
      <c r="B430" s="1" t="s">
        <v>214</v>
      </c>
      <c r="C430" s="1" t="s">
        <v>1498</v>
      </c>
      <c r="D430" s="1" t="s">
        <v>1499</v>
      </c>
      <c r="E430" s="1" t="s">
        <v>192</v>
      </c>
      <c r="F430" s="1">
        <v>45384</v>
      </c>
      <c r="G430" s="1">
        <v>45384</v>
      </c>
      <c r="H430" s="1">
        <v>45388</v>
      </c>
      <c r="I430" s="1" t="s">
        <v>72</v>
      </c>
      <c r="J430" s="1" t="s">
        <v>2</v>
      </c>
      <c r="K430" s="1" t="s">
        <v>21</v>
      </c>
      <c r="L430" s="1" t="s">
        <v>61</v>
      </c>
      <c r="M430" s="1" t="s">
        <v>46</v>
      </c>
      <c r="N430" s="1" t="s">
        <v>38</v>
      </c>
      <c r="O430" s="1" t="s">
        <v>45</v>
      </c>
      <c r="P430" s="1">
        <v>12</v>
      </c>
      <c r="Q430" s="1">
        <v>350</v>
      </c>
      <c r="R430" s="1">
        <v>364</v>
      </c>
      <c r="S430" s="1">
        <v>0</v>
      </c>
    </row>
    <row r="431" spans="1:19" x14ac:dyDescent="0.3">
      <c r="A431" s="1" t="s">
        <v>1500</v>
      </c>
      <c r="B431" s="1" t="s">
        <v>482</v>
      </c>
      <c r="C431" s="1" t="s">
        <v>1501</v>
      </c>
      <c r="D431" s="1" t="s">
        <v>879</v>
      </c>
      <c r="E431" s="1" t="s">
        <v>173</v>
      </c>
      <c r="F431" s="1">
        <v>46034</v>
      </c>
      <c r="G431" s="1">
        <v>46035</v>
      </c>
      <c r="H431" s="1">
        <v>46038</v>
      </c>
      <c r="I431" s="1" t="s">
        <v>82</v>
      </c>
      <c r="J431" s="1" t="s">
        <v>2</v>
      </c>
      <c r="K431" s="1" t="s">
        <v>20</v>
      </c>
      <c r="L431" s="1" t="s">
        <v>22</v>
      </c>
      <c r="M431" s="1" t="s">
        <v>48</v>
      </c>
      <c r="N431" s="1" t="s">
        <v>38</v>
      </c>
      <c r="O431" s="1" t="s">
        <v>41</v>
      </c>
      <c r="P431" s="1">
        <v>3</v>
      </c>
      <c r="Q431" s="1">
        <v>580</v>
      </c>
      <c r="R431" s="1">
        <v>667</v>
      </c>
      <c r="S431" s="1">
        <v>0.08</v>
      </c>
    </row>
    <row r="432" spans="1:19" x14ac:dyDescent="0.3">
      <c r="A432" s="1" t="s">
        <v>1502</v>
      </c>
      <c r="B432" s="1" t="s">
        <v>1503</v>
      </c>
      <c r="C432" s="1" t="s">
        <v>1504</v>
      </c>
      <c r="D432" s="1" t="s">
        <v>1505</v>
      </c>
      <c r="E432" s="1" t="s">
        <v>208</v>
      </c>
      <c r="F432" s="1">
        <v>45414</v>
      </c>
      <c r="G432" s="1">
        <v>45415</v>
      </c>
      <c r="H432" s="1">
        <v>45417</v>
      </c>
      <c r="I432" s="1" t="s">
        <v>82</v>
      </c>
      <c r="J432" s="1" t="s">
        <v>17</v>
      </c>
      <c r="K432" s="1" t="s">
        <v>19</v>
      </c>
      <c r="L432" s="1" t="s">
        <v>22</v>
      </c>
      <c r="M432" s="1" t="s">
        <v>50</v>
      </c>
      <c r="N432" s="1" t="s">
        <v>33</v>
      </c>
      <c r="O432" s="1" t="s">
        <v>36</v>
      </c>
      <c r="P432" s="1">
        <v>2</v>
      </c>
      <c r="Q432" s="1">
        <v>930</v>
      </c>
      <c r="R432" s="1">
        <v>1078.8</v>
      </c>
      <c r="S432" s="1">
        <v>0</v>
      </c>
    </row>
    <row r="433" spans="1:19" x14ac:dyDescent="0.3">
      <c r="A433" s="1" t="s">
        <v>1506</v>
      </c>
      <c r="B433" s="1" t="s">
        <v>381</v>
      </c>
      <c r="C433" s="1" t="s">
        <v>1507</v>
      </c>
      <c r="D433" s="1" t="s">
        <v>1508</v>
      </c>
      <c r="E433" s="1" t="s">
        <v>100</v>
      </c>
      <c r="F433" s="1">
        <v>45586</v>
      </c>
      <c r="G433" s="1">
        <v>45586</v>
      </c>
      <c r="H433" s="1">
        <v>45589</v>
      </c>
      <c r="I433" s="1" t="s">
        <v>72</v>
      </c>
      <c r="J433" s="1" t="s">
        <v>1</v>
      </c>
      <c r="K433" s="1" t="s">
        <v>21</v>
      </c>
      <c r="L433" s="1" t="s">
        <v>25</v>
      </c>
      <c r="M433" s="1" t="s">
        <v>42</v>
      </c>
      <c r="N433" s="1" t="s">
        <v>27</v>
      </c>
      <c r="O433" s="1" t="s">
        <v>28</v>
      </c>
      <c r="P433" s="1">
        <v>9</v>
      </c>
      <c r="Q433" s="1">
        <v>3030</v>
      </c>
      <c r="R433" s="1">
        <v>3211.8</v>
      </c>
      <c r="S433" s="1">
        <v>0.03</v>
      </c>
    </row>
    <row r="434" spans="1:19" x14ac:dyDescent="0.3">
      <c r="A434" s="1" t="s">
        <v>1509</v>
      </c>
      <c r="B434" s="1" t="s">
        <v>1510</v>
      </c>
      <c r="C434" s="1" t="s">
        <v>1511</v>
      </c>
      <c r="D434" s="1" t="s">
        <v>1512</v>
      </c>
      <c r="E434" s="1" t="s">
        <v>322</v>
      </c>
      <c r="F434" s="1">
        <v>46121</v>
      </c>
      <c r="G434" s="1">
        <v>46122</v>
      </c>
      <c r="H434" s="1">
        <v>46123</v>
      </c>
      <c r="I434" s="1" t="s">
        <v>82</v>
      </c>
      <c r="J434" s="1" t="s">
        <v>2</v>
      </c>
      <c r="K434" s="1" t="s">
        <v>20</v>
      </c>
      <c r="L434" s="1" t="s">
        <v>61</v>
      </c>
      <c r="M434" s="1" t="s">
        <v>26</v>
      </c>
      <c r="N434" s="1" t="s">
        <v>27</v>
      </c>
      <c r="O434" s="1" t="s">
        <v>28</v>
      </c>
      <c r="P434" s="1">
        <v>2</v>
      </c>
      <c r="Q434" s="1">
        <v>3330</v>
      </c>
      <c r="R434" s="1">
        <v>3629.7000000000003</v>
      </c>
      <c r="S434" s="1">
        <v>0.1</v>
      </c>
    </row>
    <row r="435" spans="1:19" x14ac:dyDescent="0.3">
      <c r="A435" s="1" t="s">
        <v>1513</v>
      </c>
      <c r="B435" s="1" t="s">
        <v>74</v>
      </c>
      <c r="C435" s="1" t="s">
        <v>1514</v>
      </c>
      <c r="D435" s="1" t="s">
        <v>1515</v>
      </c>
      <c r="E435" s="1" t="s">
        <v>87</v>
      </c>
      <c r="F435" s="1">
        <v>45382</v>
      </c>
      <c r="G435" s="1">
        <v>45383</v>
      </c>
      <c r="H435" s="1">
        <v>45387</v>
      </c>
      <c r="I435" s="1" t="s">
        <v>82</v>
      </c>
      <c r="J435" s="1" t="s">
        <v>16</v>
      </c>
      <c r="K435" s="1" t="s">
        <v>19</v>
      </c>
      <c r="L435" s="1" t="s">
        <v>25</v>
      </c>
      <c r="M435" s="1" t="s">
        <v>30</v>
      </c>
      <c r="N435" s="1" t="s">
        <v>27</v>
      </c>
      <c r="O435" s="1" t="s">
        <v>31</v>
      </c>
      <c r="P435" s="1">
        <v>2</v>
      </c>
      <c r="Q435" s="1">
        <v>1030</v>
      </c>
      <c r="R435" s="1">
        <v>1174.2</v>
      </c>
      <c r="S435" s="1">
        <v>0.08</v>
      </c>
    </row>
    <row r="436" spans="1:19" x14ac:dyDescent="0.3">
      <c r="A436" s="1" t="s">
        <v>1516</v>
      </c>
      <c r="B436" s="1" t="s">
        <v>385</v>
      </c>
      <c r="C436" s="1" t="s">
        <v>1517</v>
      </c>
      <c r="D436" s="1" t="s">
        <v>1518</v>
      </c>
      <c r="E436" s="1" t="s">
        <v>132</v>
      </c>
      <c r="F436" s="1">
        <v>45697</v>
      </c>
      <c r="G436" s="1">
        <v>45697</v>
      </c>
      <c r="H436" s="1">
        <v>45699</v>
      </c>
      <c r="I436" s="1" t="s">
        <v>72</v>
      </c>
      <c r="J436" s="1" t="s">
        <v>2</v>
      </c>
      <c r="K436" s="1" t="s">
        <v>21</v>
      </c>
      <c r="L436" s="1" t="s">
        <v>25</v>
      </c>
      <c r="M436" s="1" t="s">
        <v>53</v>
      </c>
      <c r="N436" s="1" t="s">
        <v>27</v>
      </c>
      <c r="O436" s="1" t="s">
        <v>54</v>
      </c>
      <c r="P436" s="1">
        <v>8</v>
      </c>
      <c r="Q436" s="1">
        <v>430</v>
      </c>
      <c r="R436" s="1">
        <v>455.8</v>
      </c>
      <c r="S436" s="1">
        <v>7.0000000000000007E-2</v>
      </c>
    </row>
    <row r="437" spans="1:19" x14ac:dyDescent="0.3">
      <c r="A437" s="1" t="s">
        <v>1519</v>
      </c>
      <c r="B437" s="1" t="s">
        <v>466</v>
      </c>
      <c r="C437" s="1" t="s">
        <v>1520</v>
      </c>
      <c r="D437" s="1" t="s">
        <v>1521</v>
      </c>
      <c r="E437" s="1" t="s">
        <v>100</v>
      </c>
      <c r="F437" s="1">
        <v>46003</v>
      </c>
      <c r="G437" s="1">
        <v>46004</v>
      </c>
      <c r="H437" s="1">
        <v>46005</v>
      </c>
      <c r="I437" s="1" t="s">
        <v>82</v>
      </c>
      <c r="J437" s="1" t="s">
        <v>17</v>
      </c>
      <c r="K437" s="1" t="s">
        <v>20</v>
      </c>
      <c r="L437" s="1" t="s">
        <v>61</v>
      </c>
      <c r="M437" s="1" t="s">
        <v>42</v>
      </c>
      <c r="N437" s="1" t="s">
        <v>27</v>
      </c>
      <c r="O437" s="1" t="s">
        <v>28</v>
      </c>
      <c r="P437" s="1">
        <v>2</v>
      </c>
      <c r="Q437" s="1">
        <v>3030</v>
      </c>
      <c r="R437" s="1">
        <v>3211.8</v>
      </c>
      <c r="S437" s="1">
        <v>0</v>
      </c>
    </row>
    <row r="438" spans="1:19" x14ac:dyDescent="0.3">
      <c r="A438" s="1" t="s">
        <v>1522</v>
      </c>
      <c r="B438" s="1" t="s">
        <v>1523</v>
      </c>
      <c r="C438" s="1" t="s">
        <v>1524</v>
      </c>
      <c r="D438" s="1" t="s">
        <v>1525</v>
      </c>
      <c r="E438" s="1" t="s">
        <v>217</v>
      </c>
      <c r="F438" s="1">
        <v>45724</v>
      </c>
      <c r="G438" s="1">
        <v>45724</v>
      </c>
      <c r="H438" s="1">
        <v>45726</v>
      </c>
      <c r="I438" s="1" t="s">
        <v>72</v>
      </c>
      <c r="J438" s="1" t="s">
        <v>18</v>
      </c>
      <c r="K438" s="1" t="s">
        <v>21</v>
      </c>
      <c r="L438" s="1" t="s">
        <v>61</v>
      </c>
      <c r="M438" s="1" t="s">
        <v>29</v>
      </c>
      <c r="N438" s="1" t="s">
        <v>27</v>
      </c>
      <c r="O438" s="1" t="s">
        <v>28</v>
      </c>
      <c r="P438" s="1">
        <v>11</v>
      </c>
      <c r="Q438" s="1">
        <v>3930</v>
      </c>
      <c r="R438" s="1">
        <v>4362.3</v>
      </c>
      <c r="S438" s="1">
        <v>0.05</v>
      </c>
    </row>
    <row r="439" spans="1:19" x14ac:dyDescent="0.3">
      <c r="A439" s="1" t="s">
        <v>1526</v>
      </c>
      <c r="B439" s="1" t="s">
        <v>1019</v>
      </c>
      <c r="C439" s="1" t="s">
        <v>1527</v>
      </c>
      <c r="D439" s="1" t="s">
        <v>1528</v>
      </c>
      <c r="E439" s="1" t="s">
        <v>187</v>
      </c>
      <c r="F439" s="1">
        <v>45929</v>
      </c>
      <c r="G439" s="1">
        <v>45930</v>
      </c>
      <c r="H439" s="1">
        <v>45932</v>
      </c>
      <c r="I439" s="1" t="s">
        <v>82</v>
      </c>
      <c r="J439" s="1" t="s">
        <v>17</v>
      </c>
      <c r="K439" s="1" t="s">
        <v>19</v>
      </c>
      <c r="L439" s="1" t="s">
        <v>23</v>
      </c>
      <c r="M439" s="1" t="s">
        <v>40</v>
      </c>
      <c r="N439" s="1" t="s">
        <v>38</v>
      </c>
      <c r="O439" s="1" t="s">
        <v>41</v>
      </c>
      <c r="P439" s="1">
        <v>1</v>
      </c>
      <c r="Q439" s="1">
        <v>170</v>
      </c>
      <c r="R439" s="1">
        <v>188.70000000000002</v>
      </c>
      <c r="S439" s="1">
        <v>7.0000000000000007E-2</v>
      </c>
    </row>
    <row r="440" spans="1:19" x14ac:dyDescent="0.3">
      <c r="A440" s="1" t="s">
        <v>1529</v>
      </c>
      <c r="B440" s="1" t="s">
        <v>1530</v>
      </c>
      <c r="C440" s="1" t="s">
        <v>1531</v>
      </c>
      <c r="D440" s="1" t="s">
        <v>1021</v>
      </c>
      <c r="E440" s="1" t="s">
        <v>71</v>
      </c>
      <c r="F440" s="1">
        <v>45353</v>
      </c>
      <c r="G440" s="1">
        <v>45354</v>
      </c>
      <c r="H440" s="1">
        <v>45357</v>
      </c>
      <c r="I440" s="1" t="s">
        <v>72</v>
      </c>
      <c r="J440" s="1" t="s">
        <v>2</v>
      </c>
      <c r="K440" s="1" t="s">
        <v>20</v>
      </c>
      <c r="L440" s="1" t="s">
        <v>61</v>
      </c>
      <c r="M440" s="1" t="s">
        <v>32</v>
      </c>
      <c r="N440" s="1" t="s">
        <v>33</v>
      </c>
      <c r="O440" s="1" t="s">
        <v>34</v>
      </c>
      <c r="P440" s="1">
        <v>5</v>
      </c>
      <c r="Q440" s="1">
        <v>730</v>
      </c>
      <c r="R440" s="1">
        <v>824.9</v>
      </c>
      <c r="S440" s="1">
        <v>0.04</v>
      </c>
    </row>
    <row r="441" spans="1:19" x14ac:dyDescent="0.3">
      <c r="A441" s="1" t="s">
        <v>1532</v>
      </c>
      <c r="B441" s="1" t="s">
        <v>201</v>
      </c>
      <c r="C441" s="1" t="s">
        <v>1533</v>
      </c>
      <c r="D441" s="1" t="s">
        <v>1534</v>
      </c>
      <c r="E441" s="1" t="s">
        <v>71</v>
      </c>
      <c r="F441" s="1">
        <v>46013</v>
      </c>
      <c r="G441" s="1">
        <v>46014</v>
      </c>
      <c r="H441" s="1">
        <v>46016</v>
      </c>
      <c r="I441" s="1" t="s">
        <v>72</v>
      </c>
      <c r="J441" s="1" t="s">
        <v>17</v>
      </c>
      <c r="K441" s="1" t="s">
        <v>21</v>
      </c>
      <c r="L441" s="1" t="s">
        <v>61</v>
      </c>
      <c r="M441" s="1" t="s">
        <v>32</v>
      </c>
      <c r="N441" s="1" t="s">
        <v>33</v>
      </c>
      <c r="O441" s="1" t="s">
        <v>34</v>
      </c>
      <c r="P441" s="1">
        <v>9</v>
      </c>
      <c r="Q441" s="1">
        <v>730</v>
      </c>
      <c r="R441" s="1">
        <v>824.9</v>
      </c>
      <c r="S441" s="1">
        <v>0.05</v>
      </c>
    </row>
    <row r="442" spans="1:19" x14ac:dyDescent="0.3">
      <c r="A442" s="1" t="s">
        <v>1535</v>
      </c>
      <c r="B442" s="1" t="s">
        <v>1002</v>
      </c>
      <c r="C442" s="1" t="s">
        <v>1536</v>
      </c>
      <c r="D442" s="1" t="s">
        <v>1537</v>
      </c>
      <c r="E442" s="1" t="s">
        <v>291</v>
      </c>
      <c r="F442" s="1">
        <v>45478</v>
      </c>
      <c r="G442" s="1">
        <v>45479</v>
      </c>
      <c r="H442" s="1">
        <v>45482</v>
      </c>
      <c r="I442" s="1" t="s">
        <v>72</v>
      </c>
      <c r="J442" s="1" t="s">
        <v>1</v>
      </c>
      <c r="K442" s="1" t="s">
        <v>21</v>
      </c>
      <c r="L442" s="1" t="s">
        <v>61</v>
      </c>
      <c r="M442" s="1" t="s">
        <v>57</v>
      </c>
      <c r="N442" s="1" t="s">
        <v>27</v>
      </c>
      <c r="O442" s="1" t="s">
        <v>58</v>
      </c>
      <c r="P442" s="1">
        <v>5</v>
      </c>
      <c r="Q442" s="1">
        <v>480</v>
      </c>
      <c r="R442" s="1">
        <v>513.6</v>
      </c>
      <c r="S442" s="1">
        <v>0.06</v>
      </c>
    </row>
    <row r="443" spans="1:19" x14ac:dyDescent="0.3">
      <c r="A443" s="1" t="s">
        <v>1538</v>
      </c>
      <c r="B443" s="1" t="s">
        <v>158</v>
      </c>
      <c r="C443" s="1" t="s">
        <v>1539</v>
      </c>
      <c r="D443" s="1" t="s">
        <v>1540</v>
      </c>
      <c r="E443" s="1" t="s">
        <v>173</v>
      </c>
      <c r="F443" s="1">
        <v>45800</v>
      </c>
      <c r="G443" s="1">
        <v>45801</v>
      </c>
      <c r="H443" s="1">
        <v>45802</v>
      </c>
      <c r="I443" s="1" t="s">
        <v>72</v>
      </c>
      <c r="J443" s="1" t="s">
        <v>1</v>
      </c>
      <c r="K443" s="1" t="s">
        <v>20</v>
      </c>
      <c r="L443" s="1" t="s">
        <v>22</v>
      </c>
      <c r="M443" s="1" t="s">
        <v>48</v>
      </c>
      <c r="N443" s="1" t="s">
        <v>38</v>
      </c>
      <c r="O443" s="1" t="s">
        <v>41</v>
      </c>
      <c r="P443" s="1">
        <v>7</v>
      </c>
      <c r="Q443" s="1">
        <v>580</v>
      </c>
      <c r="R443" s="1">
        <v>667</v>
      </c>
      <c r="S443" s="1">
        <v>0.08</v>
      </c>
    </row>
    <row r="444" spans="1:19" x14ac:dyDescent="0.3">
      <c r="A444" s="1" t="s">
        <v>1541</v>
      </c>
      <c r="B444" s="1" t="s">
        <v>377</v>
      </c>
      <c r="C444" s="1" t="s">
        <v>1542</v>
      </c>
      <c r="D444" s="1" t="s">
        <v>1543</v>
      </c>
      <c r="E444" s="1" t="s">
        <v>322</v>
      </c>
      <c r="F444" s="1">
        <v>45486</v>
      </c>
      <c r="G444" s="1">
        <v>45487</v>
      </c>
      <c r="H444" s="1">
        <v>45489</v>
      </c>
      <c r="I444" s="1" t="s">
        <v>72</v>
      </c>
      <c r="J444" s="1" t="s">
        <v>2</v>
      </c>
      <c r="K444" s="1" t="s">
        <v>20</v>
      </c>
      <c r="L444" s="1" t="s">
        <v>22</v>
      </c>
      <c r="M444" s="1" t="s">
        <v>26</v>
      </c>
      <c r="N444" s="1" t="s">
        <v>27</v>
      </c>
      <c r="O444" s="1" t="s">
        <v>28</v>
      </c>
      <c r="P444" s="1">
        <v>9</v>
      </c>
      <c r="Q444" s="1">
        <v>3330</v>
      </c>
      <c r="R444" s="1">
        <v>3629.7000000000003</v>
      </c>
      <c r="S444" s="1">
        <v>0.02</v>
      </c>
    </row>
    <row r="445" spans="1:19" x14ac:dyDescent="0.3">
      <c r="A445" s="1" t="s">
        <v>1544</v>
      </c>
      <c r="B445" s="1" t="s">
        <v>1290</v>
      </c>
      <c r="C445" s="1" t="s">
        <v>1545</v>
      </c>
      <c r="D445" s="1" t="s">
        <v>1546</v>
      </c>
      <c r="E445" s="1" t="s">
        <v>71</v>
      </c>
      <c r="F445" s="1">
        <v>46125</v>
      </c>
      <c r="G445" s="1">
        <v>46126</v>
      </c>
      <c r="H445" s="1">
        <v>46130</v>
      </c>
      <c r="I445" s="1" t="s">
        <v>72</v>
      </c>
      <c r="J445" s="1" t="s">
        <v>1</v>
      </c>
      <c r="K445" s="1" t="s">
        <v>21</v>
      </c>
      <c r="L445" s="1" t="s">
        <v>25</v>
      </c>
      <c r="M445" s="1" t="s">
        <v>32</v>
      </c>
      <c r="N445" s="1" t="s">
        <v>33</v>
      </c>
      <c r="O445" s="1" t="s">
        <v>34</v>
      </c>
      <c r="P445" s="1">
        <v>7</v>
      </c>
      <c r="Q445" s="1">
        <v>730</v>
      </c>
      <c r="R445" s="1">
        <v>824.9</v>
      </c>
      <c r="S445" s="1">
        <v>0.02</v>
      </c>
    </row>
    <row r="446" spans="1:19" x14ac:dyDescent="0.3">
      <c r="A446" s="1" t="s">
        <v>1547</v>
      </c>
      <c r="B446" s="1" t="s">
        <v>248</v>
      </c>
      <c r="C446" s="1" t="s">
        <v>1548</v>
      </c>
      <c r="D446" s="1" t="s">
        <v>1549</v>
      </c>
      <c r="E446" s="1" t="s">
        <v>178</v>
      </c>
      <c r="F446" s="1">
        <v>46081</v>
      </c>
      <c r="G446" s="1">
        <v>46081</v>
      </c>
      <c r="H446" s="1">
        <v>46084</v>
      </c>
      <c r="I446" s="1" t="s">
        <v>72</v>
      </c>
      <c r="J446" s="1" t="s">
        <v>18</v>
      </c>
      <c r="K446" s="1" t="s">
        <v>20</v>
      </c>
      <c r="L446" s="1" t="s">
        <v>25</v>
      </c>
      <c r="M446" s="1" t="s">
        <v>47</v>
      </c>
      <c r="N446" s="1" t="s">
        <v>38</v>
      </c>
      <c r="O446" s="1" t="s">
        <v>39</v>
      </c>
      <c r="P446" s="1">
        <v>8</v>
      </c>
      <c r="Q446" s="1">
        <v>390</v>
      </c>
      <c r="R446" s="1">
        <v>468</v>
      </c>
      <c r="S446" s="1">
        <v>0.09</v>
      </c>
    </row>
    <row r="447" spans="1:19" x14ac:dyDescent="0.3">
      <c r="A447" s="1" t="s">
        <v>1550</v>
      </c>
      <c r="B447" s="1" t="s">
        <v>1009</v>
      </c>
      <c r="C447" s="1" t="s">
        <v>1551</v>
      </c>
      <c r="D447" s="1" t="s">
        <v>1552</v>
      </c>
      <c r="E447" s="1" t="s">
        <v>187</v>
      </c>
      <c r="F447" s="1">
        <v>45888</v>
      </c>
      <c r="G447" s="1">
        <v>45888</v>
      </c>
      <c r="H447" s="1">
        <v>45893</v>
      </c>
      <c r="I447" s="1" t="s">
        <v>72</v>
      </c>
      <c r="J447" s="1" t="s">
        <v>1</v>
      </c>
      <c r="K447" s="1" t="s">
        <v>19</v>
      </c>
      <c r="L447" s="1" t="s">
        <v>61</v>
      </c>
      <c r="M447" s="1" t="s">
        <v>40</v>
      </c>
      <c r="N447" s="1" t="s">
        <v>38</v>
      </c>
      <c r="O447" s="1" t="s">
        <v>41</v>
      </c>
      <c r="P447" s="1">
        <v>7</v>
      </c>
      <c r="Q447" s="1">
        <v>170</v>
      </c>
      <c r="R447" s="1">
        <v>188.70000000000002</v>
      </c>
      <c r="S447" s="1">
        <v>0.03</v>
      </c>
    </row>
    <row r="448" spans="1:19" x14ac:dyDescent="0.3">
      <c r="A448" s="1" t="s">
        <v>1553</v>
      </c>
      <c r="B448" s="1" t="s">
        <v>538</v>
      </c>
      <c r="C448" s="1" t="s">
        <v>1554</v>
      </c>
      <c r="D448" s="1" t="s">
        <v>1555</v>
      </c>
      <c r="E448" s="1" t="s">
        <v>291</v>
      </c>
      <c r="F448" s="1">
        <v>45771</v>
      </c>
      <c r="G448" s="1">
        <v>45771</v>
      </c>
      <c r="H448" s="1">
        <v>45776</v>
      </c>
      <c r="I448" s="1" t="s">
        <v>72</v>
      </c>
      <c r="J448" s="1" t="s">
        <v>2</v>
      </c>
      <c r="K448" s="1" t="s">
        <v>19</v>
      </c>
      <c r="L448" s="1" t="s">
        <v>23</v>
      </c>
      <c r="M448" s="1" t="s">
        <v>57</v>
      </c>
      <c r="N448" s="1" t="s">
        <v>27</v>
      </c>
      <c r="O448" s="1" t="s">
        <v>58</v>
      </c>
      <c r="P448" s="1">
        <v>5</v>
      </c>
      <c r="Q448" s="1">
        <v>480</v>
      </c>
      <c r="R448" s="1">
        <v>513.6</v>
      </c>
      <c r="S448" s="1">
        <v>0.03</v>
      </c>
    </row>
    <row r="449" spans="1:19" x14ac:dyDescent="0.3">
      <c r="A449" s="1" t="s">
        <v>1556</v>
      </c>
      <c r="B449" s="1" t="s">
        <v>656</v>
      </c>
      <c r="C449" s="1" t="s">
        <v>1557</v>
      </c>
      <c r="D449" s="1" t="s">
        <v>1558</v>
      </c>
      <c r="E449" s="1" t="s">
        <v>71</v>
      </c>
      <c r="F449" s="1">
        <v>45377</v>
      </c>
      <c r="G449" s="1">
        <v>45377</v>
      </c>
      <c r="H449" s="1">
        <v>45382</v>
      </c>
      <c r="I449" s="1" t="s">
        <v>72</v>
      </c>
      <c r="J449" s="1" t="s">
        <v>17</v>
      </c>
      <c r="K449" s="1" t="s">
        <v>21</v>
      </c>
      <c r="L449" s="1" t="s">
        <v>61</v>
      </c>
      <c r="M449" s="1" t="s">
        <v>32</v>
      </c>
      <c r="N449" s="1" t="s">
        <v>33</v>
      </c>
      <c r="O449" s="1" t="s">
        <v>34</v>
      </c>
      <c r="P449" s="1">
        <v>5</v>
      </c>
      <c r="Q449" s="1">
        <v>730</v>
      </c>
      <c r="R449" s="1">
        <v>824.9</v>
      </c>
      <c r="S449" s="1">
        <v>0.04</v>
      </c>
    </row>
    <row r="450" spans="1:19" x14ac:dyDescent="0.3">
      <c r="A450" s="1" t="s">
        <v>1559</v>
      </c>
      <c r="B450" s="1" t="s">
        <v>377</v>
      </c>
      <c r="C450" s="1" t="s">
        <v>1560</v>
      </c>
      <c r="D450" s="1" t="s">
        <v>1561</v>
      </c>
      <c r="E450" s="1" t="s">
        <v>178</v>
      </c>
      <c r="F450" s="1">
        <v>46126</v>
      </c>
      <c r="G450" s="1">
        <v>46126</v>
      </c>
      <c r="H450" s="1">
        <v>46130</v>
      </c>
      <c r="I450" s="1" t="s">
        <v>72</v>
      </c>
      <c r="J450" s="1" t="s">
        <v>1</v>
      </c>
      <c r="K450" s="1" t="s">
        <v>21</v>
      </c>
      <c r="L450" s="1" t="s">
        <v>61</v>
      </c>
      <c r="M450" s="1" t="s">
        <v>47</v>
      </c>
      <c r="N450" s="1" t="s">
        <v>38</v>
      </c>
      <c r="O450" s="1" t="s">
        <v>39</v>
      </c>
      <c r="P450" s="1">
        <v>10</v>
      </c>
      <c r="Q450" s="1">
        <v>390</v>
      </c>
      <c r="R450" s="1">
        <v>468</v>
      </c>
      <c r="S450" s="1">
        <v>0.04</v>
      </c>
    </row>
    <row r="451" spans="1:19" x14ac:dyDescent="0.3">
      <c r="A451" s="1" t="s">
        <v>1562</v>
      </c>
      <c r="B451" s="1" t="s">
        <v>275</v>
      </c>
      <c r="C451" s="1" t="s">
        <v>1563</v>
      </c>
      <c r="D451" s="1" t="s">
        <v>1564</v>
      </c>
      <c r="E451" s="1" t="s">
        <v>178</v>
      </c>
      <c r="F451" s="1">
        <v>45608</v>
      </c>
      <c r="G451" s="1">
        <v>45608</v>
      </c>
      <c r="H451" s="1">
        <v>45610</v>
      </c>
      <c r="I451" s="1" t="s">
        <v>82</v>
      </c>
      <c r="J451" s="1" t="s">
        <v>16</v>
      </c>
      <c r="K451" s="1" t="s">
        <v>19</v>
      </c>
      <c r="L451" s="1" t="s">
        <v>25</v>
      </c>
      <c r="M451" s="1" t="s">
        <v>47</v>
      </c>
      <c r="N451" s="1" t="s">
        <v>38</v>
      </c>
      <c r="O451" s="1" t="s">
        <v>39</v>
      </c>
      <c r="P451" s="1">
        <v>1</v>
      </c>
      <c r="Q451" s="1">
        <v>390</v>
      </c>
      <c r="R451" s="1">
        <v>468</v>
      </c>
      <c r="S451" s="1">
        <v>0.01</v>
      </c>
    </row>
    <row r="452" spans="1:19" x14ac:dyDescent="0.3">
      <c r="A452" s="1" t="s">
        <v>1565</v>
      </c>
      <c r="B452" s="1" t="s">
        <v>1009</v>
      </c>
      <c r="C452" s="1" t="s">
        <v>1566</v>
      </c>
      <c r="D452" s="1" t="s">
        <v>1567</v>
      </c>
      <c r="E452" s="1" t="s">
        <v>71</v>
      </c>
      <c r="F452" s="1">
        <v>46040</v>
      </c>
      <c r="G452" s="1">
        <v>46041</v>
      </c>
      <c r="H452" s="1">
        <v>46044</v>
      </c>
      <c r="I452" s="1" t="s">
        <v>82</v>
      </c>
      <c r="J452" s="1" t="s">
        <v>1</v>
      </c>
      <c r="K452" s="1" t="s">
        <v>19</v>
      </c>
      <c r="L452" s="1" t="s">
        <v>22</v>
      </c>
      <c r="M452" s="1" t="s">
        <v>32</v>
      </c>
      <c r="N452" s="1" t="s">
        <v>33</v>
      </c>
      <c r="O452" s="1" t="s">
        <v>34</v>
      </c>
      <c r="P452" s="1">
        <v>3</v>
      </c>
      <c r="Q452" s="1">
        <v>730</v>
      </c>
      <c r="R452" s="1">
        <v>824.9</v>
      </c>
      <c r="S452" s="1">
        <v>0.08</v>
      </c>
    </row>
    <row r="453" spans="1:19" x14ac:dyDescent="0.3">
      <c r="A453" s="1" t="s">
        <v>1568</v>
      </c>
      <c r="B453" s="1" t="s">
        <v>319</v>
      </c>
      <c r="C453" s="1" t="s">
        <v>1569</v>
      </c>
      <c r="D453" s="1" t="s">
        <v>1570</v>
      </c>
      <c r="E453" s="1" t="s">
        <v>77</v>
      </c>
      <c r="F453" s="1">
        <v>45637</v>
      </c>
      <c r="G453" s="1">
        <v>45638</v>
      </c>
      <c r="H453" s="1">
        <v>45642</v>
      </c>
      <c r="I453" s="1" t="s">
        <v>82</v>
      </c>
      <c r="J453" s="1" t="s">
        <v>18</v>
      </c>
      <c r="K453" s="1" t="s">
        <v>20</v>
      </c>
      <c r="L453" s="1" t="s">
        <v>23</v>
      </c>
      <c r="M453" s="1" t="s">
        <v>44</v>
      </c>
      <c r="N453" s="1" t="s">
        <v>38</v>
      </c>
      <c r="O453" s="1" t="s">
        <v>45</v>
      </c>
      <c r="P453" s="1">
        <v>1</v>
      </c>
      <c r="Q453" s="1">
        <v>210</v>
      </c>
      <c r="R453" s="1">
        <v>222.60000000000002</v>
      </c>
      <c r="S453" s="1">
        <v>0.02</v>
      </c>
    </row>
    <row r="454" spans="1:19" x14ac:dyDescent="0.3">
      <c r="A454" s="1" t="s">
        <v>1571</v>
      </c>
      <c r="B454" s="1" t="s">
        <v>1429</v>
      </c>
      <c r="C454" s="1" t="s">
        <v>1572</v>
      </c>
      <c r="D454" s="1" t="s">
        <v>510</v>
      </c>
      <c r="E454" s="1" t="s">
        <v>109</v>
      </c>
      <c r="F454" s="1">
        <v>45696</v>
      </c>
      <c r="G454" s="1">
        <v>45697</v>
      </c>
      <c r="H454" s="1">
        <v>45701</v>
      </c>
      <c r="I454" s="1" t="s">
        <v>72</v>
      </c>
      <c r="J454" s="1" t="s">
        <v>1</v>
      </c>
      <c r="K454" s="1" t="s">
        <v>19</v>
      </c>
      <c r="L454" s="1" t="s">
        <v>25</v>
      </c>
      <c r="M454" s="1" t="s">
        <v>55</v>
      </c>
      <c r="N454" s="1" t="s">
        <v>27</v>
      </c>
      <c r="O454" s="1" t="s">
        <v>56</v>
      </c>
      <c r="P454" s="1">
        <v>6</v>
      </c>
      <c r="Q454" s="1">
        <v>650</v>
      </c>
      <c r="R454" s="1">
        <v>663</v>
      </c>
      <c r="S454" s="1">
        <v>0.04</v>
      </c>
    </row>
    <row r="455" spans="1:19" x14ac:dyDescent="0.3">
      <c r="A455" s="1" t="s">
        <v>1573</v>
      </c>
      <c r="B455" s="1" t="s">
        <v>252</v>
      </c>
      <c r="C455" s="1" t="s">
        <v>1574</v>
      </c>
      <c r="D455" s="1" t="s">
        <v>1575</v>
      </c>
      <c r="E455" s="1" t="s">
        <v>95</v>
      </c>
      <c r="F455" s="1">
        <v>46175</v>
      </c>
      <c r="G455" s="1">
        <v>46176</v>
      </c>
      <c r="H455" s="1">
        <v>46178</v>
      </c>
      <c r="I455" s="1" t="s">
        <v>82</v>
      </c>
      <c r="J455" s="1" t="s">
        <v>1</v>
      </c>
      <c r="K455" s="1" t="s">
        <v>20</v>
      </c>
      <c r="L455" s="1" t="s">
        <v>61</v>
      </c>
      <c r="M455" s="1" t="s">
        <v>49</v>
      </c>
      <c r="N455" s="1" t="s">
        <v>33</v>
      </c>
      <c r="O455" s="1" t="s">
        <v>34</v>
      </c>
      <c r="P455" s="1">
        <v>4</v>
      </c>
      <c r="Q455" s="1">
        <v>1080</v>
      </c>
      <c r="R455" s="1">
        <v>1112.4000000000001</v>
      </c>
      <c r="S455" s="1">
        <v>0.01</v>
      </c>
    </row>
    <row r="456" spans="1:19" x14ac:dyDescent="0.3">
      <c r="A456" s="1" t="s">
        <v>1576</v>
      </c>
      <c r="B456" s="1" t="s">
        <v>925</v>
      </c>
      <c r="C456" s="1" t="s">
        <v>1577</v>
      </c>
      <c r="D456" s="1" t="s">
        <v>1578</v>
      </c>
      <c r="E456" s="1" t="s">
        <v>109</v>
      </c>
      <c r="F456" s="1">
        <v>45718</v>
      </c>
      <c r="G456" s="1">
        <v>45719</v>
      </c>
      <c r="H456" s="1">
        <v>45723</v>
      </c>
      <c r="I456" s="1" t="s">
        <v>82</v>
      </c>
      <c r="J456" s="1" t="s">
        <v>2</v>
      </c>
      <c r="K456" s="1" t="s">
        <v>20</v>
      </c>
      <c r="L456" s="1" t="s">
        <v>61</v>
      </c>
      <c r="M456" s="1" t="s">
        <v>55</v>
      </c>
      <c r="N456" s="1" t="s">
        <v>27</v>
      </c>
      <c r="O456" s="1" t="s">
        <v>56</v>
      </c>
      <c r="P456" s="1">
        <v>3</v>
      </c>
      <c r="Q456" s="1">
        <v>650</v>
      </c>
      <c r="R456" s="1">
        <v>663</v>
      </c>
      <c r="S456" s="1">
        <v>0.03</v>
      </c>
    </row>
    <row r="457" spans="1:19" x14ac:dyDescent="0.3">
      <c r="A457" s="1" t="s">
        <v>1579</v>
      </c>
      <c r="B457" s="1" t="s">
        <v>263</v>
      </c>
      <c r="C457" s="1" t="s">
        <v>1580</v>
      </c>
      <c r="D457" s="1" t="s">
        <v>1570</v>
      </c>
      <c r="E457" s="1" t="s">
        <v>95</v>
      </c>
      <c r="F457" s="1">
        <v>45785</v>
      </c>
      <c r="G457" s="1">
        <v>45786</v>
      </c>
      <c r="H457" s="1">
        <v>45788</v>
      </c>
      <c r="I457" s="1" t="s">
        <v>72</v>
      </c>
      <c r="J457" s="1" t="s">
        <v>2</v>
      </c>
      <c r="K457" s="1" t="s">
        <v>20</v>
      </c>
      <c r="L457" s="1" t="s">
        <v>24</v>
      </c>
      <c r="M457" s="1" t="s">
        <v>49</v>
      </c>
      <c r="N457" s="1" t="s">
        <v>33</v>
      </c>
      <c r="O457" s="1" t="s">
        <v>34</v>
      </c>
      <c r="P457" s="1">
        <v>7</v>
      </c>
      <c r="Q457" s="1">
        <v>1080</v>
      </c>
      <c r="R457" s="1">
        <v>1112.4000000000001</v>
      </c>
      <c r="S457" s="1">
        <v>0</v>
      </c>
    </row>
    <row r="458" spans="1:19" x14ac:dyDescent="0.3">
      <c r="A458" s="1" t="s">
        <v>1581</v>
      </c>
      <c r="B458" s="1" t="s">
        <v>201</v>
      </c>
      <c r="C458" s="1" t="s">
        <v>1582</v>
      </c>
      <c r="D458" s="1" t="s">
        <v>1583</v>
      </c>
      <c r="E458" s="1" t="s">
        <v>322</v>
      </c>
      <c r="F458" s="1">
        <v>45851</v>
      </c>
      <c r="G458" s="1">
        <v>45851</v>
      </c>
      <c r="H458" s="1">
        <v>45855</v>
      </c>
      <c r="I458" s="1" t="s">
        <v>82</v>
      </c>
      <c r="J458" s="1" t="s">
        <v>2</v>
      </c>
      <c r="K458" s="1" t="s">
        <v>19</v>
      </c>
      <c r="L458" s="1" t="s">
        <v>61</v>
      </c>
      <c r="M458" s="1" t="s">
        <v>26</v>
      </c>
      <c r="N458" s="1" t="s">
        <v>27</v>
      </c>
      <c r="O458" s="1" t="s">
        <v>28</v>
      </c>
      <c r="P458" s="1">
        <v>3</v>
      </c>
      <c r="Q458" s="1">
        <v>3330</v>
      </c>
      <c r="R458" s="1">
        <v>3629.7000000000003</v>
      </c>
      <c r="S458" s="1">
        <v>0.02</v>
      </c>
    </row>
    <row r="459" spans="1:19" x14ac:dyDescent="0.3">
      <c r="A459" s="1" t="s">
        <v>1584</v>
      </c>
      <c r="B459" s="1" t="s">
        <v>428</v>
      </c>
      <c r="C459" s="1" t="s">
        <v>1585</v>
      </c>
      <c r="D459" s="1" t="s">
        <v>1586</v>
      </c>
      <c r="E459" s="1" t="s">
        <v>217</v>
      </c>
      <c r="F459" s="1">
        <v>46031</v>
      </c>
      <c r="G459" s="1">
        <v>46032</v>
      </c>
      <c r="H459" s="1">
        <v>46034</v>
      </c>
      <c r="I459" s="1" t="s">
        <v>82</v>
      </c>
      <c r="J459" s="1" t="s">
        <v>1</v>
      </c>
      <c r="K459" s="1" t="s">
        <v>19</v>
      </c>
      <c r="L459" s="1" t="s">
        <v>25</v>
      </c>
      <c r="M459" s="1" t="s">
        <v>29</v>
      </c>
      <c r="N459" s="1" t="s">
        <v>27</v>
      </c>
      <c r="O459" s="1" t="s">
        <v>28</v>
      </c>
      <c r="P459" s="1">
        <v>2</v>
      </c>
      <c r="Q459" s="1">
        <v>3930</v>
      </c>
      <c r="R459" s="1">
        <v>4362.3</v>
      </c>
      <c r="S459" s="1">
        <v>0.05</v>
      </c>
    </row>
    <row r="460" spans="1:19" x14ac:dyDescent="0.3">
      <c r="A460" s="1" t="s">
        <v>1587</v>
      </c>
      <c r="B460" s="1" t="s">
        <v>508</v>
      </c>
      <c r="C460" s="1" t="s">
        <v>1588</v>
      </c>
      <c r="D460" s="1" t="s">
        <v>1589</v>
      </c>
      <c r="E460" s="1" t="s">
        <v>291</v>
      </c>
      <c r="F460" s="1">
        <v>46018</v>
      </c>
      <c r="G460" s="1">
        <v>46019</v>
      </c>
      <c r="H460" s="1">
        <v>46021</v>
      </c>
      <c r="I460" s="1" t="s">
        <v>72</v>
      </c>
      <c r="J460" s="1" t="s">
        <v>17</v>
      </c>
      <c r="K460" s="1" t="s">
        <v>21</v>
      </c>
      <c r="L460" s="1" t="s">
        <v>24</v>
      </c>
      <c r="M460" s="1" t="s">
        <v>57</v>
      </c>
      <c r="N460" s="1" t="s">
        <v>27</v>
      </c>
      <c r="O460" s="1" t="s">
        <v>58</v>
      </c>
      <c r="P460" s="1">
        <v>13</v>
      </c>
      <c r="Q460" s="1">
        <v>480</v>
      </c>
      <c r="R460" s="1">
        <v>513.6</v>
      </c>
      <c r="S460" s="1">
        <v>7.0000000000000007E-2</v>
      </c>
    </row>
    <row r="461" spans="1:19" x14ac:dyDescent="0.3">
      <c r="A461" s="1" t="s">
        <v>1590</v>
      </c>
      <c r="B461" s="1" t="s">
        <v>501</v>
      </c>
      <c r="C461" s="1" t="s">
        <v>1591</v>
      </c>
      <c r="D461" s="1" t="s">
        <v>1592</v>
      </c>
      <c r="E461" s="1" t="s">
        <v>322</v>
      </c>
      <c r="F461" s="1">
        <v>45583</v>
      </c>
      <c r="G461" s="1">
        <v>45583</v>
      </c>
      <c r="H461" s="1">
        <v>45586</v>
      </c>
      <c r="I461" s="1" t="s">
        <v>82</v>
      </c>
      <c r="J461" s="1" t="s">
        <v>1</v>
      </c>
      <c r="K461" s="1" t="s">
        <v>19</v>
      </c>
      <c r="L461" s="1" t="s">
        <v>25</v>
      </c>
      <c r="M461" s="1" t="s">
        <v>26</v>
      </c>
      <c r="N461" s="1" t="s">
        <v>27</v>
      </c>
      <c r="O461" s="1" t="s">
        <v>28</v>
      </c>
      <c r="P461" s="1">
        <v>3</v>
      </c>
      <c r="Q461" s="1">
        <v>3330</v>
      </c>
      <c r="R461" s="1">
        <v>3629.7000000000003</v>
      </c>
      <c r="S461" s="1">
        <v>0.04</v>
      </c>
    </row>
    <row r="462" spans="1:19" x14ac:dyDescent="0.3">
      <c r="A462" s="1" t="s">
        <v>1593</v>
      </c>
      <c r="B462" s="1" t="s">
        <v>1316</v>
      </c>
      <c r="C462" s="1" t="s">
        <v>1594</v>
      </c>
      <c r="D462" s="1" t="s">
        <v>707</v>
      </c>
      <c r="E462" s="1" t="s">
        <v>95</v>
      </c>
      <c r="F462" s="1">
        <v>45830</v>
      </c>
      <c r="G462" s="1">
        <v>45831</v>
      </c>
      <c r="H462" s="1">
        <v>45832</v>
      </c>
      <c r="I462" s="1" t="s">
        <v>82</v>
      </c>
      <c r="J462" s="1" t="s">
        <v>17</v>
      </c>
      <c r="K462" s="1" t="s">
        <v>20</v>
      </c>
      <c r="L462" s="1" t="s">
        <v>22</v>
      </c>
      <c r="M462" s="1" t="s">
        <v>49</v>
      </c>
      <c r="N462" s="1" t="s">
        <v>33</v>
      </c>
      <c r="O462" s="1" t="s">
        <v>34</v>
      </c>
      <c r="P462" s="1">
        <v>4</v>
      </c>
      <c r="Q462" s="1">
        <v>1080</v>
      </c>
      <c r="R462" s="1">
        <v>1112.4000000000001</v>
      </c>
      <c r="S462" s="1">
        <v>0.09</v>
      </c>
    </row>
    <row r="463" spans="1:19" x14ac:dyDescent="0.3">
      <c r="A463" s="1" t="s">
        <v>1595</v>
      </c>
      <c r="B463" s="1" t="s">
        <v>764</v>
      </c>
      <c r="C463" s="1" t="s">
        <v>1596</v>
      </c>
      <c r="D463" s="1" t="s">
        <v>1597</v>
      </c>
      <c r="E463" s="1" t="s">
        <v>87</v>
      </c>
      <c r="F463" s="1">
        <v>45812</v>
      </c>
      <c r="G463" s="1">
        <v>45812</v>
      </c>
      <c r="H463" s="1">
        <v>45816</v>
      </c>
      <c r="I463" s="1" t="s">
        <v>82</v>
      </c>
      <c r="J463" s="1" t="s">
        <v>2</v>
      </c>
      <c r="K463" s="1" t="s">
        <v>19</v>
      </c>
      <c r="L463" s="1" t="s">
        <v>24</v>
      </c>
      <c r="M463" s="1" t="s">
        <v>30</v>
      </c>
      <c r="N463" s="1" t="s">
        <v>27</v>
      </c>
      <c r="O463" s="1" t="s">
        <v>31</v>
      </c>
      <c r="P463" s="1">
        <v>4</v>
      </c>
      <c r="Q463" s="1">
        <v>1030</v>
      </c>
      <c r="R463" s="1">
        <v>1174.2</v>
      </c>
      <c r="S463" s="1">
        <v>0.03</v>
      </c>
    </row>
    <row r="464" spans="1:19" x14ac:dyDescent="0.3">
      <c r="A464" s="1" t="s">
        <v>1598</v>
      </c>
      <c r="B464" s="1" t="s">
        <v>474</v>
      </c>
      <c r="C464" s="1" t="s">
        <v>1599</v>
      </c>
      <c r="D464" s="1" t="s">
        <v>1600</v>
      </c>
      <c r="E464" s="1" t="s">
        <v>141</v>
      </c>
      <c r="F464" s="1">
        <v>45446</v>
      </c>
      <c r="G464" s="1">
        <v>45447</v>
      </c>
      <c r="H464" s="1">
        <v>45450</v>
      </c>
      <c r="I464" s="1" t="s">
        <v>72</v>
      </c>
      <c r="J464" s="1" t="s">
        <v>17</v>
      </c>
      <c r="K464" s="1" t="s">
        <v>21</v>
      </c>
      <c r="L464" s="1" t="s">
        <v>24</v>
      </c>
      <c r="M464" s="1" t="s">
        <v>35</v>
      </c>
      <c r="N464" s="1" t="s">
        <v>33</v>
      </c>
      <c r="O464" s="1" t="s">
        <v>36</v>
      </c>
      <c r="P464" s="1">
        <v>9</v>
      </c>
      <c r="Q464" s="1">
        <v>1530</v>
      </c>
      <c r="R464" s="1">
        <v>1790.1</v>
      </c>
      <c r="S464" s="1">
        <v>0.01</v>
      </c>
    </row>
    <row r="465" spans="1:19" x14ac:dyDescent="0.3">
      <c r="A465" s="1" t="s">
        <v>1601</v>
      </c>
      <c r="B465" s="1" t="s">
        <v>478</v>
      </c>
      <c r="C465" s="1" t="s">
        <v>1602</v>
      </c>
      <c r="D465" s="1" t="s">
        <v>1603</v>
      </c>
      <c r="E465" s="1" t="s">
        <v>81</v>
      </c>
      <c r="F465" s="1">
        <v>45383</v>
      </c>
      <c r="G465" s="1">
        <v>45383</v>
      </c>
      <c r="H465" s="1">
        <v>45388</v>
      </c>
      <c r="I465" s="1" t="s">
        <v>82</v>
      </c>
      <c r="J465" s="1" t="s">
        <v>1</v>
      </c>
      <c r="K465" s="1" t="s">
        <v>20</v>
      </c>
      <c r="L465" s="1" t="s">
        <v>61</v>
      </c>
      <c r="M465" s="1" t="s">
        <v>59</v>
      </c>
      <c r="N465" s="1" t="s">
        <v>27</v>
      </c>
      <c r="O465" s="1" t="s">
        <v>60</v>
      </c>
      <c r="P465" s="1">
        <v>2</v>
      </c>
      <c r="Q465" s="1">
        <v>1230</v>
      </c>
      <c r="R465" s="1">
        <v>1328.4</v>
      </c>
      <c r="S465" s="1">
        <v>0.06</v>
      </c>
    </row>
    <row r="466" spans="1:19" x14ac:dyDescent="0.3">
      <c r="A466" s="1" t="s">
        <v>1604</v>
      </c>
      <c r="B466" s="1" t="s">
        <v>285</v>
      </c>
      <c r="C466" s="1" t="s">
        <v>1605</v>
      </c>
      <c r="D466" s="1" t="s">
        <v>468</v>
      </c>
      <c r="E466" s="1" t="s">
        <v>164</v>
      </c>
      <c r="F466" s="1">
        <v>45511</v>
      </c>
      <c r="G466" s="1">
        <v>45512</v>
      </c>
      <c r="H466" s="1">
        <v>45516</v>
      </c>
      <c r="I466" s="1" t="s">
        <v>72</v>
      </c>
      <c r="J466" s="1" t="s">
        <v>18</v>
      </c>
      <c r="K466" s="1" t="s">
        <v>21</v>
      </c>
      <c r="L466" s="1" t="s">
        <v>23</v>
      </c>
      <c r="M466" s="1" t="s">
        <v>43</v>
      </c>
      <c r="N466" s="1" t="s">
        <v>27</v>
      </c>
      <c r="O466" s="1" t="s">
        <v>31</v>
      </c>
      <c r="P466" s="1">
        <v>11</v>
      </c>
      <c r="Q466" s="1">
        <v>1630</v>
      </c>
      <c r="R466" s="1">
        <v>1744.1000000000001</v>
      </c>
      <c r="S466" s="1">
        <v>0.1</v>
      </c>
    </row>
    <row r="467" spans="1:19" x14ac:dyDescent="0.3">
      <c r="A467" s="1" t="s">
        <v>1606</v>
      </c>
      <c r="B467" s="1" t="s">
        <v>1607</v>
      </c>
      <c r="C467" s="1" t="s">
        <v>1608</v>
      </c>
      <c r="D467" s="1" t="s">
        <v>1609</v>
      </c>
      <c r="E467" s="1" t="s">
        <v>132</v>
      </c>
      <c r="F467" s="1">
        <v>46170</v>
      </c>
      <c r="G467" s="1">
        <v>46171</v>
      </c>
      <c r="H467" s="1">
        <v>46174</v>
      </c>
      <c r="I467" s="1" t="s">
        <v>72</v>
      </c>
      <c r="J467" s="1" t="s">
        <v>18</v>
      </c>
      <c r="K467" s="1" t="s">
        <v>19</v>
      </c>
      <c r="L467" s="1" t="s">
        <v>25</v>
      </c>
      <c r="M467" s="1" t="s">
        <v>53</v>
      </c>
      <c r="N467" s="1" t="s">
        <v>27</v>
      </c>
      <c r="O467" s="1" t="s">
        <v>54</v>
      </c>
      <c r="P467" s="1">
        <v>6</v>
      </c>
      <c r="Q467" s="1">
        <v>430</v>
      </c>
      <c r="R467" s="1">
        <v>455.8</v>
      </c>
      <c r="S467" s="1">
        <v>0</v>
      </c>
    </row>
    <row r="468" spans="1:19" x14ac:dyDescent="0.3">
      <c r="A468" s="1" t="s">
        <v>1610</v>
      </c>
      <c r="B468" s="1" t="s">
        <v>689</v>
      </c>
      <c r="C468" s="1" t="s">
        <v>1611</v>
      </c>
      <c r="D468" s="1" t="s">
        <v>1612</v>
      </c>
      <c r="E468" s="1" t="s">
        <v>77</v>
      </c>
      <c r="F468" s="1">
        <v>45623</v>
      </c>
      <c r="G468" s="1">
        <v>45623</v>
      </c>
      <c r="H468" s="1">
        <v>45628</v>
      </c>
      <c r="I468" s="1" t="s">
        <v>82</v>
      </c>
      <c r="J468" s="1" t="s">
        <v>16</v>
      </c>
      <c r="K468" s="1" t="s">
        <v>19</v>
      </c>
      <c r="L468" s="1" t="s">
        <v>22</v>
      </c>
      <c r="M468" s="1" t="s">
        <v>44</v>
      </c>
      <c r="N468" s="1" t="s">
        <v>38</v>
      </c>
      <c r="O468" s="1" t="s">
        <v>45</v>
      </c>
      <c r="P468" s="1">
        <v>2</v>
      </c>
      <c r="Q468" s="1">
        <v>210</v>
      </c>
      <c r="R468" s="1">
        <v>222.60000000000002</v>
      </c>
      <c r="S468" s="1">
        <v>0</v>
      </c>
    </row>
    <row r="469" spans="1:19" x14ac:dyDescent="0.3">
      <c r="A469" s="1" t="s">
        <v>1613</v>
      </c>
      <c r="B469" s="1" t="s">
        <v>116</v>
      </c>
      <c r="C469" s="1" t="s">
        <v>1614</v>
      </c>
      <c r="D469" s="1" t="s">
        <v>687</v>
      </c>
      <c r="E469" s="1" t="s">
        <v>178</v>
      </c>
      <c r="F469" s="1">
        <v>46120</v>
      </c>
      <c r="G469" s="1">
        <v>46121</v>
      </c>
      <c r="H469" s="1">
        <v>46123</v>
      </c>
      <c r="I469" s="1" t="s">
        <v>82</v>
      </c>
      <c r="J469" s="1" t="s">
        <v>16</v>
      </c>
      <c r="K469" s="1" t="s">
        <v>19</v>
      </c>
      <c r="L469" s="1" t="s">
        <v>61</v>
      </c>
      <c r="M469" s="1" t="s">
        <v>47</v>
      </c>
      <c r="N469" s="1" t="s">
        <v>38</v>
      </c>
      <c r="O469" s="1" t="s">
        <v>39</v>
      </c>
      <c r="P469" s="1">
        <v>4</v>
      </c>
      <c r="Q469" s="1">
        <v>390</v>
      </c>
      <c r="R469" s="1">
        <v>468</v>
      </c>
      <c r="S469" s="1">
        <v>0.06</v>
      </c>
    </row>
    <row r="470" spans="1:19" x14ac:dyDescent="0.3">
      <c r="A470" s="1" t="s">
        <v>1615</v>
      </c>
      <c r="B470" s="1" t="s">
        <v>1297</v>
      </c>
      <c r="C470" s="1" t="s">
        <v>1616</v>
      </c>
      <c r="D470" s="1" t="s">
        <v>1617</v>
      </c>
      <c r="E470" s="1" t="s">
        <v>77</v>
      </c>
      <c r="F470" s="1">
        <v>46116</v>
      </c>
      <c r="G470" s="1">
        <v>46117</v>
      </c>
      <c r="H470" s="1">
        <v>46121</v>
      </c>
      <c r="I470" s="1" t="s">
        <v>72</v>
      </c>
      <c r="J470" s="1" t="s">
        <v>16</v>
      </c>
      <c r="K470" s="1" t="s">
        <v>20</v>
      </c>
      <c r="L470" s="1" t="s">
        <v>25</v>
      </c>
      <c r="M470" s="1" t="s">
        <v>44</v>
      </c>
      <c r="N470" s="1" t="s">
        <v>38</v>
      </c>
      <c r="O470" s="1" t="s">
        <v>45</v>
      </c>
      <c r="P470" s="1">
        <v>10</v>
      </c>
      <c r="Q470" s="1">
        <v>210</v>
      </c>
      <c r="R470" s="1">
        <v>222.60000000000002</v>
      </c>
      <c r="S470" s="1">
        <v>7.0000000000000007E-2</v>
      </c>
    </row>
    <row r="471" spans="1:19" x14ac:dyDescent="0.3">
      <c r="A471" s="1" t="s">
        <v>1618</v>
      </c>
      <c r="B471" s="1" t="s">
        <v>1503</v>
      </c>
      <c r="C471" s="1" t="s">
        <v>1619</v>
      </c>
      <c r="D471" s="1" t="s">
        <v>1437</v>
      </c>
      <c r="E471" s="1" t="s">
        <v>100</v>
      </c>
      <c r="F471" s="1">
        <v>45822</v>
      </c>
      <c r="G471" s="1">
        <v>45823</v>
      </c>
      <c r="H471" s="1">
        <v>45826</v>
      </c>
      <c r="I471" s="1" t="s">
        <v>72</v>
      </c>
      <c r="J471" s="1" t="s">
        <v>2</v>
      </c>
      <c r="K471" s="1" t="s">
        <v>21</v>
      </c>
      <c r="L471" s="1" t="s">
        <v>61</v>
      </c>
      <c r="M471" s="1" t="s">
        <v>42</v>
      </c>
      <c r="N471" s="1" t="s">
        <v>27</v>
      </c>
      <c r="O471" s="1" t="s">
        <v>28</v>
      </c>
      <c r="P471" s="1">
        <v>13</v>
      </c>
      <c r="Q471" s="1">
        <v>3030</v>
      </c>
      <c r="R471" s="1">
        <v>3211.8</v>
      </c>
      <c r="S471" s="1">
        <v>0.03</v>
      </c>
    </row>
    <row r="472" spans="1:19" x14ac:dyDescent="0.3">
      <c r="A472" s="1" t="s">
        <v>1620</v>
      </c>
      <c r="B472" s="1" t="s">
        <v>979</v>
      </c>
      <c r="C472" s="1" t="s">
        <v>1621</v>
      </c>
      <c r="D472" s="1" t="s">
        <v>1622</v>
      </c>
      <c r="E472" s="1" t="s">
        <v>71</v>
      </c>
      <c r="F472" s="1">
        <v>45519</v>
      </c>
      <c r="G472" s="1">
        <v>45520</v>
      </c>
      <c r="H472" s="1">
        <v>45522</v>
      </c>
      <c r="I472" s="1" t="s">
        <v>72</v>
      </c>
      <c r="J472" s="1" t="s">
        <v>2</v>
      </c>
      <c r="K472" s="1" t="s">
        <v>20</v>
      </c>
      <c r="L472" s="1" t="s">
        <v>22</v>
      </c>
      <c r="M472" s="1" t="s">
        <v>32</v>
      </c>
      <c r="N472" s="1" t="s">
        <v>33</v>
      </c>
      <c r="O472" s="1" t="s">
        <v>34</v>
      </c>
      <c r="P472" s="1">
        <v>7</v>
      </c>
      <c r="Q472" s="1">
        <v>730</v>
      </c>
      <c r="R472" s="1">
        <v>824.9</v>
      </c>
      <c r="S472" s="1">
        <v>0.01</v>
      </c>
    </row>
    <row r="473" spans="1:19" x14ac:dyDescent="0.3">
      <c r="A473" s="1" t="s">
        <v>1623</v>
      </c>
      <c r="B473" s="1" t="s">
        <v>354</v>
      </c>
      <c r="C473" s="1" t="s">
        <v>1624</v>
      </c>
      <c r="D473" s="1" t="s">
        <v>1625</v>
      </c>
      <c r="E473" s="1" t="s">
        <v>71</v>
      </c>
      <c r="F473" s="1">
        <v>45500</v>
      </c>
      <c r="G473" s="1">
        <v>45501</v>
      </c>
      <c r="H473" s="1">
        <v>45505</v>
      </c>
      <c r="I473" s="1" t="s">
        <v>72</v>
      </c>
      <c r="J473" s="1" t="s">
        <v>17</v>
      </c>
      <c r="K473" s="1" t="s">
        <v>21</v>
      </c>
      <c r="L473" s="1" t="s">
        <v>25</v>
      </c>
      <c r="M473" s="1" t="s">
        <v>32</v>
      </c>
      <c r="N473" s="1" t="s">
        <v>33</v>
      </c>
      <c r="O473" s="1" t="s">
        <v>34</v>
      </c>
      <c r="P473" s="1">
        <v>5</v>
      </c>
      <c r="Q473" s="1">
        <v>730</v>
      </c>
      <c r="R473" s="1">
        <v>824.9</v>
      </c>
      <c r="S473" s="1">
        <v>0.04</v>
      </c>
    </row>
    <row r="474" spans="1:19" x14ac:dyDescent="0.3">
      <c r="A474" s="1" t="s">
        <v>1626</v>
      </c>
      <c r="B474" s="1" t="s">
        <v>1627</v>
      </c>
      <c r="C474" s="1" t="s">
        <v>1628</v>
      </c>
      <c r="D474" s="1" t="s">
        <v>1629</v>
      </c>
      <c r="E474" s="1" t="s">
        <v>95</v>
      </c>
      <c r="F474" s="1">
        <v>45516</v>
      </c>
      <c r="G474" s="1">
        <v>45516</v>
      </c>
      <c r="H474" s="1">
        <v>45520</v>
      </c>
      <c r="I474" s="1" t="s">
        <v>72</v>
      </c>
      <c r="J474" s="1" t="s">
        <v>18</v>
      </c>
      <c r="K474" s="1" t="s">
        <v>19</v>
      </c>
      <c r="L474" s="1" t="s">
        <v>61</v>
      </c>
      <c r="M474" s="1" t="s">
        <v>49</v>
      </c>
      <c r="N474" s="1" t="s">
        <v>33</v>
      </c>
      <c r="O474" s="1" t="s">
        <v>34</v>
      </c>
      <c r="P474" s="1">
        <v>10</v>
      </c>
      <c r="Q474" s="1">
        <v>1080</v>
      </c>
      <c r="R474" s="1">
        <v>1112.4000000000001</v>
      </c>
      <c r="S474" s="1">
        <v>0.05</v>
      </c>
    </row>
    <row r="475" spans="1:19" x14ac:dyDescent="0.3">
      <c r="A475" s="1" t="s">
        <v>1630</v>
      </c>
      <c r="B475" s="1" t="s">
        <v>1081</v>
      </c>
      <c r="C475" s="1" t="s">
        <v>1631</v>
      </c>
      <c r="D475" s="1" t="s">
        <v>1632</v>
      </c>
      <c r="E475" s="1" t="s">
        <v>192</v>
      </c>
      <c r="F475" s="1">
        <v>45621</v>
      </c>
      <c r="G475" s="1">
        <v>45622</v>
      </c>
      <c r="H475" s="1">
        <v>45625</v>
      </c>
      <c r="I475" s="1" t="s">
        <v>72</v>
      </c>
      <c r="J475" s="1" t="s">
        <v>18</v>
      </c>
      <c r="K475" s="1" t="s">
        <v>21</v>
      </c>
      <c r="L475" s="1" t="s">
        <v>61</v>
      </c>
      <c r="M475" s="1" t="s">
        <v>46</v>
      </c>
      <c r="N475" s="1" t="s">
        <v>38</v>
      </c>
      <c r="O475" s="1" t="s">
        <v>45</v>
      </c>
      <c r="P475" s="1">
        <v>6</v>
      </c>
      <c r="Q475" s="1">
        <v>350</v>
      </c>
      <c r="R475" s="1">
        <v>364</v>
      </c>
      <c r="S475" s="1">
        <v>0.04</v>
      </c>
    </row>
    <row r="476" spans="1:19" x14ac:dyDescent="0.3">
      <c r="A476" s="1" t="s">
        <v>1633</v>
      </c>
      <c r="B476" s="1" t="s">
        <v>1634</v>
      </c>
      <c r="C476" s="1" t="s">
        <v>1635</v>
      </c>
      <c r="D476" s="1" t="s">
        <v>1636</v>
      </c>
      <c r="E476" s="1" t="s">
        <v>141</v>
      </c>
      <c r="F476" s="1">
        <v>45894</v>
      </c>
      <c r="G476" s="1">
        <v>45894</v>
      </c>
      <c r="H476" s="1">
        <v>45897</v>
      </c>
      <c r="I476" s="1" t="s">
        <v>72</v>
      </c>
      <c r="J476" s="1" t="s">
        <v>2</v>
      </c>
      <c r="K476" s="1" t="s">
        <v>20</v>
      </c>
      <c r="L476" s="1" t="s">
        <v>23</v>
      </c>
      <c r="M476" s="1" t="s">
        <v>35</v>
      </c>
      <c r="N476" s="1" t="s">
        <v>33</v>
      </c>
      <c r="O476" s="1" t="s">
        <v>36</v>
      </c>
      <c r="P476" s="1">
        <v>10</v>
      </c>
      <c r="Q476" s="1">
        <v>1530</v>
      </c>
      <c r="R476" s="1">
        <v>1790.1</v>
      </c>
      <c r="S476" s="1">
        <v>0.01</v>
      </c>
    </row>
    <row r="477" spans="1:19" x14ac:dyDescent="0.3">
      <c r="A477" s="1" t="s">
        <v>1637</v>
      </c>
      <c r="B477" s="1" t="s">
        <v>111</v>
      </c>
      <c r="C477" s="1" t="s">
        <v>1638</v>
      </c>
      <c r="D477" s="1" t="s">
        <v>553</v>
      </c>
      <c r="E477" s="1" t="s">
        <v>173</v>
      </c>
      <c r="F477" s="1">
        <v>45633</v>
      </c>
      <c r="G477" s="1">
        <v>45633</v>
      </c>
      <c r="H477" s="1">
        <v>45637</v>
      </c>
      <c r="I477" s="1" t="s">
        <v>72</v>
      </c>
      <c r="J477" s="1" t="s">
        <v>17</v>
      </c>
      <c r="K477" s="1" t="s">
        <v>20</v>
      </c>
      <c r="L477" s="1" t="s">
        <v>25</v>
      </c>
      <c r="M477" s="1" t="s">
        <v>48</v>
      </c>
      <c r="N477" s="1" t="s">
        <v>38</v>
      </c>
      <c r="O477" s="1" t="s">
        <v>41</v>
      </c>
      <c r="P477" s="1">
        <v>7</v>
      </c>
      <c r="Q477" s="1">
        <v>580</v>
      </c>
      <c r="R477" s="1">
        <v>667</v>
      </c>
      <c r="S477" s="1">
        <v>0.1</v>
      </c>
    </row>
    <row r="478" spans="1:19" x14ac:dyDescent="0.3">
      <c r="A478" s="1" t="s">
        <v>1639</v>
      </c>
      <c r="B478" s="1" t="s">
        <v>877</v>
      </c>
      <c r="C478" s="1" t="s">
        <v>1640</v>
      </c>
      <c r="D478" s="1" t="s">
        <v>1641</v>
      </c>
      <c r="E478" s="1" t="s">
        <v>87</v>
      </c>
      <c r="F478" s="1">
        <v>45921</v>
      </c>
      <c r="G478" s="1">
        <v>45922</v>
      </c>
      <c r="H478" s="1">
        <v>45925</v>
      </c>
      <c r="I478" s="1" t="s">
        <v>72</v>
      </c>
      <c r="J478" s="1" t="s">
        <v>16</v>
      </c>
      <c r="K478" s="1" t="s">
        <v>19</v>
      </c>
      <c r="L478" s="1" t="s">
        <v>61</v>
      </c>
      <c r="M478" s="1" t="s">
        <v>30</v>
      </c>
      <c r="N478" s="1" t="s">
        <v>27</v>
      </c>
      <c r="O478" s="1" t="s">
        <v>31</v>
      </c>
      <c r="P478" s="1">
        <v>10</v>
      </c>
      <c r="Q478" s="1">
        <v>1030</v>
      </c>
      <c r="R478" s="1">
        <v>1174.2</v>
      </c>
      <c r="S478" s="1">
        <v>0.06</v>
      </c>
    </row>
    <row r="479" spans="1:19" x14ac:dyDescent="0.3">
      <c r="A479" s="1" t="s">
        <v>1642</v>
      </c>
      <c r="B479" s="1" t="s">
        <v>1081</v>
      </c>
      <c r="C479" s="1" t="s">
        <v>1643</v>
      </c>
      <c r="D479" s="1" t="s">
        <v>1644</v>
      </c>
      <c r="E479" s="1" t="s">
        <v>132</v>
      </c>
      <c r="F479" s="1">
        <v>45297</v>
      </c>
      <c r="G479" s="1">
        <v>45298</v>
      </c>
      <c r="H479" s="1">
        <v>45302</v>
      </c>
      <c r="I479" s="1" t="s">
        <v>72</v>
      </c>
      <c r="J479" s="1" t="s">
        <v>18</v>
      </c>
      <c r="K479" s="1" t="s">
        <v>21</v>
      </c>
      <c r="L479" s="1" t="s">
        <v>22</v>
      </c>
      <c r="M479" s="1" t="s">
        <v>53</v>
      </c>
      <c r="N479" s="1" t="s">
        <v>27</v>
      </c>
      <c r="O479" s="1" t="s">
        <v>54</v>
      </c>
      <c r="P479" s="1">
        <v>5</v>
      </c>
      <c r="Q479" s="1">
        <v>430</v>
      </c>
      <c r="R479" s="1">
        <v>455.8</v>
      </c>
      <c r="S479" s="1">
        <v>7.0000000000000007E-2</v>
      </c>
    </row>
    <row r="480" spans="1:19" x14ac:dyDescent="0.3">
      <c r="A480" s="1" t="s">
        <v>1645</v>
      </c>
      <c r="B480" s="1" t="s">
        <v>482</v>
      </c>
      <c r="C480" s="1" t="s">
        <v>1646</v>
      </c>
      <c r="D480" s="1" t="s">
        <v>1647</v>
      </c>
      <c r="E480" s="1" t="s">
        <v>192</v>
      </c>
      <c r="F480" s="1">
        <v>45499</v>
      </c>
      <c r="G480" s="1">
        <v>45499</v>
      </c>
      <c r="H480" s="1">
        <v>45502</v>
      </c>
      <c r="I480" s="1" t="s">
        <v>82</v>
      </c>
      <c r="J480" s="1" t="s">
        <v>2</v>
      </c>
      <c r="K480" s="1" t="s">
        <v>20</v>
      </c>
      <c r="L480" s="1" t="s">
        <v>61</v>
      </c>
      <c r="M480" s="1" t="s">
        <v>46</v>
      </c>
      <c r="N480" s="1" t="s">
        <v>38</v>
      </c>
      <c r="O480" s="1" t="s">
        <v>45</v>
      </c>
      <c r="P480" s="1">
        <v>4</v>
      </c>
      <c r="Q480" s="1">
        <v>350</v>
      </c>
      <c r="R480" s="1">
        <v>364</v>
      </c>
      <c r="S480" s="1">
        <v>0.04</v>
      </c>
    </row>
    <row r="481" spans="1:19" x14ac:dyDescent="0.3">
      <c r="A481" s="1" t="s">
        <v>1648</v>
      </c>
      <c r="B481" s="1" t="s">
        <v>1649</v>
      </c>
      <c r="C481" s="1" t="s">
        <v>1650</v>
      </c>
      <c r="D481" s="1" t="s">
        <v>1651</v>
      </c>
      <c r="E481" s="1" t="s">
        <v>87</v>
      </c>
      <c r="F481" s="1">
        <v>45793</v>
      </c>
      <c r="G481" s="1">
        <v>45794</v>
      </c>
      <c r="H481" s="1">
        <v>45796</v>
      </c>
      <c r="I481" s="1" t="s">
        <v>72</v>
      </c>
      <c r="J481" s="1" t="s">
        <v>16</v>
      </c>
      <c r="K481" s="1" t="s">
        <v>20</v>
      </c>
      <c r="L481" s="1" t="s">
        <v>61</v>
      </c>
      <c r="M481" s="1" t="s">
        <v>30</v>
      </c>
      <c r="N481" s="1" t="s">
        <v>27</v>
      </c>
      <c r="O481" s="1" t="s">
        <v>31</v>
      </c>
      <c r="P481" s="1">
        <v>7</v>
      </c>
      <c r="Q481" s="1">
        <v>1030</v>
      </c>
      <c r="R481" s="1">
        <v>1174.2</v>
      </c>
      <c r="S481" s="1">
        <v>0.03</v>
      </c>
    </row>
    <row r="482" spans="1:19" x14ac:dyDescent="0.3">
      <c r="A482" s="1" t="s">
        <v>1652</v>
      </c>
      <c r="B482" s="1" t="s">
        <v>828</v>
      </c>
      <c r="C482" s="1" t="s">
        <v>1653</v>
      </c>
      <c r="D482" s="1" t="s">
        <v>1654</v>
      </c>
      <c r="E482" s="1" t="s">
        <v>291</v>
      </c>
      <c r="F482" s="1">
        <v>45678</v>
      </c>
      <c r="G482" s="1">
        <v>45678</v>
      </c>
      <c r="H482" s="1">
        <v>45682</v>
      </c>
      <c r="I482" s="1" t="s">
        <v>72</v>
      </c>
      <c r="J482" s="1" t="s">
        <v>16</v>
      </c>
      <c r="K482" s="1" t="s">
        <v>21</v>
      </c>
      <c r="L482" s="1" t="s">
        <v>61</v>
      </c>
      <c r="M482" s="1" t="s">
        <v>57</v>
      </c>
      <c r="N482" s="1" t="s">
        <v>27</v>
      </c>
      <c r="O482" s="1" t="s">
        <v>58</v>
      </c>
      <c r="P482" s="1">
        <v>9</v>
      </c>
      <c r="Q482" s="1">
        <v>480</v>
      </c>
      <c r="R482" s="1">
        <v>513.6</v>
      </c>
      <c r="S482" s="1">
        <v>0.03</v>
      </c>
    </row>
    <row r="483" spans="1:19" x14ac:dyDescent="0.3">
      <c r="A483" s="1" t="s">
        <v>1655</v>
      </c>
      <c r="B483" s="1" t="s">
        <v>1656</v>
      </c>
      <c r="C483" s="1" t="s">
        <v>1657</v>
      </c>
      <c r="D483" s="1" t="s">
        <v>1658</v>
      </c>
      <c r="E483" s="1" t="s">
        <v>81</v>
      </c>
      <c r="F483" s="1">
        <v>45913</v>
      </c>
      <c r="G483" s="1">
        <v>45914</v>
      </c>
      <c r="H483" s="1">
        <v>45918</v>
      </c>
      <c r="I483" s="1" t="s">
        <v>82</v>
      </c>
      <c r="J483" s="1" t="s">
        <v>2</v>
      </c>
      <c r="K483" s="1" t="s">
        <v>20</v>
      </c>
      <c r="L483" s="1" t="s">
        <v>24</v>
      </c>
      <c r="M483" s="1" t="s">
        <v>59</v>
      </c>
      <c r="N483" s="1" t="s">
        <v>27</v>
      </c>
      <c r="O483" s="1" t="s">
        <v>60</v>
      </c>
      <c r="P483" s="1">
        <v>4</v>
      </c>
      <c r="Q483" s="1">
        <v>1230</v>
      </c>
      <c r="R483" s="1">
        <v>1328.4</v>
      </c>
      <c r="S483" s="1">
        <v>0.1</v>
      </c>
    </row>
    <row r="484" spans="1:19" x14ac:dyDescent="0.3">
      <c r="A484" s="1" t="s">
        <v>1659</v>
      </c>
      <c r="B484" s="1" t="s">
        <v>175</v>
      </c>
      <c r="C484" s="1" t="s">
        <v>1660</v>
      </c>
      <c r="D484" s="1" t="s">
        <v>1661</v>
      </c>
      <c r="E484" s="1" t="s">
        <v>187</v>
      </c>
      <c r="F484" s="1">
        <v>46156</v>
      </c>
      <c r="G484" s="1">
        <v>46157</v>
      </c>
      <c r="H484" s="1">
        <v>46161</v>
      </c>
      <c r="I484" s="1" t="s">
        <v>72</v>
      </c>
      <c r="J484" s="1" t="s">
        <v>16</v>
      </c>
      <c r="K484" s="1" t="s">
        <v>21</v>
      </c>
      <c r="L484" s="1" t="s">
        <v>25</v>
      </c>
      <c r="M484" s="1" t="s">
        <v>40</v>
      </c>
      <c r="N484" s="1" t="s">
        <v>38</v>
      </c>
      <c r="O484" s="1" t="s">
        <v>41</v>
      </c>
      <c r="P484" s="1">
        <v>5</v>
      </c>
      <c r="Q484" s="1">
        <v>170</v>
      </c>
      <c r="R484" s="1">
        <v>188.70000000000002</v>
      </c>
      <c r="S484" s="1">
        <v>0.03</v>
      </c>
    </row>
    <row r="485" spans="1:19" x14ac:dyDescent="0.3">
      <c r="A485" s="1" t="s">
        <v>1662</v>
      </c>
      <c r="B485" s="1" t="s">
        <v>161</v>
      </c>
      <c r="C485" s="1" t="s">
        <v>1663</v>
      </c>
      <c r="D485" s="1" t="s">
        <v>1664</v>
      </c>
      <c r="E485" s="1" t="s">
        <v>217</v>
      </c>
      <c r="F485" s="1">
        <v>45589</v>
      </c>
      <c r="G485" s="1">
        <v>45589</v>
      </c>
      <c r="H485" s="1">
        <v>45591</v>
      </c>
      <c r="I485" s="1" t="s">
        <v>72</v>
      </c>
      <c r="J485" s="1" t="s">
        <v>16</v>
      </c>
      <c r="K485" s="1" t="s">
        <v>20</v>
      </c>
      <c r="L485" s="1" t="s">
        <v>22</v>
      </c>
      <c r="M485" s="1" t="s">
        <v>29</v>
      </c>
      <c r="N485" s="1" t="s">
        <v>27</v>
      </c>
      <c r="O485" s="1" t="s">
        <v>28</v>
      </c>
      <c r="P485" s="1">
        <v>8</v>
      </c>
      <c r="Q485" s="1">
        <v>3930</v>
      </c>
      <c r="R485" s="1">
        <v>4362.3</v>
      </c>
      <c r="S485" s="1">
        <v>0.1</v>
      </c>
    </row>
    <row r="486" spans="1:19" x14ac:dyDescent="0.3">
      <c r="A486" s="1" t="s">
        <v>1665</v>
      </c>
      <c r="B486" s="1" t="s">
        <v>983</v>
      </c>
      <c r="C486" s="1" t="s">
        <v>1666</v>
      </c>
      <c r="D486" s="1" t="s">
        <v>1667</v>
      </c>
      <c r="E486" s="1" t="s">
        <v>192</v>
      </c>
      <c r="F486" s="1">
        <v>46102</v>
      </c>
      <c r="G486" s="1">
        <v>46103</v>
      </c>
      <c r="H486" s="1">
        <v>46106</v>
      </c>
      <c r="I486" s="1" t="s">
        <v>82</v>
      </c>
      <c r="J486" s="1" t="s">
        <v>18</v>
      </c>
      <c r="K486" s="1" t="s">
        <v>19</v>
      </c>
      <c r="L486" s="1" t="s">
        <v>25</v>
      </c>
      <c r="M486" s="1" t="s">
        <v>46</v>
      </c>
      <c r="N486" s="1" t="s">
        <v>38</v>
      </c>
      <c r="O486" s="1" t="s">
        <v>45</v>
      </c>
      <c r="P486" s="1">
        <v>4</v>
      </c>
      <c r="Q486" s="1">
        <v>350</v>
      </c>
      <c r="R486" s="1">
        <v>364</v>
      </c>
      <c r="S486" s="1">
        <v>0.01</v>
      </c>
    </row>
    <row r="487" spans="1:19" x14ac:dyDescent="0.3">
      <c r="A487" s="1" t="s">
        <v>1668</v>
      </c>
      <c r="B487" s="1" t="s">
        <v>1290</v>
      </c>
      <c r="C487" s="1" t="s">
        <v>1669</v>
      </c>
      <c r="D487" s="1" t="s">
        <v>1011</v>
      </c>
      <c r="E487" s="1" t="s">
        <v>173</v>
      </c>
      <c r="F487" s="1">
        <v>45724</v>
      </c>
      <c r="G487" s="1">
        <v>45724</v>
      </c>
      <c r="H487" s="1">
        <v>45729</v>
      </c>
      <c r="I487" s="1" t="s">
        <v>82</v>
      </c>
      <c r="J487" s="1" t="s">
        <v>18</v>
      </c>
      <c r="K487" s="1" t="s">
        <v>20</v>
      </c>
      <c r="L487" s="1" t="s">
        <v>22</v>
      </c>
      <c r="M487" s="1" t="s">
        <v>48</v>
      </c>
      <c r="N487" s="1" t="s">
        <v>38</v>
      </c>
      <c r="O487" s="1" t="s">
        <v>41</v>
      </c>
      <c r="P487" s="1">
        <v>2</v>
      </c>
      <c r="Q487" s="1">
        <v>580</v>
      </c>
      <c r="R487" s="1">
        <v>667</v>
      </c>
      <c r="S487" s="1">
        <v>0</v>
      </c>
    </row>
    <row r="488" spans="1:19" x14ac:dyDescent="0.3">
      <c r="A488" s="1" t="s">
        <v>1670</v>
      </c>
      <c r="B488" s="1" t="s">
        <v>155</v>
      </c>
      <c r="C488" s="1" t="s">
        <v>1671</v>
      </c>
      <c r="D488" s="1" t="s">
        <v>1672</v>
      </c>
      <c r="E488" s="1" t="s">
        <v>208</v>
      </c>
      <c r="F488" s="1">
        <v>45358</v>
      </c>
      <c r="G488" s="1">
        <v>45359</v>
      </c>
      <c r="H488" s="1">
        <v>45361</v>
      </c>
      <c r="I488" s="1" t="s">
        <v>82</v>
      </c>
      <c r="J488" s="1" t="s">
        <v>2</v>
      </c>
      <c r="K488" s="1" t="s">
        <v>20</v>
      </c>
      <c r="L488" s="1" t="s">
        <v>61</v>
      </c>
      <c r="M488" s="1" t="s">
        <v>50</v>
      </c>
      <c r="N488" s="1" t="s">
        <v>33</v>
      </c>
      <c r="O488" s="1" t="s">
        <v>36</v>
      </c>
      <c r="P488" s="1">
        <v>3</v>
      </c>
      <c r="Q488" s="1">
        <v>930</v>
      </c>
      <c r="R488" s="1">
        <v>1078.8</v>
      </c>
      <c r="S488" s="1">
        <v>0.06</v>
      </c>
    </row>
    <row r="489" spans="1:19" x14ac:dyDescent="0.3">
      <c r="A489" s="1" t="s">
        <v>1673</v>
      </c>
      <c r="B489" s="1" t="s">
        <v>1009</v>
      </c>
      <c r="C489" s="1" t="s">
        <v>1674</v>
      </c>
      <c r="D489" s="1" t="s">
        <v>1675</v>
      </c>
      <c r="E489" s="1" t="s">
        <v>141</v>
      </c>
      <c r="F489" s="1">
        <v>45759</v>
      </c>
      <c r="G489" s="1">
        <v>45760</v>
      </c>
      <c r="H489" s="1">
        <v>45763</v>
      </c>
      <c r="I489" s="1" t="s">
        <v>82</v>
      </c>
      <c r="J489" s="1" t="s">
        <v>17</v>
      </c>
      <c r="K489" s="1" t="s">
        <v>19</v>
      </c>
      <c r="L489" s="1" t="s">
        <v>61</v>
      </c>
      <c r="M489" s="1" t="s">
        <v>35</v>
      </c>
      <c r="N489" s="1" t="s">
        <v>33</v>
      </c>
      <c r="O489" s="1" t="s">
        <v>36</v>
      </c>
      <c r="P489" s="1">
        <v>1</v>
      </c>
      <c r="Q489" s="1">
        <v>1530</v>
      </c>
      <c r="R489" s="1">
        <v>1790.1</v>
      </c>
      <c r="S489" s="1">
        <v>0.06</v>
      </c>
    </row>
    <row r="490" spans="1:19" x14ac:dyDescent="0.3">
      <c r="A490" s="1" t="s">
        <v>1676</v>
      </c>
      <c r="B490" s="1" t="s">
        <v>1677</v>
      </c>
      <c r="C490" s="1" t="s">
        <v>1678</v>
      </c>
      <c r="D490" s="1" t="s">
        <v>1679</v>
      </c>
      <c r="E490" s="1" t="s">
        <v>178</v>
      </c>
      <c r="F490" s="1">
        <v>45822</v>
      </c>
      <c r="G490" s="1">
        <v>45822</v>
      </c>
      <c r="H490" s="1">
        <v>45824</v>
      </c>
      <c r="I490" s="1" t="s">
        <v>82</v>
      </c>
      <c r="J490" s="1" t="s">
        <v>18</v>
      </c>
      <c r="K490" s="1" t="s">
        <v>19</v>
      </c>
      <c r="L490" s="1" t="s">
        <v>25</v>
      </c>
      <c r="M490" s="1" t="s">
        <v>47</v>
      </c>
      <c r="N490" s="1" t="s">
        <v>38</v>
      </c>
      <c r="O490" s="1" t="s">
        <v>39</v>
      </c>
      <c r="P490" s="1">
        <v>2</v>
      </c>
      <c r="Q490" s="1">
        <v>390</v>
      </c>
      <c r="R490" s="1">
        <v>468</v>
      </c>
      <c r="S490" s="1">
        <v>0</v>
      </c>
    </row>
    <row r="491" spans="1:19" x14ac:dyDescent="0.3">
      <c r="A491" s="1" t="s">
        <v>1680</v>
      </c>
      <c r="B491" s="1" t="s">
        <v>898</v>
      </c>
      <c r="C491" s="1" t="s">
        <v>1681</v>
      </c>
      <c r="D491" s="1" t="s">
        <v>1682</v>
      </c>
      <c r="E491" s="1" t="s">
        <v>187</v>
      </c>
      <c r="F491" s="1">
        <v>45326</v>
      </c>
      <c r="G491" s="1">
        <v>45326</v>
      </c>
      <c r="H491" s="1">
        <v>45330</v>
      </c>
      <c r="I491" s="1" t="s">
        <v>72</v>
      </c>
      <c r="J491" s="1" t="s">
        <v>16</v>
      </c>
      <c r="K491" s="1" t="s">
        <v>20</v>
      </c>
      <c r="L491" s="1" t="s">
        <v>61</v>
      </c>
      <c r="M491" s="1" t="s">
        <v>40</v>
      </c>
      <c r="N491" s="1" t="s">
        <v>38</v>
      </c>
      <c r="O491" s="1" t="s">
        <v>41</v>
      </c>
      <c r="P491" s="1">
        <v>10</v>
      </c>
      <c r="Q491" s="1">
        <v>170</v>
      </c>
      <c r="R491" s="1">
        <v>188.70000000000002</v>
      </c>
      <c r="S491" s="1">
        <v>0.02</v>
      </c>
    </row>
    <row r="492" spans="1:19" x14ac:dyDescent="0.3">
      <c r="A492" s="1" t="s">
        <v>1683</v>
      </c>
      <c r="B492" s="1" t="s">
        <v>1656</v>
      </c>
      <c r="C492" s="1" t="s">
        <v>1684</v>
      </c>
      <c r="D492" s="1" t="s">
        <v>1685</v>
      </c>
      <c r="E492" s="1" t="s">
        <v>132</v>
      </c>
      <c r="F492" s="1">
        <v>45848</v>
      </c>
      <c r="G492" s="1">
        <v>45848</v>
      </c>
      <c r="H492" s="1">
        <v>45851</v>
      </c>
      <c r="I492" s="1" t="s">
        <v>72</v>
      </c>
      <c r="J492" s="1" t="s">
        <v>1</v>
      </c>
      <c r="K492" s="1" t="s">
        <v>21</v>
      </c>
      <c r="L492" s="1" t="s">
        <v>23</v>
      </c>
      <c r="M492" s="1" t="s">
        <v>53</v>
      </c>
      <c r="N492" s="1" t="s">
        <v>27</v>
      </c>
      <c r="O492" s="1" t="s">
        <v>54</v>
      </c>
      <c r="P492" s="1">
        <v>11</v>
      </c>
      <c r="Q492" s="1">
        <v>430</v>
      </c>
      <c r="R492" s="1">
        <v>455.8</v>
      </c>
      <c r="S492" s="1">
        <v>7.0000000000000007E-2</v>
      </c>
    </row>
    <row r="493" spans="1:19" x14ac:dyDescent="0.3">
      <c r="A493" s="1" t="s">
        <v>1686</v>
      </c>
      <c r="B493" s="1" t="s">
        <v>319</v>
      </c>
      <c r="C493" s="1" t="s">
        <v>1687</v>
      </c>
      <c r="D493" s="1" t="s">
        <v>1688</v>
      </c>
      <c r="E493" s="1" t="s">
        <v>187</v>
      </c>
      <c r="F493" s="1">
        <v>45752</v>
      </c>
      <c r="G493" s="1">
        <v>45753</v>
      </c>
      <c r="H493" s="1">
        <v>45757</v>
      </c>
      <c r="I493" s="1" t="s">
        <v>72</v>
      </c>
      <c r="J493" s="1" t="s">
        <v>18</v>
      </c>
      <c r="K493" s="1" t="s">
        <v>19</v>
      </c>
      <c r="L493" s="1" t="s">
        <v>23</v>
      </c>
      <c r="M493" s="1" t="s">
        <v>40</v>
      </c>
      <c r="N493" s="1" t="s">
        <v>38</v>
      </c>
      <c r="O493" s="1" t="s">
        <v>41</v>
      </c>
      <c r="P493" s="1">
        <v>5</v>
      </c>
      <c r="Q493" s="1">
        <v>170</v>
      </c>
      <c r="R493" s="1">
        <v>188.70000000000002</v>
      </c>
      <c r="S493" s="1">
        <v>0</v>
      </c>
    </row>
    <row r="494" spans="1:19" x14ac:dyDescent="0.3">
      <c r="A494" s="1" t="s">
        <v>1689</v>
      </c>
      <c r="B494" s="1" t="s">
        <v>979</v>
      </c>
      <c r="C494" s="1" t="s">
        <v>1690</v>
      </c>
      <c r="D494" s="1" t="s">
        <v>1691</v>
      </c>
      <c r="E494" s="1" t="s">
        <v>141</v>
      </c>
      <c r="F494" s="1">
        <v>45423</v>
      </c>
      <c r="G494" s="1">
        <v>45424</v>
      </c>
      <c r="H494" s="1">
        <v>45428</v>
      </c>
      <c r="I494" s="1" t="s">
        <v>72</v>
      </c>
      <c r="J494" s="1" t="s">
        <v>2</v>
      </c>
      <c r="K494" s="1" t="s">
        <v>21</v>
      </c>
      <c r="L494" s="1" t="s">
        <v>22</v>
      </c>
      <c r="M494" s="1" t="s">
        <v>35</v>
      </c>
      <c r="N494" s="1" t="s">
        <v>33</v>
      </c>
      <c r="O494" s="1" t="s">
        <v>36</v>
      </c>
      <c r="P494" s="1">
        <v>9</v>
      </c>
      <c r="Q494" s="1">
        <v>1530</v>
      </c>
      <c r="R494" s="1">
        <v>1790.1</v>
      </c>
      <c r="S494" s="1">
        <v>0.06</v>
      </c>
    </row>
    <row r="495" spans="1:19" x14ac:dyDescent="0.3">
      <c r="A495" s="1" t="s">
        <v>1692</v>
      </c>
      <c r="B495" s="1" t="s">
        <v>736</v>
      </c>
      <c r="C495" s="1" t="s">
        <v>1693</v>
      </c>
      <c r="D495" s="1" t="s">
        <v>1694</v>
      </c>
      <c r="E495" s="1" t="s">
        <v>192</v>
      </c>
      <c r="F495" s="1">
        <v>46153</v>
      </c>
      <c r="G495" s="1">
        <v>46154</v>
      </c>
      <c r="H495" s="1">
        <v>46156</v>
      </c>
      <c r="I495" s="1" t="s">
        <v>72</v>
      </c>
      <c r="J495" s="1" t="s">
        <v>16</v>
      </c>
      <c r="K495" s="1" t="s">
        <v>20</v>
      </c>
      <c r="L495" s="1" t="s">
        <v>24</v>
      </c>
      <c r="M495" s="1" t="s">
        <v>46</v>
      </c>
      <c r="N495" s="1" t="s">
        <v>38</v>
      </c>
      <c r="O495" s="1" t="s">
        <v>45</v>
      </c>
      <c r="P495" s="1">
        <v>5</v>
      </c>
      <c r="Q495" s="1">
        <v>350</v>
      </c>
      <c r="R495" s="1">
        <v>364</v>
      </c>
      <c r="S495" s="1">
        <v>0</v>
      </c>
    </row>
    <row r="496" spans="1:19" x14ac:dyDescent="0.3">
      <c r="A496" s="1" t="s">
        <v>1695</v>
      </c>
      <c r="B496" s="1" t="s">
        <v>1696</v>
      </c>
      <c r="C496" s="1" t="s">
        <v>1697</v>
      </c>
      <c r="D496" s="1" t="s">
        <v>1698</v>
      </c>
      <c r="E496" s="1" t="s">
        <v>173</v>
      </c>
      <c r="F496" s="1">
        <v>45467</v>
      </c>
      <c r="G496" s="1">
        <v>45468</v>
      </c>
      <c r="H496" s="1">
        <v>45469</v>
      </c>
      <c r="I496" s="1" t="s">
        <v>72</v>
      </c>
      <c r="J496" s="1" t="s">
        <v>16</v>
      </c>
      <c r="K496" s="1" t="s">
        <v>21</v>
      </c>
      <c r="L496" s="1" t="s">
        <v>24</v>
      </c>
      <c r="M496" s="1" t="s">
        <v>48</v>
      </c>
      <c r="N496" s="1" t="s">
        <v>38</v>
      </c>
      <c r="O496" s="1" t="s">
        <v>41</v>
      </c>
      <c r="P496" s="1">
        <v>15</v>
      </c>
      <c r="Q496" s="1">
        <v>580</v>
      </c>
      <c r="R496" s="1">
        <v>667</v>
      </c>
      <c r="S496" s="1">
        <v>0</v>
      </c>
    </row>
    <row r="497" spans="1:19" x14ac:dyDescent="0.3">
      <c r="A497" s="1" t="s">
        <v>1699</v>
      </c>
      <c r="B497" s="1" t="s">
        <v>1445</v>
      </c>
      <c r="C497" s="1" t="s">
        <v>1700</v>
      </c>
      <c r="D497" s="1" t="s">
        <v>1701</v>
      </c>
      <c r="E497" s="1" t="s">
        <v>100</v>
      </c>
      <c r="F497" s="1">
        <v>45375</v>
      </c>
      <c r="G497" s="1">
        <v>45375</v>
      </c>
      <c r="H497" s="1">
        <v>45379</v>
      </c>
      <c r="I497" s="1" t="s">
        <v>72</v>
      </c>
      <c r="J497" s="1" t="s">
        <v>16</v>
      </c>
      <c r="K497" s="1" t="s">
        <v>19</v>
      </c>
      <c r="L497" s="1" t="s">
        <v>25</v>
      </c>
      <c r="M497" s="1" t="s">
        <v>42</v>
      </c>
      <c r="N497" s="1" t="s">
        <v>27</v>
      </c>
      <c r="O497" s="1" t="s">
        <v>28</v>
      </c>
      <c r="P497" s="1">
        <v>5</v>
      </c>
      <c r="Q497" s="1">
        <v>3030</v>
      </c>
      <c r="R497" s="1">
        <v>3211.8</v>
      </c>
      <c r="S497" s="1">
        <v>0.1</v>
      </c>
    </row>
    <row r="498" spans="1:19" x14ac:dyDescent="0.3">
      <c r="A498" s="1" t="s">
        <v>1702</v>
      </c>
      <c r="B498" s="1" t="s">
        <v>803</v>
      </c>
      <c r="C498" s="1" t="s">
        <v>1703</v>
      </c>
      <c r="D498" s="1" t="s">
        <v>1704</v>
      </c>
      <c r="E498" s="1" t="s">
        <v>164</v>
      </c>
      <c r="F498" s="1">
        <v>46055</v>
      </c>
      <c r="G498" s="1">
        <v>46055</v>
      </c>
      <c r="H498" s="1">
        <v>46057</v>
      </c>
      <c r="I498" s="1" t="s">
        <v>82</v>
      </c>
      <c r="J498" s="1" t="s">
        <v>17</v>
      </c>
      <c r="K498" s="1" t="s">
        <v>19</v>
      </c>
      <c r="L498" s="1" t="s">
        <v>22</v>
      </c>
      <c r="M498" s="1" t="s">
        <v>43</v>
      </c>
      <c r="N498" s="1" t="s">
        <v>27</v>
      </c>
      <c r="O498" s="1" t="s">
        <v>31</v>
      </c>
      <c r="P498" s="1">
        <v>2</v>
      </c>
      <c r="Q498" s="1">
        <v>1630</v>
      </c>
      <c r="R498" s="1">
        <v>1744.1000000000001</v>
      </c>
      <c r="S498" s="1">
        <v>0.03</v>
      </c>
    </row>
    <row r="499" spans="1:19" x14ac:dyDescent="0.3">
      <c r="A499" s="1" t="s">
        <v>1705</v>
      </c>
      <c r="B499" s="1" t="s">
        <v>656</v>
      </c>
      <c r="C499" s="1" t="s">
        <v>1706</v>
      </c>
      <c r="D499" s="1" t="s">
        <v>1707</v>
      </c>
      <c r="E499" s="1" t="s">
        <v>132</v>
      </c>
      <c r="F499" s="1">
        <v>45491</v>
      </c>
      <c r="G499" s="1">
        <v>45492</v>
      </c>
      <c r="H499" s="1">
        <v>45494</v>
      </c>
      <c r="I499" s="1" t="s">
        <v>72</v>
      </c>
      <c r="J499" s="1" t="s">
        <v>18</v>
      </c>
      <c r="K499" s="1" t="s">
        <v>21</v>
      </c>
      <c r="L499" s="1" t="s">
        <v>24</v>
      </c>
      <c r="M499" s="1" t="s">
        <v>53</v>
      </c>
      <c r="N499" s="1" t="s">
        <v>27</v>
      </c>
      <c r="O499" s="1" t="s">
        <v>54</v>
      </c>
      <c r="P499" s="1">
        <v>13</v>
      </c>
      <c r="Q499" s="1">
        <v>430</v>
      </c>
      <c r="R499" s="1">
        <v>455.8</v>
      </c>
      <c r="S499" s="1">
        <v>0.03</v>
      </c>
    </row>
    <row r="500" spans="1:19" x14ac:dyDescent="0.3">
      <c r="A500" s="1" t="s">
        <v>1708</v>
      </c>
      <c r="B500" s="1" t="s">
        <v>702</v>
      </c>
      <c r="C500" s="1" t="s">
        <v>1709</v>
      </c>
      <c r="D500" s="1" t="s">
        <v>1710</v>
      </c>
      <c r="E500" s="1" t="s">
        <v>178</v>
      </c>
      <c r="F500" s="1">
        <v>45395</v>
      </c>
      <c r="G500" s="1">
        <v>45395</v>
      </c>
      <c r="H500" s="1">
        <v>45397</v>
      </c>
      <c r="I500" s="1" t="s">
        <v>72</v>
      </c>
      <c r="J500" s="1" t="s">
        <v>17</v>
      </c>
      <c r="K500" s="1" t="s">
        <v>19</v>
      </c>
      <c r="L500" s="1" t="s">
        <v>25</v>
      </c>
      <c r="M500" s="1" t="s">
        <v>47</v>
      </c>
      <c r="N500" s="1" t="s">
        <v>38</v>
      </c>
      <c r="O500" s="1" t="s">
        <v>39</v>
      </c>
      <c r="P500" s="1">
        <v>10</v>
      </c>
      <c r="Q500" s="1">
        <v>390</v>
      </c>
      <c r="R500" s="1">
        <v>468</v>
      </c>
      <c r="S500" s="1">
        <v>0.09</v>
      </c>
    </row>
    <row r="501" spans="1:19" x14ac:dyDescent="0.3">
      <c r="A501" s="1" t="s">
        <v>1711</v>
      </c>
      <c r="B501" s="1" t="s">
        <v>350</v>
      </c>
      <c r="C501" s="1" t="s">
        <v>1712</v>
      </c>
      <c r="D501" s="1" t="s">
        <v>1228</v>
      </c>
      <c r="E501" s="1" t="s">
        <v>178</v>
      </c>
      <c r="F501" s="1">
        <v>46031</v>
      </c>
      <c r="G501" s="1">
        <v>46031</v>
      </c>
      <c r="H501" s="1">
        <v>46036</v>
      </c>
      <c r="I501" s="1" t="s">
        <v>72</v>
      </c>
      <c r="J501" s="1" t="s">
        <v>17</v>
      </c>
      <c r="K501" s="1" t="s">
        <v>21</v>
      </c>
      <c r="L501" s="1" t="s">
        <v>25</v>
      </c>
      <c r="M501" s="1" t="s">
        <v>47</v>
      </c>
      <c r="N501" s="1" t="s">
        <v>38</v>
      </c>
      <c r="O501" s="1" t="s">
        <v>39</v>
      </c>
      <c r="P501" s="1">
        <v>12</v>
      </c>
      <c r="Q501" s="1">
        <v>390</v>
      </c>
      <c r="R501" s="1">
        <v>468</v>
      </c>
      <c r="S501" s="1">
        <v>7.0000000000000007E-2</v>
      </c>
    </row>
    <row r="502" spans="1:19" x14ac:dyDescent="0.3">
      <c r="A502" s="1" t="s">
        <v>1713</v>
      </c>
      <c r="B502" s="1" t="s">
        <v>1278</v>
      </c>
      <c r="C502" s="1" t="s">
        <v>1714</v>
      </c>
      <c r="D502" s="1" t="s">
        <v>1715</v>
      </c>
      <c r="E502" s="1" t="s">
        <v>164</v>
      </c>
      <c r="F502" s="1">
        <v>45953</v>
      </c>
      <c r="G502" s="1">
        <v>45954</v>
      </c>
      <c r="H502" s="1">
        <v>45955</v>
      </c>
      <c r="I502" s="1" t="s">
        <v>72</v>
      </c>
      <c r="J502" s="1" t="s">
        <v>16</v>
      </c>
      <c r="K502" s="1" t="s">
        <v>21</v>
      </c>
      <c r="L502" s="1" t="s">
        <v>61</v>
      </c>
      <c r="M502" s="1" t="s">
        <v>43</v>
      </c>
      <c r="N502" s="1" t="s">
        <v>27</v>
      </c>
      <c r="O502" s="1" t="s">
        <v>31</v>
      </c>
      <c r="P502" s="1">
        <v>14</v>
      </c>
      <c r="Q502" s="1">
        <v>1630</v>
      </c>
      <c r="R502" s="1">
        <v>1744.1000000000001</v>
      </c>
      <c r="S502" s="1">
        <v>0.04</v>
      </c>
    </row>
    <row r="503" spans="1:19" x14ac:dyDescent="0.3">
      <c r="A503" s="1" t="s">
        <v>1716</v>
      </c>
      <c r="B503" s="1" t="s">
        <v>158</v>
      </c>
      <c r="C503" s="1" t="s">
        <v>1717</v>
      </c>
      <c r="D503" s="1" t="s">
        <v>430</v>
      </c>
      <c r="E503" s="1" t="s">
        <v>164</v>
      </c>
      <c r="F503" s="1">
        <v>46015</v>
      </c>
      <c r="G503" s="1">
        <v>46015</v>
      </c>
      <c r="H503" s="1">
        <v>46020</v>
      </c>
      <c r="I503" s="1" t="s">
        <v>72</v>
      </c>
      <c r="J503" s="1" t="s">
        <v>17</v>
      </c>
      <c r="K503" s="1" t="s">
        <v>21</v>
      </c>
      <c r="L503" s="1" t="s">
        <v>24</v>
      </c>
      <c r="M503" s="1" t="s">
        <v>43</v>
      </c>
      <c r="N503" s="1" t="s">
        <v>27</v>
      </c>
      <c r="O503" s="1" t="s">
        <v>31</v>
      </c>
      <c r="P503" s="1">
        <v>6</v>
      </c>
      <c r="Q503" s="1">
        <v>1630</v>
      </c>
      <c r="R503" s="1">
        <v>1744.1000000000001</v>
      </c>
      <c r="S503" s="1">
        <v>0.01</v>
      </c>
    </row>
    <row r="504" spans="1:19" x14ac:dyDescent="0.3">
      <c r="A504" s="1" t="s">
        <v>1718</v>
      </c>
      <c r="B504" s="1" t="s">
        <v>995</v>
      </c>
      <c r="C504" s="1" t="s">
        <v>1719</v>
      </c>
      <c r="D504" s="1" t="s">
        <v>1720</v>
      </c>
      <c r="E504" s="1" t="s">
        <v>109</v>
      </c>
      <c r="F504" s="1">
        <v>45767</v>
      </c>
      <c r="G504" s="1">
        <v>45768</v>
      </c>
      <c r="H504" s="1">
        <v>45770</v>
      </c>
      <c r="I504" s="1" t="s">
        <v>82</v>
      </c>
      <c r="J504" s="1" t="s">
        <v>18</v>
      </c>
      <c r="K504" s="1" t="s">
        <v>20</v>
      </c>
      <c r="L504" s="1" t="s">
        <v>24</v>
      </c>
      <c r="M504" s="1" t="s">
        <v>55</v>
      </c>
      <c r="N504" s="1" t="s">
        <v>27</v>
      </c>
      <c r="O504" s="1" t="s">
        <v>56</v>
      </c>
      <c r="P504" s="1">
        <v>1</v>
      </c>
      <c r="Q504" s="1">
        <v>650</v>
      </c>
      <c r="R504" s="1">
        <v>663</v>
      </c>
      <c r="S504" s="1">
        <v>0.09</v>
      </c>
    </row>
    <row r="505" spans="1:19" x14ac:dyDescent="0.3">
      <c r="A505" s="1" t="s">
        <v>1721</v>
      </c>
      <c r="B505" s="1" t="s">
        <v>1290</v>
      </c>
      <c r="C505" s="1" t="s">
        <v>1722</v>
      </c>
      <c r="D505" s="1" t="s">
        <v>1723</v>
      </c>
      <c r="E505" s="1" t="s">
        <v>187</v>
      </c>
      <c r="F505" s="1">
        <v>45675</v>
      </c>
      <c r="G505" s="1">
        <v>45676</v>
      </c>
      <c r="H505" s="1">
        <v>45680</v>
      </c>
      <c r="I505" s="1" t="s">
        <v>82</v>
      </c>
      <c r="J505" s="1" t="s">
        <v>16</v>
      </c>
      <c r="K505" s="1" t="s">
        <v>19</v>
      </c>
      <c r="L505" s="1" t="s">
        <v>23</v>
      </c>
      <c r="M505" s="1" t="s">
        <v>40</v>
      </c>
      <c r="N505" s="1" t="s">
        <v>38</v>
      </c>
      <c r="O505" s="1" t="s">
        <v>41</v>
      </c>
      <c r="P505" s="1">
        <v>2</v>
      </c>
      <c r="Q505" s="1">
        <v>170</v>
      </c>
      <c r="R505" s="1">
        <v>188.70000000000002</v>
      </c>
      <c r="S505" s="1">
        <v>0.1</v>
      </c>
    </row>
    <row r="506" spans="1:19" x14ac:dyDescent="0.3">
      <c r="A506" s="1" t="s">
        <v>1724</v>
      </c>
      <c r="B506" s="1" t="s">
        <v>1725</v>
      </c>
      <c r="C506" s="1" t="s">
        <v>1726</v>
      </c>
      <c r="D506" s="1" t="s">
        <v>1727</v>
      </c>
      <c r="E506" s="1" t="s">
        <v>164</v>
      </c>
      <c r="F506" s="1">
        <v>45398</v>
      </c>
      <c r="G506" s="1">
        <v>45398</v>
      </c>
      <c r="H506" s="1">
        <v>45401</v>
      </c>
      <c r="I506" s="1" t="s">
        <v>72</v>
      </c>
      <c r="J506" s="1" t="s">
        <v>1</v>
      </c>
      <c r="K506" s="1" t="s">
        <v>21</v>
      </c>
      <c r="L506" s="1" t="s">
        <v>23</v>
      </c>
      <c r="M506" s="1" t="s">
        <v>43</v>
      </c>
      <c r="N506" s="1" t="s">
        <v>27</v>
      </c>
      <c r="O506" s="1" t="s">
        <v>31</v>
      </c>
      <c r="P506" s="1">
        <v>9</v>
      </c>
      <c r="Q506" s="1">
        <v>1630</v>
      </c>
      <c r="R506" s="1">
        <v>1744.1000000000001</v>
      </c>
      <c r="S506" s="1">
        <v>0</v>
      </c>
    </row>
    <row r="507" spans="1:19" x14ac:dyDescent="0.3">
      <c r="A507" s="1" t="s">
        <v>1728</v>
      </c>
      <c r="B507" s="1" t="s">
        <v>524</v>
      </c>
      <c r="C507" s="1" t="s">
        <v>1729</v>
      </c>
      <c r="D507" s="1" t="s">
        <v>1730</v>
      </c>
      <c r="E507" s="1" t="s">
        <v>77</v>
      </c>
      <c r="F507" s="1">
        <v>45571</v>
      </c>
      <c r="G507" s="1">
        <v>45572</v>
      </c>
      <c r="H507" s="1">
        <v>45575</v>
      </c>
      <c r="I507" s="1" t="s">
        <v>72</v>
      </c>
      <c r="J507" s="1" t="s">
        <v>17</v>
      </c>
      <c r="K507" s="1" t="s">
        <v>20</v>
      </c>
      <c r="L507" s="1" t="s">
        <v>24</v>
      </c>
      <c r="M507" s="1" t="s">
        <v>44</v>
      </c>
      <c r="N507" s="1" t="s">
        <v>38</v>
      </c>
      <c r="O507" s="1" t="s">
        <v>45</v>
      </c>
      <c r="P507" s="1">
        <v>7</v>
      </c>
      <c r="Q507" s="1">
        <v>210</v>
      </c>
      <c r="R507" s="1">
        <v>222.60000000000002</v>
      </c>
      <c r="S507" s="1">
        <v>7.0000000000000007E-2</v>
      </c>
    </row>
    <row r="508" spans="1:19" x14ac:dyDescent="0.3">
      <c r="A508" s="1" t="s">
        <v>1731</v>
      </c>
      <c r="B508" s="1" t="s">
        <v>466</v>
      </c>
      <c r="C508" s="1" t="s">
        <v>1732</v>
      </c>
      <c r="D508" s="1" t="s">
        <v>1733</v>
      </c>
      <c r="E508" s="1" t="s">
        <v>95</v>
      </c>
      <c r="F508" s="1">
        <v>46189</v>
      </c>
      <c r="G508" s="1">
        <v>46189</v>
      </c>
      <c r="H508" s="1">
        <v>46194</v>
      </c>
      <c r="I508" s="1" t="s">
        <v>82</v>
      </c>
      <c r="J508" s="1" t="s">
        <v>18</v>
      </c>
      <c r="K508" s="1" t="s">
        <v>19</v>
      </c>
      <c r="L508" s="1" t="s">
        <v>22</v>
      </c>
      <c r="M508" s="1" t="s">
        <v>49</v>
      </c>
      <c r="N508" s="1" t="s">
        <v>33</v>
      </c>
      <c r="O508" s="1" t="s">
        <v>34</v>
      </c>
      <c r="P508" s="1">
        <v>1</v>
      </c>
      <c r="Q508" s="1">
        <v>1080</v>
      </c>
      <c r="R508" s="1">
        <v>1112.4000000000001</v>
      </c>
      <c r="S508" s="1">
        <v>0.08</v>
      </c>
    </row>
    <row r="509" spans="1:19" x14ac:dyDescent="0.3">
      <c r="A509" s="1" t="s">
        <v>1734</v>
      </c>
      <c r="B509" s="1" t="s">
        <v>138</v>
      </c>
      <c r="C509" s="1" t="s">
        <v>1735</v>
      </c>
      <c r="D509" s="1" t="s">
        <v>1736</v>
      </c>
      <c r="E509" s="1" t="s">
        <v>178</v>
      </c>
      <c r="F509" s="1">
        <v>45560</v>
      </c>
      <c r="G509" s="1">
        <v>45560</v>
      </c>
      <c r="H509" s="1">
        <v>45562</v>
      </c>
      <c r="I509" s="1" t="s">
        <v>72</v>
      </c>
      <c r="J509" s="1" t="s">
        <v>1</v>
      </c>
      <c r="K509" s="1" t="s">
        <v>19</v>
      </c>
      <c r="L509" s="1" t="s">
        <v>24</v>
      </c>
      <c r="M509" s="1" t="s">
        <v>47</v>
      </c>
      <c r="N509" s="1" t="s">
        <v>38</v>
      </c>
      <c r="O509" s="1" t="s">
        <v>39</v>
      </c>
      <c r="P509" s="1">
        <v>9</v>
      </c>
      <c r="Q509" s="1">
        <v>390</v>
      </c>
      <c r="R509" s="1">
        <v>468</v>
      </c>
      <c r="S509" s="1">
        <v>0.04</v>
      </c>
    </row>
    <row r="510" spans="1:19" x14ac:dyDescent="0.3">
      <c r="A510" s="1" t="s">
        <v>1737</v>
      </c>
      <c r="B510" s="1" t="s">
        <v>898</v>
      </c>
      <c r="C510" s="1" t="s">
        <v>1738</v>
      </c>
      <c r="D510" s="1" t="s">
        <v>1739</v>
      </c>
      <c r="E510" s="1" t="s">
        <v>208</v>
      </c>
      <c r="F510" s="1">
        <v>45944</v>
      </c>
      <c r="G510" s="1">
        <v>45945</v>
      </c>
      <c r="H510" s="1">
        <v>45948</v>
      </c>
      <c r="I510" s="1" t="s">
        <v>72</v>
      </c>
      <c r="J510" s="1" t="s">
        <v>16</v>
      </c>
      <c r="K510" s="1" t="s">
        <v>21</v>
      </c>
      <c r="L510" s="1" t="s">
        <v>61</v>
      </c>
      <c r="M510" s="1" t="s">
        <v>50</v>
      </c>
      <c r="N510" s="1" t="s">
        <v>33</v>
      </c>
      <c r="O510" s="1" t="s">
        <v>36</v>
      </c>
      <c r="P510" s="1">
        <v>11</v>
      </c>
      <c r="Q510" s="1">
        <v>930</v>
      </c>
      <c r="R510" s="1">
        <v>1078.8</v>
      </c>
      <c r="S510" s="1">
        <v>0.09</v>
      </c>
    </row>
    <row r="511" spans="1:19" x14ac:dyDescent="0.3">
      <c r="A511" s="1" t="s">
        <v>1740</v>
      </c>
      <c r="B511" s="1" t="s">
        <v>166</v>
      </c>
      <c r="C511" s="1" t="s">
        <v>1741</v>
      </c>
      <c r="D511" s="1" t="s">
        <v>1549</v>
      </c>
      <c r="E511" s="1" t="s">
        <v>178</v>
      </c>
      <c r="F511" s="1">
        <v>46116</v>
      </c>
      <c r="G511" s="1">
        <v>46116</v>
      </c>
      <c r="H511" s="1">
        <v>46121</v>
      </c>
      <c r="I511" s="1" t="s">
        <v>72</v>
      </c>
      <c r="J511" s="1" t="s">
        <v>1</v>
      </c>
      <c r="K511" s="1" t="s">
        <v>20</v>
      </c>
      <c r="L511" s="1" t="s">
        <v>23</v>
      </c>
      <c r="M511" s="1" t="s">
        <v>47</v>
      </c>
      <c r="N511" s="1" t="s">
        <v>38</v>
      </c>
      <c r="O511" s="1" t="s">
        <v>39</v>
      </c>
      <c r="P511" s="1">
        <v>10</v>
      </c>
      <c r="Q511" s="1">
        <v>390</v>
      </c>
      <c r="R511" s="1">
        <v>468</v>
      </c>
      <c r="S511" s="1">
        <v>0.03</v>
      </c>
    </row>
    <row r="512" spans="1:19" x14ac:dyDescent="0.3">
      <c r="A512" s="1" t="s">
        <v>1742</v>
      </c>
      <c r="B512" s="1" t="s">
        <v>633</v>
      </c>
      <c r="C512" s="1" t="s">
        <v>1743</v>
      </c>
      <c r="D512" s="1" t="s">
        <v>1744</v>
      </c>
      <c r="E512" s="1" t="s">
        <v>132</v>
      </c>
      <c r="F512" s="1">
        <v>46094</v>
      </c>
      <c r="G512" s="1">
        <v>46095</v>
      </c>
      <c r="H512" s="1">
        <v>46099</v>
      </c>
      <c r="I512" s="1" t="s">
        <v>72</v>
      </c>
      <c r="J512" s="1" t="s">
        <v>17</v>
      </c>
      <c r="K512" s="1" t="s">
        <v>19</v>
      </c>
      <c r="L512" s="1" t="s">
        <v>25</v>
      </c>
      <c r="M512" s="1" t="s">
        <v>53</v>
      </c>
      <c r="N512" s="1" t="s">
        <v>27</v>
      </c>
      <c r="O512" s="1" t="s">
        <v>54</v>
      </c>
      <c r="P512" s="1">
        <v>7</v>
      </c>
      <c r="Q512" s="1">
        <v>430</v>
      </c>
      <c r="R512" s="1">
        <v>455.8</v>
      </c>
      <c r="S512" s="1">
        <v>0.03</v>
      </c>
    </row>
    <row r="513" spans="1:19" x14ac:dyDescent="0.3">
      <c r="A513" s="1" t="s">
        <v>1745</v>
      </c>
      <c r="B513" s="1" t="s">
        <v>1510</v>
      </c>
      <c r="C513" s="1" t="s">
        <v>1746</v>
      </c>
      <c r="D513" s="1" t="s">
        <v>1747</v>
      </c>
      <c r="E513" s="1" t="s">
        <v>164</v>
      </c>
      <c r="F513" s="1">
        <v>45893</v>
      </c>
      <c r="G513" s="1">
        <v>45894</v>
      </c>
      <c r="H513" s="1">
        <v>45896</v>
      </c>
      <c r="I513" s="1" t="s">
        <v>72</v>
      </c>
      <c r="J513" s="1" t="s">
        <v>17</v>
      </c>
      <c r="K513" s="1" t="s">
        <v>20</v>
      </c>
      <c r="L513" s="1" t="s">
        <v>23</v>
      </c>
      <c r="M513" s="1" t="s">
        <v>43</v>
      </c>
      <c r="N513" s="1" t="s">
        <v>27</v>
      </c>
      <c r="O513" s="1" t="s">
        <v>31</v>
      </c>
      <c r="P513" s="1">
        <v>6</v>
      </c>
      <c r="Q513" s="1">
        <v>1630</v>
      </c>
      <c r="R513" s="1">
        <v>1744.1000000000001</v>
      </c>
      <c r="S513" s="1">
        <v>0.06</v>
      </c>
    </row>
    <row r="514" spans="1:19" x14ac:dyDescent="0.3">
      <c r="A514" s="1" t="s">
        <v>1748</v>
      </c>
      <c r="B514" s="1" t="s">
        <v>867</v>
      </c>
      <c r="C514" s="1" t="s">
        <v>1749</v>
      </c>
      <c r="D514" s="1" t="s">
        <v>1750</v>
      </c>
      <c r="E514" s="1" t="s">
        <v>141</v>
      </c>
      <c r="F514" s="1">
        <v>46021</v>
      </c>
      <c r="G514" s="1">
        <v>46022</v>
      </c>
      <c r="H514" s="1">
        <v>46025</v>
      </c>
      <c r="I514" s="1" t="s">
        <v>82</v>
      </c>
      <c r="J514" s="1" t="s">
        <v>2</v>
      </c>
      <c r="K514" s="1" t="s">
        <v>20</v>
      </c>
      <c r="L514" s="1" t="s">
        <v>22</v>
      </c>
      <c r="M514" s="1" t="s">
        <v>35</v>
      </c>
      <c r="N514" s="1" t="s">
        <v>33</v>
      </c>
      <c r="O514" s="1" t="s">
        <v>36</v>
      </c>
      <c r="P514" s="1">
        <v>2</v>
      </c>
      <c r="Q514" s="1">
        <v>1530</v>
      </c>
      <c r="R514" s="1">
        <v>1790.1</v>
      </c>
      <c r="S514" s="1">
        <v>0.04</v>
      </c>
    </row>
    <row r="515" spans="1:19" x14ac:dyDescent="0.3">
      <c r="A515" s="1" t="s">
        <v>1751</v>
      </c>
      <c r="B515" s="1" t="s">
        <v>1752</v>
      </c>
      <c r="C515" s="1" t="s">
        <v>1753</v>
      </c>
      <c r="D515" s="1" t="s">
        <v>1754</v>
      </c>
      <c r="E515" s="1" t="s">
        <v>109</v>
      </c>
      <c r="F515" s="1">
        <v>45656</v>
      </c>
      <c r="G515" s="1">
        <v>45656</v>
      </c>
      <c r="H515" s="1">
        <v>45658</v>
      </c>
      <c r="I515" s="1" t="s">
        <v>72</v>
      </c>
      <c r="J515" s="1" t="s">
        <v>16</v>
      </c>
      <c r="K515" s="1" t="s">
        <v>20</v>
      </c>
      <c r="L515" s="1" t="s">
        <v>24</v>
      </c>
      <c r="M515" s="1" t="s">
        <v>55</v>
      </c>
      <c r="N515" s="1" t="s">
        <v>27</v>
      </c>
      <c r="O515" s="1" t="s">
        <v>56</v>
      </c>
      <c r="P515" s="1">
        <v>9</v>
      </c>
      <c r="Q515" s="1">
        <v>650</v>
      </c>
      <c r="R515" s="1">
        <v>663</v>
      </c>
      <c r="S515" s="1">
        <v>7.0000000000000007E-2</v>
      </c>
    </row>
    <row r="516" spans="1:19" x14ac:dyDescent="0.3">
      <c r="A516" s="1" t="s">
        <v>1755</v>
      </c>
      <c r="B516" s="1" t="s">
        <v>416</v>
      </c>
      <c r="C516" s="1" t="s">
        <v>1756</v>
      </c>
      <c r="D516" s="1" t="s">
        <v>1757</v>
      </c>
      <c r="E516" s="1" t="s">
        <v>164</v>
      </c>
      <c r="F516" s="1">
        <v>46119</v>
      </c>
      <c r="G516" s="1">
        <v>46119</v>
      </c>
      <c r="H516" s="1">
        <v>46121</v>
      </c>
      <c r="I516" s="1" t="s">
        <v>72</v>
      </c>
      <c r="J516" s="1" t="s">
        <v>16</v>
      </c>
      <c r="K516" s="1" t="s">
        <v>20</v>
      </c>
      <c r="L516" s="1" t="s">
        <v>23</v>
      </c>
      <c r="M516" s="1" t="s">
        <v>43</v>
      </c>
      <c r="N516" s="1" t="s">
        <v>27</v>
      </c>
      <c r="O516" s="1" t="s">
        <v>31</v>
      </c>
      <c r="P516" s="1">
        <v>6</v>
      </c>
      <c r="Q516" s="1">
        <v>1630</v>
      </c>
      <c r="R516" s="1">
        <v>1744.1000000000001</v>
      </c>
      <c r="S516" s="1">
        <v>0.05</v>
      </c>
    </row>
    <row r="517" spans="1:19" x14ac:dyDescent="0.3">
      <c r="A517" s="1" t="s">
        <v>1758</v>
      </c>
      <c r="B517" s="1" t="s">
        <v>1053</v>
      </c>
      <c r="C517" s="1" t="s">
        <v>1759</v>
      </c>
      <c r="D517" s="1" t="s">
        <v>1760</v>
      </c>
      <c r="E517" s="1" t="s">
        <v>81</v>
      </c>
      <c r="F517" s="1">
        <v>45513</v>
      </c>
      <c r="G517" s="1">
        <v>45513</v>
      </c>
      <c r="H517" s="1">
        <v>45516</v>
      </c>
      <c r="I517" s="1" t="s">
        <v>72</v>
      </c>
      <c r="J517" s="1" t="s">
        <v>18</v>
      </c>
      <c r="K517" s="1" t="s">
        <v>21</v>
      </c>
      <c r="L517" s="1" t="s">
        <v>22</v>
      </c>
      <c r="M517" s="1" t="s">
        <v>59</v>
      </c>
      <c r="N517" s="1" t="s">
        <v>27</v>
      </c>
      <c r="O517" s="1" t="s">
        <v>60</v>
      </c>
      <c r="P517" s="1">
        <v>6</v>
      </c>
      <c r="Q517" s="1">
        <v>1230</v>
      </c>
      <c r="R517" s="1">
        <v>1328.4</v>
      </c>
      <c r="S517" s="1">
        <v>0.04</v>
      </c>
    </row>
    <row r="518" spans="1:19" x14ac:dyDescent="0.3">
      <c r="A518" s="1" t="s">
        <v>1761</v>
      </c>
      <c r="B518" s="1" t="s">
        <v>1762</v>
      </c>
      <c r="C518" s="1" t="s">
        <v>1763</v>
      </c>
      <c r="D518" s="1" t="s">
        <v>1764</v>
      </c>
      <c r="E518" s="1" t="s">
        <v>77</v>
      </c>
      <c r="F518" s="1">
        <v>45366</v>
      </c>
      <c r="G518" s="1">
        <v>45367</v>
      </c>
      <c r="H518" s="1">
        <v>45368</v>
      </c>
      <c r="I518" s="1" t="s">
        <v>72</v>
      </c>
      <c r="J518" s="1" t="s">
        <v>16</v>
      </c>
      <c r="K518" s="1" t="s">
        <v>20</v>
      </c>
      <c r="L518" s="1" t="s">
        <v>24</v>
      </c>
      <c r="M518" s="1" t="s">
        <v>44</v>
      </c>
      <c r="N518" s="1" t="s">
        <v>38</v>
      </c>
      <c r="O518" s="1" t="s">
        <v>45</v>
      </c>
      <c r="P518" s="1">
        <v>6</v>
      </c>
      <c r="Q518" s="1">
        <v>210</v>
      </c>
      <c r="R518" s="1">
        <v>222.60000000000002</v>
      </c>
      <c r="S518" s="1">
        <v>7.0000000000000007E-2</v>
      </c>
    </row>
    <row r="519" spans="1:19" x14ac:dyDescent="0.3">
      <c r="A519" s="1" t="s">
        <v>1765</v>
      </c>
      <c r="B519" s="1" t="s">
        <v>1766</v>
      </c>
      <c r="C519" s="1" t="s">
        <v>1767</v>
      </c>
      <c r="D519" s="1" t="s">
        <v>1768</v>
      </c>
      <c r="E519" s="1" t="s">
        <v>322</v>
      </c>
      <c r="F519" s="1">
        <v>45978</v>
      </c>
      <c r="G519" s="1">
        <v>45978</v>
      </c>
      <c r="H519" s="1">
        <v>45982</v>
      </c>
      <c r="I519" s="1" t="s">
        <v>72</v>
      </c>
      <c r="J519" s="1" t="s">
        <v>2</v>
      </c>
      <c r="K519" s="1" t="s">
        <v>21</v>
      </c>
      <c r="L519" s="1" t="s">
        <v>23</v>
      </c>
      <c r="M519" s="1" t="s">
        <v>26</v>
      </c>
      <c r="N519" s="1" t="s">
        <v>27</v>
      </c>
      <c r="O519" s="1" t="s">
        <v>28</v>
      </c>
      <c r="P519" s="1">
        <v>15</v>
      </c>
      <c r="Q519" s="1">
        <v>3330</v>
      </c>
      <c r="R519" s="1">
        <v>3629.7000000000003</v>
      </c>
      <c r="S519" s="1">
        <v>0.01</v>
      </c>
    </row>
    <row r="520" spans="1:19" x14ac:dyDescent="0.3">
      <c r="A520" s="1" t="s">
        <v>1769</v>
      </c>
      <c r="B520" s="1" t="s">
        <v>1634</v>
      </c>
      <c r="C520" s="1" t="s">
        <v>1770</v>
      </c>
      <c r="D520" s="1" t="s">
        <v>783</v>
      </c>
      <c r="E520" s="1" t="s">
        <v>119</v>
      </c>
      <c r="F520" s="1">
        <v>45395</v>
      </c>
      <c r="G520" s="1">
        <v>45395</v>
      </c>
      <c r="H520" s="1">
        <v>45397</v>
      </c>
      <c r="I520" s="1" t="s">
        <v>72</v>
      </c>
      <c r="J520" s="1" t="s">
        <v>18</v>
      </c>
      <c r="K520" s="1" t="s">
        <v>20</v>
      </c>
      <c r="L520" s="1" t="s">
        <v>22</v>
      </c>
      <c r="M520" s="1" t="s">
        <v>37</v>
      </c>
      <c r="N520" s="1" t="s">
        <v>38</v>
      </c>
      <c r="O520" s="1" t="s">
        <v>39</v>
      </c>
      <c r="P520" s="1">
        <v>10</v>
      </c>
      <c r="Q520" s="1">
        <v>250</v>
      </c>
      <c r="R520" s="1">
        <v>270</v>
      </c>
      <c r="S520" s="1">
        <v>0.01</v>
      </c>
    </row>
    <row r="521" spans="1:19" x14ac:dyDescent="0.3">
      <c r="A521" s="1" t="s">
        <v>1771</v>
      </c>
      <c r="B521" s="1" t="s">
        <v>404</v>
      </c>
      <c r="C521" s="1" t="s">
        <v>1772</v>
      </c>
      <c r="D521" s="1" t="s">
        <v>1048</v>
      </c>
      <c r="E521" s="1" t="s">
        <v>178</v>
      </c>
      <c r="F521" s="1">
        <v>45477</v>
      </c>
      <c r="G521" s="1">
        <v>45477</v>
      </c>
      <c r="H521" s="1">
        <v>45481</v>
      </c>
      <c r="I521" s="1" t="s">
        <v>72</v>
      </c>
      <c r="J521" s="1" t="s">
        <v>16</v>
      </c>
      <c r="K521" s="1" t="s">
        <v>20</v>
      </c>
      <c r="L521" s="1" t="s">
        <v>61</v>
      </c>
      <c r="M521" s="1" t="s">
        <v>47</v>
      </c>
      <c r="N521" s="1" t="s">
        <v>38</v>
      </c>
      <c r="O521" s="1" t="s">
        <v>39</v>
      </c>
      <c r="P521" s="1">
        <v>6</v>
      </c>
      <c r="Q521" s="1">
        <v>390</v>
      </c>
      <c r="R521" s="1">
        <v>468</v>
      </c>
      <c r="S521" s="1">
        <v>0.05</v>
      </c>
    </row>
    <row r="522" spans="1:19" x14ac:dyDescent="0.3">
      <c r="A522" s="1" t="s">
        <v>1773</v>
      </c>
      <c r="B522" s="1" t="s">
        <v>490</v>
      </c>
      <c r="C522" s="1" t="s">
        <v>1774</v>
      </c>
      <c r="D522" s="1" t="s">
        <v>1775</v>
      </c>
      <c r="E522" s="1" t="s">
        <v>87</v>
      </c>
      <c r="F522" s="1">
        <v>45458</v>
      </c>
      <c r="G522" s="1">
        <v>45458</v>
      </c>
      <c r="H522" s="1">
        <v>45462</v>
      </c>
      <c r="I522" s="1" t="s">
        <v>72</v>
      </c>
      <c r="J522" s="1" t="s">
        <v>1</v>
      </c>
      <c r="K522" s="1" t="s">
        <v>21</v>
      </c>
      <c r="L522" s="1" t="s">
        <v>25</v>
      </c>
      <c r="M522" s="1" t="s">
        <v>30</v>
      </c>
      <c r="N522" s="1" t="s">
        <v>27</v>
      </c>
      <c r="O522" s="1" t="s">
        <v>31</v>
      </c>
      <c r="P522" s="1">
        <v>14</v>
      </c>
      <c r="Q522" s="1">
        <v>1030</v>
      </c>
      <c r="R522" s="1">
        <v>1174.2</v>
      </c>
      <c r="S522" s="1">
        <v>0.04</v>
      </c>
    </row>
    <row r="523" spans="1:19" x14ac:dyDescent="0.3">
      <c r="A523" s="1" t="s">
        <v>1776</v>
      </c>
      <c r="B523" s="1" t="s">
        <v>1361</v>
      </c>
      <c r="C523" s="1" t="s">
        <v>1777</v>
      </c>
      <c r="D523" s="1" t="s">
        <v>1778</v>
      </c>
      <c r="E523" s="1" t="s">
        <v>164</v>
      </c>
      <c r="F523" s="1">
        <v>45407</v>
      </c>
      <c r="G523" s="1">
        <v>45408</v>
      </c>
      <c r="H523" s="1">
        <v>45409</v>
      </c>
      <c r="I523" s="1" t="s">
        <v>72</v>
      </c>
      <c r="J523" s="1" t="s">
        <v>18</v>
      </c>
      <c r="K523" s="1" t="s">
        <v>19</v>
      </c>
      <c r="L523" s="1" t="s">
        <v>61</v>
      </c>
      <c r="M523" s="1" t="s">
        <v>43</v>
      </c>
      <c r="N523" s="1" t="s">
        <v>27</v>
      </c>
      <c r="O523" s="1" t="s">
        <v>31</v>
      </c>
      <c r="P523" s="1">
        <v>7</v>
      </c>
      <c r="Q523" s="1">
        <v>1630</v>
      </c>
      <c r="R523" s="1">
        <v>1744.1000000000001</v>
      </c>
      <c r="S523" s="1">
        <v>0.03</v>
      </c>
    </row>
    <row r="524" spans="1:19" x14ac:dyDescent="0.3">
      <c r="A524" s="1" t="s">
        <v>1779</v>
      </c>
      <c r="B524" s="1" t="s">
        <v>1762</v>
      </c>
      <c r="C524" s="1" t="s">
        <v>1780</v>
      </c>
      <c r="D524" s="1" t="s">
        <v>849</v>
      </c>
      <c r="E524" s="1" t="s">
        <v>114</v>
      </c>
      <c r="F524" s="1">
        <v>45817</v>
      </c>
      <c r="G524" s="1">
        <v>45818</v>
      </c>
      <c r="H524" s="1">
        <v>45819</v>
      </c>
      <c r="I524" s="1" t="s">
        <v>82</v>
      </c>
      <c r="J524" s="1" t="s">
        <v>18</v>
      </c>
      <c r="K524" s="1" t="s">
        <v>19</v>
      </c>
      <c r="L524" s="1" t="s">
        <v>22</v>
      </c>
      <c r="M524" s="1" t="s">
        <v>51</v>
      </c>
      <c r="N524" s="1" t="s">
        <v>33</v>
      </c>
      <c r="O524" s="1" t="s">
        <v>52</v>
      </c>
      <c r="P524" s="1">
        <v>1</v>
      </c>
      <c r="Q524" s="1">
        <v>280</v>
      </c>
      <c r="R524" s="1">
        <v>336</v>
      </c>
      <c r="S524" s="1">
        <v>0.05</v>
      </c>
    </row>
    <row r="525" spans="1:19" x14ac:dyDescent="0.3">
      <c r="A525" s="1" t="s">
        <v>1781</v>
      </c>
      <c r="B525" s="1" t="s">
        <v>97</v>
      </c>
      <c r="C525" s="1" t="s">
        <v>1782</v>
      </c>
      <c r="D525" s="1" t="s">
        <v>1783</v>
      </c>
      <c r="E525" s="1" t="s">
        <v>132</v>
      </c>
      <c r="F525" s="1">
        <v>45519</v>
      </c>
      <c r="G525" s="1">
        <v>45520</v>
      </c>
      <c r="H525" s="1">
        <v>45524</v>
      </c>
      <c r="I525" s="1" t="s">
        <v>72</v>
      </c>
      <c r="J525" s="1" t="s">
        <v>18</v>
      </c>
      <c r="K525" s="1" t="s">
        <v>21</v>
      </c>
      <c r="L525" s="1" t="s">
        <v>61</v>
      </c>
      <c r="M525" s="1" t="s">
        <v>53</v>
      </c>
      <c r="N525" s="1" t="s">
        <v>27</v>
      </c>
      <c r="O525" s="1" t="s">
        <v>54</v>
      </c>
      <c r="P525" s="1">
        <v>10</v>
      </c>
      <c r="Q525" s="1">
        <v>430</v>
      </c>
      <c r="R525" s="1">
        <v>455.8</v>
      </c>
      <c r="S525" s="1">
        <v>0.05</v>
      </c>
    </row>
    <row r="526" spans="1:19" x14ac:dyDescent="0.3">
      <c r="A526" s="1" t="s">
        <v>1784</v>
      </c>
      <c r="B526" s="1" t="s">
        <v>929</v>
      </c>
      <c r="C526" s="1" t="s">
        <v>1785</v>
      </c>
      <c r="D526" s="1" t="s">
        <v>1786</v>
      </c>
      <c r="E526" s="1" t="s">
        <v>141</v>
      </c>
      <c r="F526" s="1">
        <v>45809</v>
      </c>
      <c r="G526" s="1">
        <v>45810</v>
      </c>
      <c r="H526" s="1">
        <v>45814</v>
      </c>
      <c r="I526" s="1" t="s">
        <v>82</v>
      </c>
      <c r="J526" s="1" t="s">
        <v>16</v>
      </c>
      <c r="K526" s="1" t="s">
        <v>19</v>
      </c>
      <c r="L526" s="1" t="s">
        <v>24</v>
      </c>
      <c r="M526" s="1" t="s">
        <v>35</v>
      </c>
      <c r="N526" s="1" t="s">
        <v>33</v>
      </c>
      <c r="O526" s="1" t="s">
        <v>36</v>
      </c>
      <c r="P526" s="1">
        <v>2</v>
      </c>
      <c r="Q526" s="1">
        <v>1530</v>
      </c>
      <c r="R526" s="1">
        <v>1790.1</v>
      </c>
      <c r="S526" s="1">
        <v>0.06</v>
      </c>
    </row>
    <row r="527" spans="1:19" x14ac:dyDescent="0.3">
      <c r="A527" s="1" t="s">
        <v>1787</v>
      </c>
      <c r="B527" s="1" t="s">
        <v>971</v>
      </c>
      <c r="C527" s="1" t="s">
        <v>1788</v>
      </c>
      <c r="D527" s="1" t="s">
        <v>1789</v>
      </c>
      <c r="E527" s="1" t="s">
        <v>71</v>
      </c>
      <c r="F527" s="1">
        <v>45312</v>
      </c>
      <c r="G527" s="1">
        <v>45313</v>
      </c>
      <c r="H527" s="1">
        <v>45315</v>
      </c>
      <c r="I527" s="1" t="s">
        <v>82</v>
      </c>
      <c r="J527" s="1" t="s">
        <v>1</v>
      </c>
      <c r="K527" s="1" t="s">
        <v>20</v>
      </c>
      <c r="L527" s="1" t="s">
        <v>22</v>
      </c>
      <c r="M527" s="1" t="s">
        <v>32</v>
      </c>
      <c r="N527" s="1" t="s">
        <v>33</v>
      </c>
      <c r="O527" s="1" t="s">
        <v>34</v>
      </c>
      <c r="P527" s="1">
        <v>3</v>
      </c>
      <c r="Q527" s="1">
        <v>730</v>
      </c>
      <c r="R527" s="1">
        <v>824.9</v>
      </c>
      <c r="S527" s="1">
        <v>0.09</v>
      </c>
    </row>
    <row r="528" spans="1:19" x14ac:dyDescent="0.3">
      <c r="A528" s="1" t="s">
        <v>1790</v>
      </c>
      <c r="B528" s="1" t="s">
        <v>1627</v>
      </c>
      <c r="C528" s="1" t="s">
        <v>1791</v>
      </c>
      <c r="D528" s="1" t="s">
        <v>1792</v>
      </c>
      <c r="E528" s="1" t="s">
        <v>114</v>
      </c>
      <c r="F528" s="1">
        <v>45362</v>
      </c>
      <c r="G528" s="1">
        <v>45362</v>
      </c>
      <c r="H528" s="1">
        <v>45365</v>
      </c>
      <c r="I528" s="1" t="s">
        <v>72</v>
      </c>
      <c r="J528" s="1" t="s">
        <v>16</v>
      </c>
      <c r="K528" s="1" t="s">
        <v>21</v>
      </c>
      <c r="L528" s="1" t="s">
        <v>24</v>
      </c>
      <c r="M528" s="1" t="s">
        <v>51</v>
      </c>
      <c r="N528" s="1" t="s">
        <v>33</v>
      </c>
      <c r="O528" s="1" t="s">
        <v>52</v>
      </c>
      <c r="P528" s="1">
        <v>13</v>
      </c>
      <c r="Q528" s="1">
        <v>280</v>
      </c>
      <c r="R528" s="1">
        <v>336</v>
      </c>
      <c r="S528" s="1">
        <v>7.0000000000000007E-2</v>
      </c>
    </row>
    <row r="529" spans="1:19" x14ac:dyDescent="0.3">
      <c r="A529" s="1" t="s">
        <v>1793</v>
      </c>
      <c r="B529" s="1" t="s">
        <v>1752</v>
      </c>
      <c r="C529" s="1" t="s">
        <v>1794</v>
      </c>
      <c r="D529" s="1" t="s">
        <v>1795</v>
      </c>
      <c r="E529" s="1" t="s">
        <v>192</v>
      </c>
      <c r="F529" s="1">
        <v>45912</v>
      </c>
      <c r="G529" s="1">
        <v>45912</v>
      </c>
      <c r="H529" s="1">
        <v>45915</v>
      </c>
      <c r="I529" s="1" t="s">
        <v>72</v>
      </c>
      <c r="J529" s="1" t="s">
        <v>2</v>
      </c>
      <c r="K529" s="1" t="s">
        <v>19</v>
      </c>
      <c r="L529" s="1" t="s">
        <v>23</v>
      </c>
      <c r="M529" s="1" t="s">
        <v>46</v>
      </c>
      <c r="N529" s="1" t="s">
        <v>38</v>
      </c>
      <c r="O529" s="1" t="s">
        <v>45</v>
      </c>
      <c r="P529" s="1">
        <v>5</v>
      </c>
      <c r="Q529" s="1">
        <v>350</v>
      </c>
      <c r="R529" s="1">
        <v>364</v>
      </c>
      <c r="S529" s="1">
        <v>0.1</v>
      </c>
    </row>
    <row r="530" spans="1:19" x14ac:dyDescent="0.3">
      <c r="A530" s="1" t="s">
        <v>1796</v>
      </c>
      <c r="B530" s="1" t="s">
        <v>652</v>
      </c>
      <c r="C530" s="1" t="s">
        <v>1797</v>
      </c>
      <c r="D530" s="1" t="s">
        <v>1798</v>
      </c>
      <c r="E530" s="1" t="s">
        <v>119</v>
      </c>
      <c r="F530" s="1">
        <v>45959</v>
      </c>
      <c r="G530" s="1">
        <v>45960</v>
      </c>
      <c r="H530" s="1">
        <v>45963</v>
      </c>
      <c r="I530" s="1" t="s">
        <v>72</v>
      </c>
      <c r="J530" s="1" t="s">
        <v>16</v>
      </c>
      <c r="K530" s="1" t="s">
        <v>19</v>
      </c>
      <c r="L530" s="1" t="s">
        <v>25</v>
      </c>
      <c r="M530" s="1" t="s">
        <v>37</v>
      </c>
      <c r="N530" s="1" t="s">
        <v>38</v>
      </c>
      <c r="O530" s="1" t="s">
        <v>39</v>
      </c>
      <c r="P530" s="1">
        <v>6</v>
      </c>
      <c r="Q530" s="1">
        <v>250</v>
      </c>
      <c r="R530" s="1">
        <v>270</v>
      </c>
      <c r="S530" s="1">
        <v>0.06</v>
      </c>
    </row>
    <row r="531" spans="1:19" x14ac:dyDescent="0.3">
      <c r="A531" s="1" t="s">
        <v>1799</v>
      </c>
      <c r="B531" s="1" t="s">
        <v>1399</v>
      </c>
      <c r="C531" s="1" t="s">
        <v>1800</v>
      </c>
      <c r="D531" s="1" t="s">
        <v>1801</v>
      </c>
      <c r="E531" s="1" t="s">
        <v>77</v>
      </c>
      <c r="F531" s="1">
        <v>45493</v>
      </c>
      <c r="G531" s="1">
        <v>45494</v>
      </c>
      <c r="H531" s="1">
        <v>45497</v>
      </c>
      <c r="I531" s="1" t="s">
        <v>72</v>
      </c>
      <c r="J531" s="1" t="s">
        <v>17</v>
      </c>
      <c r="K531" s="1" t="s">
        <v>20</v>
      </c>
      <c r="L531" s="1" t="s">
        <v>24</v>
      </c>
      <c r="M531" s="1" t="s">
        <v>44</v>
      </c>
      <c r="N531" s="1" t="s">
        <v>38</v>
      </c>
      <c r="O531" s="1" t="s">
        <v>45</v>
      </c>
      <c r="P531" s="1">
        <v>9</v>
      </c>
      <c r="Q531" s="1">
        <v>210</v>
      </c>
      <c r="R531" s="1">
        <v>222.60000000000002</v>
      </c>
      <c r="S531" s="1">
        <v>0.03</v>
      </c>
    </row>
    <row r="532" spans="1:19" x14ac:dyDescent="0.3">
      <c r="A532" s="1" t="s">
        <v>1802</v>
      </c>
      <c r="B532" s="1" t="s">
        <v>1607</v>
      </c>
      <c r="C532" s="1" t="s">
        <v>1803</v>
      </c>
      <c r="D532" s="1" t="s">
        <v>1804</v>
      </c>
      <c r="E532" s="1" t="s">
        <v>71</v>
      </c>
      <c r="F532" s="1">
        <v>45419</v>
      </c>
      <c r="G532" s="1">
        <v>45419</v>
      </c>
      <c r="H532" s="1">
        <v>45422</v>
      </c>
      <c r="I532" s="1" t="s">
        <v>72</v>
      </c>
      <c r="J532" s="1" t="s">
        <v>17</v>
      </c>
      <c r="K532" s="1" t="s">
        <v>20</v>
      </c>
      <c r="L532" s="1" t="s">
        <v>23</v>
      </c>
      <c r="M532" s="1" t="s">
        <v>32</v>
      </c>
      <c r="N532" s="1" t="s">
        <v>33</v>
      </c>
      <c r="O532" s="1" t="s">
        <v>34</v>
      </c>
      <c r="P532" s="1">
        <v>6</v>
      </c>
      <c r="Q532" s="1">
        <v>730</v>
      </c>
      <c r="R532" s="1">
        <v>824.9</v>
      </c>
      <c r="S532" s="1">
        <v>0</v>
      </c>
    </row>
    <row r="533" spans="1:19" x14ac:dyDescent="0.3">
      <c r="A533" s="1" t="s">
        <v>1805</v>
      </c>
      <c r="B533" s="1" t="s">
        <v>820</v>
      </c>
      <c r="C533" s="1" t="s">
        <v>1806</v>
      </c>
      <c r="D533" s="1" t="s">
        <v>1807</v>
      </c>
      <c r="E533" s="1" t="s">
        <v>87</v>
      </c>
      <c r="F533" s="1">
        <v>45653</v>
      </c>
      <c r="G533" s="1">
        <v>45653</v>
      </c>
      <c r="H533" s="1">
        <v>45657</v>
      </c>
      <c r="I533" s="1" t="s">
        <v>72</v>
      </c>
      <c r="J533" s="1" t="s">
        <v>1</v>
      </c>
      <c r="K533" s="1" t="s">
        <v>20</v>
      </c>
      <c r="L533" s="1" t="s">
        <v>25</v>
      </c>
      <c r="M533" s="1" t="s">
        <v>30</v>
      </c>
      <c r="N533" s="1" t="s">
        <v>27</v>
      </c>
      <c r="O533" s="1" t="s">
        <v>31</v>
      </c>
      <c r="P533" s="1">
        <v>5</v>
      </c>
      <c r="Q533" s="1">
        <v>1030</v>
      </c>
      <c r="R533" s="1">
        <v>1174.2</v>
      </c>
      <c r="S533" s="1">
        <v>0.09</v>
      </c>
    </row>
    <row r="534" spans="1:19" x14ac:dyDescent="0.3">
      <c r="A534" s="1" t="s">
        <v>1805</v>
      </c>
      <c r="B534" s="1" t="s">
        <v>820</v>
      </c>
      <c r="C534" s="1" t="s">
        <v>1806</v>
      </c>
      <c r="D534" s="1" t="s">
        <v>1807</v>
      </c>
      <c r="E534" s="1" t="s">
        <v>87</v>
      </c>
      <c r="F534" s="1">
        <v>45653</v>
      </c>
      <c r="G534" s="1">
        <v>45653</v>
      </c>
      <c r="H534" s="1">
        <v>45657</v>
      </c>
      <c r="I534" s="1" t="s">
        <v>72</v>
      </c>
      <c r="J534" s="1" t="s">
        <v>1</v>
      </c>
      <c r="K534" s="1" t="s">
        <v>20</v>
      </c>
      <c r="L534" s="1" t="s">
        <v>25</v>
      </c>
      <c r="M534" s="1" t="s">
        <v>30</v>
      </c>
      <c r="N534" s="1" t="s">
        <v>27</v>
      </c>
      <c r="O534" s="1" t="s">
        <v>31</v>
      </c>
      <c r="P534" s="1">
        <v>5</v>
      </c>
      <c r="Q534" s="1">
        <v>1030</v>
      </c>
      <c r="R534" s="1">
        <v>1174.2</v>
      </c>
      <c r="S534" s="1">
        <v>0.09</v>
      </c>
    </row>
    <row r="535" spans="1:19" x14ac:dyDescent="0.3">
      <c r="A535" s="1" t="s">
        <v>1808</v>
      </c>
      <c r="B535" s="1" t="s">
        <v>478</v>
      </c>
      <c r="C535" s="1" t="s">
        <v>1809</v>
      </c>
      <c r="D535" s="1" t="s">
        <v>1810</v>
      </c>
      <c r="E535" s="1" t="s">
        <v>109</v>
      </c>
      <c r="F535" s="1">
        <v>45895</v>
      </c>
      <c r="G535" s="1">
        <v>45895</v>
      </c>
      <c r="H535" s="1">
        <v>45898</v>
      </c>
      <c r="I535" s="1" t="s">
        <v>72</v>
      </c>
      <c r="J535" s="1" t="s">
        <v>16</v>
      </c>
      <c r="K535" s="1" t="s">
        <v>21</v>
      </c>
      <c r="L535" s="1" t="s">
        <v>23</v>
      </c>
      <c r="M535" s="1" t="s">
        <v>55</v>
      </c>
      <c r="N535" s="1" t="s">
        <v>27</v>
      </c>
      <c r="O535" s="1" t="s">
        <v>56</v>
      </c>
      <c r="P535" s="1">
        <v>9</v>
      </c>
      <c r="Q535" s="1">
        <v>650</v>
      </c>
      <c r="R535" s="1">
        <v>663</v>
      </c>
      <c r="S535" s="1">
        <v>0.03</v>
      </c>
    </row>
    <row r="536" spans="1:19" x14ac:dyDescent="0.3">
      <c r="A536" s="1" t="s">
        <v>1811</v>
      </c>
      <c r="B536" s="1" t="s">
        <v>1812</v>
      </c>
      <c r="C536" s="1" t="s">
        <v>1813</v>
      </c>
      <c r="D536" s="1" t="s">
        <v>741</v>
      </c>
      <c r="E536" s="1" t="s">
        <v>87</v>
      </c>
      <c r="F536" s="1">
        <v>45329</v>
      </c>
      <c r="G536" s="1">
        <v>45329</v>
      </c>
      <c r="H536" s="1">
        <v>45334</v>
      </c>
      <c r="I536" s="1" t="s">
        <v>82</v>
      </c>
      <c r="J536" s="1" t="s">
        <v>1</v>
      </c>
      <c r="K536" s="1" t="s">
        <v>20</v>
      </c>
      <c r="L536" s="1" t="s">
        <v>22</v>
      </c>
      <c r="M536" s="1" t="s">
        <v>30</v>
      </c>
      <c r="N536" s="1" t="s">
        <v>27</v>
      </c>
      <c r="O536" s="1" t="s">
        <v>31</v>
      </c>
      <c r="P536" s="1">
        <v>4</v>
      </c>
      <c r="Q536" s="1">
        <v>1030</v>
      </c>
      <c r="R536" s="1">
        <v>1174.2</v>
      </c>
      <c r="S536" s="1">
        <v>0.08</v>
      </c>
    </row>
    <row r="537" spans="1:19" x14ac:dyDescent="0.3">
      <c r="A537" s="1" t="s">
        <v>1814</v>
      </c>
      <c r="B537" s="1" t="s">
        <v>400</v>
      </c>
      <c r="C537" s="1" t="s">
        <v>1815</v>
      </c>
      <c r="D537" s="1" t="s">
        <v>1816</v>
      </c>
      <c r="E537" s="1" t="s">
        <v>164</v>
      </c>
      <c r="F537" s="1">
        <v>45486</v>
      </c>
      <c r="G537" s="1">
        <v>45487</v>
      </c>
      <c r="H537" s="1">
        <v>45488</v>
      </c>
      <c r="I537" s="1" t="s">
        <v>72</v>
      </c>
      <c r="J537" s="1" t="s">
        <v>2</v>
      </c>
      <c r="K537" s="1" t="s">
        <v>19</v>
      </c>
      <c r="L537" s="1" t="s">
        <v>25</v>
      </c>
      <c r="M537" s="1" t="s">
        <v>43</v>
      </c>
      <c r="N537" s="1" t="s">
        <v>27</v>
      </c>
      <c r="O537" s="1" t="s">
        <v>31</v>
      </c>
      <c r="P537" s="1">
        <v>9</v>
      </c>
      <c r="Q537" s="1">
        <v>1630</v>
      </c>
      <c r="R537" s="1">
        <v>1744.1000000000001</v>
      </c>
      <c r="S537" s="1">
        <v>0</v>
      </c>
    </row>
    <row r="538" spans="1:19" x14ac:dyDescent="0.3">
      <c r="A538" s="1" t="s">
        <v>1817</v>
      </c>
      <c r="B538" s="1" t="s">
        <v>297</v>
      </c>
      <c r="C538" s="1" t="s">
        <v>1818</v>
      </c>
      <c r="D538" s="1" t="s">
        <v>1819</v>
      </c>
      <c r="E538" s="1" t="s">
        <v>164</v>
      </c>
      <c r="F538" s="1">
        <v>45891</v>
      </c>
      <c r="G538" s="1">
        <v>45891</v>
      </c>
      <c r="H538" s="1">
        <v>45893</v>
      </c>
      <c r="I538" s="1" t="s">
        <v>72</v>
      </c>
      <c r="J538" s="1" t="s">
        <v>16</v>
      </c>
      <c r="K538" s="1" t="s">
        <v>19</v>
      </c>
      <c r="L538" s="1" t="s">
        <v>25</v>
      </c>
      <c r="M538" s="1" t="s">
        <v>43</v>
      </c>
      <c r="N538" s="1" t="s">
        <v>27</v>
      </c>
      <c r="O538" s="1" t="s">
        <v>31</v>
      </c>
      <c r="P538" s="1">
        <v>10</v>
      </c>
      <c r="Q538" s="1">
        <v>1630</v>
      </c>
      <c r="R538" s="1">
        <v>1744.1000000000001</v>
      </c>
      <c r="S538" s="1">
        <v>0.06</v>
      </c>
    </row>
    <row r="539" spans="1:19" x14ac:dyDescent="0.3">
      <c r="A539" s="1" t="s">
        <v>1820</v>
      </c>
      <c r="B539" s="1" t="s">
        <v>331</v>
      </c>
      <c r="C539" s="1" t="s">
        <v>1821</v>
      </c>
      <c r="D539" s="1" t="s">
        <v>1822</v>
      </c>
      <c r="E539" s="1" t="s">
        <v>178</v>
      </c>
      <c r="F539" s="1">
        <v>45944</v>
      </c>
      <c r="G539" s="1">
        <v>45944</v>
      </c>
      <c r="H539" s="1">
        <v>45946</v>
      </c>
      <c r="I539" s="1" t="s">
        <v>72</v>
      </c>
      <c r="J539" s="1" t="s">
        <v>1</v>
      </c>
      <c r="K539" s="1" t="s">
        <v>21</v>
      </c>
      <c r="L539" s="1" t="s">
        <v>24</v>
      </c>
      <c r="M539" s="1" t="s">
        <v>47</v>
      </c>
      <c r="N539" s="1" t="s">
        <v>38</v>
      </c>
      <c r="O539" s="1" t="s">
        <v>39</v>
      </c>
      <c r="P539" s="1">
        <v>15</v>
      </c>
      <c r="Q539" s="1">
        <v>390</v>
      </c>
      <c r="R539" s="1">
        <v>468</v>
      </c>
      <c r="S539" s="1">
        <v>0</v>
      </c>
    </row>
    <row r="540" spans="1:19" x14ac:dyDescent="0.3">
      <c r="A540" s="1" t="s">
        <v>1823</v>
      </c>
      <c r="B540" s="1" t="s">
        <v>478</v>
      </c>
      <c r="C540" s="1" t="s">
        <v>1824</v>
      </c>
      <c r="D540" s="1" t="s">
        <v>1825</v>
      </c>
      <c r="E540" s="1" t="s">
        <v>87</v>
      </c>
      <c r="F540" s="1">
        <v>46137</v>
      </c>
      <c r="G540" s="1">
        <v>46137</v>
      </c>
      <c r="H540" s="1">
        <v>46141</v>
      </c>
      <c r="I540" s="1" t="s">
        <v>82</v>
      </c>
      <c r="J540" s="1" t="s">
        <v>2</v>
      </c>
      <c r="K540" s="1" t="s">
        <v>20</v>
      </c>
      <c r="L540" s="1" t="s">
        <v>23</v>
      </c>
      <c r="M540" s="1" t="s">
        <v>30</v>
      </c>
      <c r="N540" s="1" t="s">
        <v>27</v>
      </c>
      <c r="O540" s="1" t="s">
        <v>31</v>
      </c>
      <c r="P540" s="1">
        <v>4</v>
      </c>
      <c r="Q540" s="1">
        <v>1030</v>
      </c>
      <c r="R540" s="1">
        <v>1174.2</v>
      </c>
      <c r="S540" s="1">
        <v>0.03</v>
      </c>
    </row>
    <row r="541" spans="1:19" x14ac:dyDescent="0.3">
      <c r="A541" s="1" t="s">
        <v>1826</v>
      </c>
      <c r="B541" s="1" t="s">
        <v>1656</v>
      </c>
      <c r="C541" s="1" t="s">
        <v>1827</v>
      </c>
      <c r="D541" s="1" t="s">
        <v>1828</v>
      </c>
      <c r="E541" s="1" t="s">
        <v>114</v>
      </c>
      <c r="F541" s="1">
        <v>45351</v>
      </c>
      <c r="G541" s="1">
        <v>45351</v>
      </c>
      <c r="H541" s="1">
        <v>45355</v>
      </c>
      <c r="I541" s="1" t="s">
        <v>82</v>
      </c>
      <c r="J541" s="1" t="s">
        <v>1</v>
      </c>
      <c r="K541" s="1" t="s">
        <v>20</v>
      </c>
      <c r="L541" s="1" t="s">
        <v>24</v>
      </c>
      <c r="M541" s="1" t="s">
        <v>51</v>
      </c>
      <c r="N541" s="1" t="s">
        <v>33</v>
      </c>
      <c r="O541" s="1" t="s">
        <v>52</v>
      </c>
      <c r="P541" s="1">
        <v>3</v>
      </c>
      <c r="Q541" s="1">
        <v>280</v>
      </c>
      <c r="R541" s="1">
        <v>336</v>
      </c>
      <c r="S541" s="1">
        <v>0.08</v>
      </c>
    </row>
    <row r="542" spans="1:19" x14ac:dyDescent="0.3">
      <c r="A542" s="1" t="s">
        <v>1829</v>
      </c>
      <c r="B542" s="1" t="s">
        <v>636</v>
      </c>
      <c r="C542" s="1" t="s">
        <v>1830</v>
      </c>
      <c r="D542" s="1" t="s">
        <v>1831</v>
      </c>
      <c r="E542" s="1" t="s">
        <v>114</v>
      </c>
      <c r="F542" s="1">
        <v>45825</v>
      </c>
      <c r="G542" s="1">
        <v>45825</v>
      </c>
      <c r="H542" s="1">
        <v>45829</v>
      </c>
      <c r="I542" s="1" t="s">
        <v>72</v>
      </c>
      <c r="J542" s="1" t="s">
        <v>17</v>
      </c>
      <c r="K542" s="1" t="s">
        <v>21</v>
      </c>
      <c r="L542" s="1" t="s">
        <v>25</v>
      </c>
      <c r="M542" s="1" t="s">
        <v>51</v>
      </c>
      <c r="N542" s="1" t="s">
        <v>33</v>
      </c>
      <c r="O542" s="1" t="s">
        <v>52</v>
      </c>
      <c r="P542" s="1">
        <v>7</v>
      </c>
      <c r="Q542" s="1">
        <v>280</v>
      </c>
      <c r="R542" s="1">
        <v>336</v>
      </c>
      <c r="S542" s="1">
        <v>0.08</v>
      </c>
    </row>
    <row r="543" spans="1:19" x14ac:dyDescent="0.3">
      <c r="A543" s="1" t="s">
        <v>1832</v>
      </c>
      <c r="B543" s="1" t="s">
        <v>1108</v>
      </c>
      <c r="C543" s="1" t="s">
        <v>1833</v>
      </c>
      <c r="D543" s="1" t="s">
        <v>1546</v>
      </c>
      <c r="E543" s="1" t="s">
        <v>81</v>
      </c>
      <c r="F543" s="1">
        <v>45655</v>
      </c>
      <c r="G543" s="1">
        <v>45656</v>
      </c>
      <c r="H543" s="1">
        <v>45659</v>
      </c>
      <c r="I543" s="1" t="s">
        <v>72</v>
      </c>
      <c r="J543" s="1" t="s">
        <v>1</v>
      </c>
      <c r="K543" s="1" t="s">
        <v>21</v>
      </c>
      <c r="L543" s="1" t="s">
        <v>24</v>
      </c>
      <c r="M543" s="1" t="s">
        <v>59</v>
      </c>
      <c r="N543" s="1" t="s">
        <v>27</v>
      </c>
      <c r="O543" s="1" t="s">
        <v>60</v>
      </c>
      <c r="P543" s="1">
        <v>11</v>
      </c>
      <c r="Q543" s="1">
        <v>1230</v>
      </c>
      <c r="R543" s="1">
        <v>1328.4</v>
      </c>
      <c r="S543" s="1">
        <v>0.03</v>
      </c>
    </row>
    <row r="544" spans="1:19" x14ac:dyDescent="0.3">
      <c r="A544" s="1" t="s">
        <v>1834</v>
      </c>
      <c r="B544" s="1" t="s">
        <v>248</v>
      </c>
      <c r="C544" s="1" t="s">
        <v>1835</v>
      </c>
      <c r="D544" s="1" t="s">
        <v>1836</v>
      </c>
      <c r="E544" s="1" t="s">
        <v>192</v>
      </c>
      <c r="F544" s="1">
        <v>45641</v>
      </c>
      <c r="G544" s="1">
        <v>45641</v>
      </c>
      <c r="H544" s="1">
        <v>45646</v>
      </c>
      <c r="I544" s="1" t="s">
        <v>72</v>
      </c>
      <c r="J544" s="1" t="s">
        <v>16</v>
      </c>
      <c r="K544" s="1" t="s">
        <v>21</v>
      </c>
      <c r="L544" s="1" t="s">
        <v>23</v>
      </c>
      <c r="M544" s="1" t="s">
        <v>46</v>
      </c>
      <c r="N544" s="1" t="s">
        <v>38</v>
      </c>
      <c r="O544" s="1" t="s">
        <v>45</v>
      </c>
      <c r="P544" s="1">
        <v>8</v>
      </c>
      <c r="Q544" s="1">
        <v>350</v>
      </c>
      <c r="R544" s="1">
        <v>364</v>
      </c>
      <c r="S544" s="1">
        <v>0.05</v>
      </c>
    </row>
    <row r="545" spans="1:19" x14ac:dyDescent="0.3">
      <c r="A545" s="1" t="s">
        <v>1837</v>
      </c>
      <c r="B545" s="1" t="s">
        <v>810</v>
      </c>
      <c r="C545" s="1" t="s">
        <v>1838</v>
      </c>
      <c r="D545" s="1" t="s">
        <v>1839</v>
      </c>
      <c r="E545" s="1" t="s">
        <v>119</v>
      </c>
      <c r="F545" s="1">
        <v>45525</v>
      </c>
      <c r="G545" s="1">
        <v>45526</v>
      </c>
      <c r="H545" s="1">
        <v>45527</v>
      </c>
      <c r="I545" s="1" t="s">
        <v>72</v>
      </c>
      <c r="J545" s="1" t="s">
        <v>16</v>
      </c>
      <c r="K545" s="1" t="s">
        <v>21</v>
      </c>
      <c r="L545" s="1" t="s">
        <v>23</v>
      </c>
      <c r="M545" s="1" t="s">
        <v>37</v>
      </c>
      <c r="N545" s="1" t="s">
        <v>38</v>
      </c>
      <c r="O545" s="1" t="s">
        <v>39</v>
      </c>
      <c r="P545" s="1">
        <v>9</v>
      </c>
      <c r="Q545" s="1">
        <v>250</v>
      </c>
      <c r="R545" s="1">
        <v>270</v>
      </c>
      <c r="S545" s="1">
        <v>0.04</v>
      </c>
    </row>
    <row r="546" spans="1:19" x14ac:dyDescent="0.3">
      <c r="A546" s="1" t="s">
        <v>1840</v>
      </c>
      <c r="B546" s="1" t="s">
        <v>1445</v>
      </c>
      <c r="C546" s="1" t="s">
        <v>1841</v>
      </c>
      <c r="D546" s="1" t="s">
        <v>1842</v>
      </c>
      <c r="E546" s="1" t="s">
        <v>291</v>
      </c>
      <c r="F546" s="1">
        <v>45929</v>
      </c>
      <c r="G546" s="1">
        <v>45930</v>
      </c>
      <c r="H546" s="1">
        <v>45934</v>
      </c>
      <c r="I546" s="1" t="s">
        <v>72</v>
      </c>
      <c r="J546" s="1" t="s">
        <v>17</v>
      </c>
      <c r="K546" s="1" t="s">
        <v>19</v>
      </c>
      <c r="L546" s="1" t="s">
        <v>24</v>
      </c>
      <c r="M546" s="1" t="s">
        <v>57</v>
      </c>
      <c r="N546" s="1" t="s">
        <v>27</v>
      </c>
      <c r="O546" s="1" t="s">
        <v>58</v>
      </c>
      <c r="P546" s="1">
        <v>9</v>
      </c>
      <c r="Q546" s="1">
        <v>480</v>
      </c>
      <c r="R546" s="1">
        <v>513.6</v>
      </c>
      <c r="S546" s="1">
        <v>0</v>
      </c>
    </row>
    <row r="547" spans="1:19" x14ac:dyDescent="0.3">
      <c r="A547" s="1" t="s">
        <v>1843</v>
      </c>
      <c r="B547" s="1" t="s">
        <v>679</v>
      </c>
      <c r="C547" s="1" t="s">
        <v>1844</v>
      </c>
      <c r="D547" s="1" t="s">
        <v>583</v>
      </c>
      <c r="E547" s="1" t="s">
        <v>164</v>
      </c>
      <c r="F547" s="1">
        <v>45688</v>
      </c>
      <c r="G547" s="1">
        <v>45688</v>
      </c>
      <c r="H547" s="1">
        <v>45693</v>
      </c>
      <c r="I547" s="1" t="s">
        <v>72</v>
      </c>
      <c r="J547" s="1" t="s">
        <v>18</v>
      </c>
      <c r="K547" s="1" t="s">
        <v>19</v>
      </c>
      <c r="L547" s="1" t="s">
        <v>23</v>
      </c>
      <c r="M547" s="1" t="s">
        <v>43</v>
      </c>
      <c r="N547" s="1" t="s">
        <v>27</v>
      </c>
      <c r="O547" s="1" t="s">
        <v>31</v>
      </c>
      <c r="P547" s="1">
        <v>10</v>
      </c>
      <c r="Q547" s="1">
        <v>1630</v>
      </c>
      <c r="R547" s="1">
        <v>1744.1000000000001</v>
      </c>
      <c r="S547" s="1">
        <v>0.02</v>
      </c>
    </row>
    <row r="548" spans="1:19" x14ac:dyDescent="0.3">
      <c r="A548" s="1" t="s">
        <v>1845</v>
      </c>
      <c r="B548" s="1" t="s">
        <v>764</v>
      </c>
      <c r="C548" s="1" t="s">
        <v>1846</v>
      </c>
      <c r="D548" s="1" t="s">
        <v>1847</v>
      </c>
      <c r="E548" s="1" t="s">
        <v>71</v>
      </c>
      <c r="F548" s="1">
        <v>45553</v>
      </c>
      <c r="G548" s="1">
        <v>45553</v>
      </c>
      <c r="H548" s="1">
        <v>45555</v>
      </c>
      <c r="I548" s="1" t="s">
        <v>82</v>
      </c>
      <c r="J548" s="1" t="s">
        <v>1</v>
      </c>
      <c r="K548" s="1" t="s">
        <v>20</v>
      </c>
      <c r="L548" s="1" t="s">
        <v>25</v>
      </c>
      <c r="M548" s="1" t="s">
        <v>32</v>
      </c>
      <c r="N548" s="1" t="s">
        <v>33</v>
      </c>
      <c r="O548" s="1" t="s">
        <v>34</v>
      </c>
      <c r="P548" s="1">
        <v>2</v>
      </c>
      <c r="Q548" s="1">
        <v>730</v>
      </c>
      <c r="R548" s="1">
        <v>824.9</v>
      </c>
      <c r="S548" s="1">
        <v>0.09</v>
      </c>
    </row>
    <row r="549" spans="1:19" x14ac:dyDescent="0.3">
      <c r="A549" s="1" t="s">
        <v>1848</v>
      </c>
      <c r="B549" s="1" t="s">
        <v>134</v>
      </c>
      <c r="C549" s="1" t="s">
        <v>1849</v>
      </c>
      <c r="D549" s="1" t="s">
        <v>1850</v>
      </c>
      <c r="E549" s="1" t="s">
        <v>178</v>
      </c>
      <c r="F549" s="1">
        <v>45404</v>
      </c>
      <c r="G549" s="1">
        <v>45404</v>
      </c>
      <c r="H549" s="1">
        <v>45409</v>
      </c>
      <c r="I549" s="1" t="s">
        <v>82</v>
      </c>
      <c r="J549" s="1" t="s">
        <v>2</v>
      </c>
      <c r="K549" s="1" t="s">
        <v>19</v>
      </c>
      <c r="L549" s="1" t="s">
        <v>22</v>
      </c>
      <c r="M549" s="1" t="s">
        <v>47</v>
      </c>
      <c r="N549" s="1" t="s">
        <v>38</v>
      </c>
      <c r="O549" s="1" t="s">
        <v>39</v>
      </c>
      <c r="P549" s="1">
        <v>3</v>
      </c>
      <c r="Q549" s="1">
        <v>390</v>
      </c>
      <c r="R549" s="1">
        <v>468</v>
      </c>
      <c r="S549" s="1">
        <v>0.01</v>
      </c>
    </row>
    <row r="550" spans="1:19" x14ac:dyDescent="0.3">
      <c r="A550" s="1" t="s">
        <v>1851</v>
      </c>
      <c r="B550" s="1" t="s">
        <v>1852</v>
      </c>
      <c r="C550" s="1" t="s">
        <v>1853</v>
      </c>
      <c r="D550" s="1" t="s">
        <v>1854</v>
      </c>
      <c r="E550" s="1" t="s">
        <v>77</v>
      </c>
      <c r="F550" s="1">
        <v>45947</v>
      </c>
      <c r="G550" s="1">
        <v>45948</v>
      </c>
      <c r="H550" s="1">
        <v>45952</v>
      </c>
      <c r="I550" s="1" t="s">
        <v>82</v>
      </c>
      <c r="J550" s="1" t="s">
        <v>1</v>
      </c>
      <c r="K550" s="1" t="s">
        <v>19</v>
      </c>
      <c r="L550" s="1" t="s">
        <v>25</v>
      </c>
      <c r="M550" s="1" t="s">
        <v>44</v>
      </c>
      <c r="N550" s="1" t="s">
        <v>38</v>
      </c>
      <c r="O550" s="1" t="s">
        <v>45</v>
      </c>
      <c r="P550" s="1">
        <v>2</v>
      </c>
      <c r="Q550" s="1">
        <v>210</v>
      </c>
      <c r="R550" s="1">
        <v>222.60000000000002</v>
      </c>
      <c r="S550" s="1">
        <v>0.04</v>
      </c>
    </row>
    <row r="551" spans="1:19" x14ac:dyDescent="0.3">
      <c r="A551" s="1" t="s">
        <v>1855</v>
      </c>
      <c r="B551" s="1" t="s">
        <v>1316</v>
      </c>
      <c r="C551" s="1" t="s">
        <v>1856</v>
      </c>
      <c r="D551" s="1" t="s">
        <v>1857</v>
      </c>
      <c r="E551" s="1" t="s">
        <v>81</v>
      </c>
      <c r="F551" s="1">
        <v>46096</v>
      </c>
      <c r="G551" s="1">
        <v>46096</v>
      </c>
      <c r="H551" s="1">
        <v>46098</v>
      </c>
      <c r="I551" s="1" t="s">
        <v>72</v>
      </c>
      <c r="J551" s="1" t="s">
        <v>16</v>
      </c>
      <c r="K551" s="1" t="s">
        <v>21</v>
      </c>
      <c r="L551" s="1" t="s">
        <v>24</v>
      </c>
      <c r="M551" s="1" t="s">
        <v>59</v>
      </c>
      <c r="N551" s="1" t="s">
        <v>27</v>
      </c>
      <c r="O551" s="1" t="s">
        <v>60</v>
      </c>
      <c r="P551" s="1">
        <v>13</v>
      </c>
      <c r="Q551" s="1">
        <v>1230</v>
      </c>
      <c r="R551" s="1">
        <v>1328.4</v>
      </c>
      <c r="S551" s="1">
        <v>0.01</v>
      </c>
    </row>
    <row r="552" spans="1:19" x14ac:dyDescent="0.3">
      <c r="A552" s="1" t="s">
        <v>1858</v>
      </c>
      <c r="B552" s="1" t="s">
        <v>585</v>
      </c>
      <c r="C552" s="1" t="s">
        <v>1859</v>
      </c>
      <c r="D552" s="1" t="s">
        <v>1860</v>
      </c>
      <c r="E552" s="1" t="s">
        <v>132</v>
      </c>
      <c r="F552" s="1">
        <v>45762</v>
      </c>
      <c r="G552" s="1">
        <v>45762</v>
      </c>
      <c r="H552" s="1">
        <v>45765</v>
      </c>
      <c r="I552" s="1" t="s">
        <v>72</v>
      </c>
      <c r="J552" s="1" t="s">
        <v>17</v>
      </c>
      <c r="K552" s="1" t="s">
        <v>20</v>
      </c>
      <c r="L552" s="1" t="s">
        <v>22</v>
      </c>
      <c r="M552" s="1" t="s">
        <v>53</v>
      </c>
      <c r="N552" s="1" t="s">
        <v>27</v>
      </c>
      <c r="O552" s="1" t="s">
        <v>54</v>
      </c>
      <c r="P552" s="1">
        <v>9</v>
      </c>
      <c r="Q552" s="1">
        <v>430</v>
      </c>
      <c r="R552" s="1">
        <v>455.8</v>
      </c>
      <c r="S552" s="1">
        <v>0.08</v>
      </c>
    </row>
    <row r="553" spans="1:19" x14ac:dyDescent="0.3">
      <c r="A553" s="1" t="s">
        <v>1861</v>
      </c>
      <c r="B553" s="1" t="s">
        <v>385</v>
      </c>
      <c r="C553" s="1" t="s">
        <v>1862</v>
      </c>
      <c r="D553" s="1" t="s">
        <v>1863</v>
      </c>
      <c r="E553" s="1" t="s">
        <v>81</v>
      </c>
      <c r="F553" s="1">
        <v>46127</v>
      </c>
      <c r="G553" s="1">
        <v>46127</v>
      </c>
      <c r="H553" s="1">
        <v>46131</v>
      </c>
      <c r="I553" s="1" t="s">
        <v>72</v>
      </c>
      <c r="J553" s="1" t="s">
        <v>16</v>
      </c>
      <c r="K553" s="1" t="s">
        <v>21</v>
      </c>
      <c r="L553" s="1" t="s">
        <v>25</v>
      </c>
      <c r="M553" s="1" t="s">
        <v>59</v>
      </c>
      <c r="N553" s="1" t="s">
        <v>27</v>
      </c>
      <c r="O553" s="1" t="s">
        <v>60</v>
      </c>
      <c r="P553" s="1">
        <v>8</v>
      </c>
      <c r="Q553" s="1">
        <v>1230</v>
      </c>
      <c r="R553" s="1">
        <v>1328.4</v>
      </c>
      <c r="S553" s="1">
        <v>0.04</v>
      </c>
    </row>
    <row r="554" spans="1:19" x14ac:dyDescent="0.3">
      <c r="A554" s="1" t="s">
        <v>1864</v>
      </c>
      <c r="B554" s="1" t="s">
        <v>538</v>
      </c>
      <c r="C554" s="1" t="s">
        <v>1865</v>
      </c>
      <c r="D554" s="1" t="s">
        <v>1866</v>
      </c>
      <c r="E554" s="1" t="s">
        <v>192</v>
      </c>
      <c r="F554" s="1">
        <v>46184</v>
      </c>
      <c r="G554" s="1">
        <v>46184</v>
      </c>
      <c r="H554" s="1">
        <v>46186</v>
      </c>
      <c r="I554" s="1" t="s">
        <v>72</v>
      </c>
      <c r="J554" s="1" t="s">
        <v>18</v>
      </c>
      <c r="K554" s="1" t="s">
        <v>20</v>
      </c>
      <c r="L554" s="1" t="s">
        <v>61</v>
      </c>
      <c r="M554" s="1" t="s">
        <v>46</v>
      </c>
      <c r="N554" s="1" t="s">
        <v>38</v>
      </c>
      <c r="O554" s="1" t="s">
        <v>45</v>
      </c>
      <c r="P554" s="1">
        <v>9</v>
      </c>
      <c r="Q554" s="1">
        <v>350</v>
      </c>
      <c r="R554" s="1">
        <v>364</v>
      </c>
      <c r="S554" s="1">
        <v>0.01</v>
      </c>
    </row>
    <row r="555" spans="1:19" x14ac:dyDescent="0.3">
      <c r="A555" s="1" t="s">
        <v>1867</v>
      </c>
      <c r="B555" s="1" t="s">
        <v>454</v>
      </c>
      <c r="C555" s="1" t="s">
        <v>1868</v>
      </c>
      <c r="D555" s="1" t="s">
        <v>1869</v>
      </c>
      <c r="E555" s="1" t="s">
        <v>164</v>
      </c>
      <c r="F555" s="1">
        <v>45315</v>
      </c>
      <c r="G555" s="1">
        <v>45316</v>
      </c>
      <c r="H555" s="1">
        <v>45320</v>
      </c>
      <c r="I555" s="1" t="s">
        <v>72</v>
      </c>
      <c r="J555" s="1" t="s">
        <v>18</v>
      </c>
      <c r="K555" s="1" t="s">
        <v>20</v>
      </c>
      <c r="L555" s="1" t="s">
        <v>24</v>
      </c>
      <c r="M555" s="1" t="s">
        <v>43</v>
      </c>
      <c r="N555" s="1" t="s">
        <v>27</v>
      </c>
      <c r="O555" s="1" t="s">
        <v>31</v>
      </c>
      <c r="P555" s="1">
        <v>5</v>
      </c>
      <c r="Q555" s="1">
        <v>1630</v>
      </c>
      <c r="R555" s="1">
        <v>1744.1000000000001</v>
      </c>
      <c r="S555" s="1">
        <v>0.01</v>
      </c>
    </row>
    <row r="556" spans="1:19" x14ac:dyDescent="0.3">
      <c r="A556" s="1" t="s">
        <v>1870</v>
      </c>
      <c r="B556" s="1" t="s">
        <v>143</v>
      </c>
      <c r="C556" s="1" t="s">
        <v>1871</v>
      </c>
      <c r="D556" s="1" t="s">
        <v>1872</v>
      </c>
      <c r="E556" s="1" t="s">
        <v>77</v>
      </c>
      <c r="F556" s="1">
        <v>45660</v>
      </c>
      <c r="G556" s="1">
        <v>45660</v>
      </c>
      <c r="H556" s="1">
        <v>45665</v>
      </c>
      <c r="I556" s="1" t="s">
        <v>82</v>
      </c>
      <c r="J556" s="1" t="s">
        <v>17</v>
      </c>
      <c r="K556" s="1" t="s">
        <v>20</v>
      </c>
      <c r="L556" s="1" t="s">
        <v>61</v>
      </c>
      <c r="M556" s="1" t="s">
        <v>44</v>
      </c>
      <c r="N556" s="1" t="s">
        <v>38</v>
      </c>
      <c r="O556" s="1" t="s">
        <v>45</v>
      </c>
      <c r="P556" s="1">
        <v>4</v>
      </c>
      <c r="Q556" s="1">
        <v>210</v>
      </c>
      <c r="R556" s="1">
        <v>222.60000000000002</v>
      </c>
      <c r="S556" s="1">
        <v>0.01</v>
      </c>
    </row>
    <row r="557" spans="1:19" x14ac:dyDescent="0.3">
      <c r="A557" s="1" t="s">
        <v>1873</v>
      </c>
      <c r="B557" s="1" t="s">
        <v>271</v>
      </c>
      <c r="C557" s="1" t="s">
        <v>1874</v>
      </c>
      <c r="D557" s="1" t="s">
        <v>1491</v>
      </c>
      <c r="E557" s="1" t="s">
        <v>87</v>
      </c>
      <c r="F557" s="1">
        <v>45852</v>
      </c>
      <c r="G557" s="1">
        <v>45853</v>
      </c>
      <c r="H557" s="1">
        <v>45857</v>
      </c>
      <c r="I557" s="1" t="s">
        <v>72</v>
      </c>
      <c r="J557" s="1" t="s">
        <v>1</v>
      </c>
      <c r="K557" s="1" t="s">
        <v>21</v>
      </c>
      <c r="L557" s="1" t="s">
        <v>22</v>
      </c>
      <c r="M557" s="1" t="s">
        <v>30</v>
      </c>
      <c r="N557" s="1" t="s">
        <v>27</v>
      </c>
      <c r="O557" s="1" t="s">
        <v>31</v>
      </c>
      <c r="P557" s="1">
        <v>15</v>
      </c>
      <c r="Q557" s="1">
        <v>1030</v>
      </c>
      <c r="R557" s="1">
        <v>1174.2</v>
      </c>
      <c r="S557" s="1">
        <v>0.03</v>
      </c>
    </row>
    <row r="558" spans="1:19" x14ac:dyDescent="0.3">
      <c r="A558" s="1" t="s">
        <v>1875</v>
      </c>
      <c r="B558" s="1" t="s">
        <v>252</v>
      </c>
      <c r="C558" s="1" t="s">
        <v>1876</v>
      </c>
      <c r="D558" s="1" t="s">
        <v>1877</v>
      </c>
      <c r="E558" s="1" t="s">
        <v>100</v>
      </c>
      <c r="F558" s="1">
        <v>45409</v>
      </c>
      <c r="G558" s="1">
        <v>45409</v>
      </c>
      <c r="H558" s="1">
        <v>45412</v>
      </c>
      <c r="I558" s="1" t="s">
        <v>72</v>
      </c>
      <c r="J558" s="1" t="s">
        <v>17</v>
      </c>
      <c r="K558" s="1" t="s">
        <v>19</v>
      </c>
      <c r="L558" s="1" t="s">
        <v>61</v>
      </c>
      <c r="M558" s="1" t="s">
        <v>42</v>
      </c>
      <c r="N558" s="1" t="s">
        <v>27</v>
      </c>
      <c r="O558" s="1" t="s">
        <v>28</v>
      </c>
      <c r="P558" s="1">
        <v>10</v>
      </c>
      <c r="Q558" s="1">
        <v>3030</v>
      </c>
      <c r="R558" s="1">
        <v>3211.8</v>
      </c>
      <c r="S558" s="1">
        <v>0.02</v>
      </c>
    </row>
    <row r="559" spans="1:19" x14ac:dyDescent="0.3">
      <c r="A559" s="1" t="s">
        <v>1878</v>
      </c>
      <c r="B559" s="1" t="s">
        <v>478</v>
      </c>
      <c r="C559" s="1" t="s">
        <v>1879</v>
      </c>
      <c r="D559" s="1" t="s">
        <v>1880</v>
      </c>
      <c r="E559" s="1" t="s">
        <v>187</v>
      </c>
      <c r="F559" s="1">
        <v>45730</v>
      </c>
      <c r="G559" s="1">
        <v>45730</v>
      </c>
      <c r="H559" s="1">
        <v>45732</v>
      </c>
      <c r="I559" s="1" t="s">
        <v>82</v>
      </c>
      <c r="J559" s="1" t="s">
        <v>18</v>
      </c>
      <c r="K559" s="1" t="s">
        <v>19</v>
      </c>
      <c r="L559" s="1" t="s">
        <v>61</v>
      </c>
      <c r="M559" s="1" t="s">
        <v>40</v>
      </c>
      <c r="N559" s="1" t="s">
        <v>38</v>
      </c>
      <c r="O559" s="1" t="s">
        <v>41</v>
      </c>
      <c r="P559" s="1">
        <v>4</v>
      </c>
      <c r="Q559" s="1">
        <v>170</v>
      </c>
      <c r="R559" s="1">
        <v>188.70000000000002</v>
      </c>
      <c r="S559" s="1">
        <v>0.04</v>
      </c>
    </row>
    <row r="560" spans="1:19" x14ac:dyDescent="0.3">
      <c r="A560" s="1" t="s">
        <v>1881</v>
      </c>
      <c r="B560" s="1" t="s">
        <v>679</v>
      </c>
      <c r="C560" s="1" t="s">
        <v>1882</v>
      </c>
      <c r="D560" s="1" t="s">
        <v>1067</v>
      </c>
      <c r="E560" s="1" t="s">
        <v>164</v>
      </c>
      <c r="F560" s="1">
        <v>45957</v>
      </c>
      <c r="G560" s="1">
        <v>45958</v>
      </c>
      <c r="H560" s="1">
        <v>45962</v>
      </c>
      <c r="I560" s="1" t="s">
        <v>82</v>
      </c>
      <c r="J560" s="1" t="s">
        <v>16</v>
      </c>
      <c r="K560" s="1" t="s">
        <v>20</v>
      </c>
      <c r="L560" s="1" t="s">
        <v>24</v>
      </c>
      <c r="M560" s="1" t="s">
        <v>43</v>
      </c>
      <c r="N560" s="1" t="s">
        <v>27</v>
      </c>
      <c r="O560" s="1" t="s">
        <v>31</v>
      </c>
      <c r="P560" s="1">
        <v>4</v>
      </c>
      <c r="Q560" s="1">
        <v>1630</v>
      </c>
      <c r="R560" s="1">
        <v>1744.1000000000001</v>
      </c>
      <c r="S560" s="1">
        <v>0.06</v>
      </c>
    </row>
    <row r="561" spans="1:19" x14ac:dyDescent="0.3">
      <c r="A561" s="1" t="s">
        <v>1883</v>
      </c>
      <c r="B561" s="1" t="s">
        <v>121</v>
      </c>
      <c r="C561" s="1" t="s">
        <v>1884</v>
      </c>
      <c r="D561" s="1" t="s">
        <v>1885</v>
      </c>
      <c r="E561" s="1" t="s">
        <v>95</v>
      </c>
      <c r="F561" s="1">
        <v>45741</v>
      </c>
      <c r="G561" s="1">
        <v>45741</v>
      </c>
      <c r="H561" s="1">
        <v>45743</v>
      </c>
      <c r="I561" s="1" t="s">
        <v>72</v>
      </c>
      <c r="J561" s="1" t="s">
        <v>18</v>
      </c>
      <c r="K561" s="1" t="s">
        <v>20</v>
      </c>
      <c r="L561" s="1" t="s">
        <v>22</v>
      </c>
      <c r="M561" s="1" t="s">
        <v>49</v>
      </c>
      <c r="N561" s="1" t="s">
        <v>33</v>
      </c>
      <c r="O561" s="1" t="s">
        <v>34</v>
      </c>
      <c r="P561" s="1">
        <v>5</v>
      </c>
      <c r="Q561" s="1">
        <v>1080</v>
      </c>
      <c r="R561" s="1">
        <v>1112.4000000000001</v>
      </c>
      <c r="S561" s="1">
        <v>0.03</v>
      </c>
    </row>
    <row r="562" spans="1:19" x14ac:dyDescent="0.3">
      <c r="A562" s="1" t="s">
        <v>1886</v>
      </c>
      <c r="B562" s="1" t="s">
        <v>1006</v>
      </c>
      <c r="C562" s="1" t="s">
        <v>1887</v>
      </c>
      <c r="D562" s="1" t="s">
        <v>1888</v>
      </c>
      <c r="E562" s="1" t="s">
        <v>114</v>
      </c>
      <c r="F562" s="1">
        <v>45938</v>
      </c>
      <c r="G562" s="1">
        <v>45938</v>
      </c>
      <c r="H562" s="1">
        <v>45942</v>
      </c>
      <c r="I562" s="1" t="s">
        <v>82</v>
      </c>
      <c r="J562" s="1" t="s">
        <v>2</v>
      </c>
      <c r="K562" s="1" t="s">
        <v>19</v>
      </c>
      <c r="L562" s="1" t="s">
        <v>23</v>
      </c>
      <c r="M562" s="1" t="s">
        <v>51</v>
      </c>
      <c r="N562" s="1" t="s">
        <v>33</v>
      </c>
      <c r="O562" s="1" t="s">
        <v>52</v>
      </c>
      <c r="P562" s="1">
        <v>2</v>
      </c>
      <c r="Q562" s="1">
        <v>280</v>
      </c>
      <c r="R562" s="1">
        <v>336</v>
      </c>
      <c r="S562" s="1">
        <v>0.03</v>
      </c>
    </row>
    <row r="563" spans="1:19" x14ac:dyDescent="0.3">
      <c r="A563" s="1" t="s">
        <v>1889</v>
      </c>
      <c r="B563" s="1" t="s">
        <v>315</v>
      </c>
      <c r="C563" s="1" t="s">
        <v>1890</v>
      </c>
      <c r="D563" s="1" t="s">
        <v>1891</v>
      </c>
      <c r="E563" s="1" t="s">
        <v>100</v>
      </c>
      <c r="F563" s="1">
        <v>45554</v>
      </c>
      <c r="G563" s="1">
        <v>45555</v>
      </c>
      <c r="H563" s="1">
        <v>45559</v>
      </c>
      <c r="I563" s="1" t="s">
        <v>72</v>
      </c>
      <c r="J563" s="1" t="s">
        <v>18</v>
      </c>
      <c r="K563" s="1" t="s">
        <v>20</v>
      </c>
      <c r="L563" s="1" t="s">
        <v>22</v>
      </c>
      <c r="M563" s="1" t="s">
        <v>42</v>
      </c>
      <c r="N563" s="1" t="s">
        <v>27</v>
      </c>
      <c r="O563" s="1" t="s">
        <v>28</v>
      </c>
      <c r="P563" s="1">
        <v>5</v>
      </c>
      <c r="Q563" s="1">
        <v>3030</v>
      </c>
      <c r="R563" s="1">
        <v>3211.8</v>
      </c>
      <c r="S563" s="1">
        <v>0</v>
      </c>
    </row>
    <row r="564" spans="1:19" x14ac:dyDescent="0.3">
      <c r="A564" s="1" t="s">
        <v>1892</v>
      </c>
      <c r="B564" s="1" t="s">
        <v>709</v>
      </c>
      <c r="C564" s="1" t="s">
        <v>1893</v>
      </c>
      <c r="D564" s="1" t="s">
        <v>1894</v>
      </c>
      <c r="E564" s="1" t="s">
        <v>95</v>
      </c>
      <c r="F564" s="1">
        <v>45497</v>
      </c>
      <c r="G564" s="1">
        <v>45498</v>
      </c>
      <c r="H564" s="1">
        <v>45500</v>
      </c>
      <c r="I564" s="1" t="s">
        <v>82</v>
      </c>
      <c r="J564" s="1" t="s">
        <v>1</v>
      </c>
      <c r="K564" s="1" t="s">
        <v>19</v>
      </c>
      <c r="L564" s="1" t="s">
        <v>22</v>
      </c>
      <c r="M564" s="1" t="s">
        <v>49</v>
      </c>
      <c r="N564" s="1" t="s">
        <v>33</v>
      </c>
      <c r="O564" s="1" t="s">
        <v>34</v>
      </c>
      <c r="P564" s="1">
        <v>2</v>
      </c>
      <c r="Q564" s="1">
        <v>1080</v>
      </c>
      <c r="R564" s="1">
        <v>1112.4000000000001</v>
      </c>
      <c r="S564" s="1">
        <v>0.05</v>
      </c>
    </row>
    <row r="565" spans="1:19" x14ac:dyDescent="0.3">
      <c r="A565" s="1" t="s">
        <v>1895</v>
      </c>
      <c r="B565" s="1" t="s">
        <v>1167</v>
      </c>
      <c r="C565" s="1" t="s">
        <v>1896</v>
      </c>
      <c r="D565" s="1" t="s">
        <v>1897</v>
      </c>
      <c r="E565" s="1" t="s">
        <v>87</v>
      </c>
      <c r="F565" s="1">
        <v>45921</v>
      </c>
      <c r="G565" s="1">
        <v>45921</v>
      </c>
      <c r="H565" s="1">
        <v>45926</v>
      </c>
      <c r="I565" s="1" t="s">
        <v>82</v>
      </c>
      <c r="J565" s="1" t="s">
        <v>17</v>
      </c>
      <c r="K565" s="1" t="s">
        <v>19</v>
      </c>
      <c r="L565" s="1" t="s">
        <v>25</v>
      </c>
      <c r="M565" s="1" t="s">
        <v>30</v>
      </c>
      <c r="N565" s="1" t="s">
        <v>27</v>
      </c>
      <c r="O565" s="1" t="s">
        <v>31</v>
      </c>
      <c r="P565" s="1">
        <v>1</v>
      </c>
      <c r="Q565" s="1">
        <v>1030</v>
      </c>
      <c r="R565" s="1">
        <v>1174.2</v>
      </c>
      <c r="S565" s="1">
        <v>0.08</v>
      </c>
    </row>
    <row r="566" spans="1:19" x14ac:dyDescent="0.3">
      <c r="A566" s="1" t="s">
        <v>1898</v>
      </c>
      <c r="B566" s="1" t="s">
        <v>97</v>
      </c>
      <c r="C566" s="1" t="s">
        <v>1899</v>
      </c>
      <c r="D566" s="1" t="s">
        <v>1900</v>
      </c>
      <c r="E566" s="1" t="s">
        <v>164</v>
      </c>
      <c r="F566" s="1">
        <v>45351</v>
      </c>
      <c r="G566" s="1">
        <v>45352</v>
      </c>
      <c r="H566" s="1">
        <v>45355</v>
      </c>
      <c r="I566" s="1" t="s">
        <v>82</v>
      </c>
      <c r="J566" s="1" t="s">
        <v>1</v>
      </c>
      <c r="K566" s="1" t="s">
        <v>19</v>
      </c>
      <c r="L566" s="1" t="s">
        <v>24</v>
      </c>
      <c r="M566" s="1" t="s">
        <v>43</v>
      </c>
      <c r="N566" s="1" t="s">
        <v>27</v>
      </c>
      <c r="O566" s="1" t="s">
        <v>31</v>
      </c>
      <c r="P566" s="1">
        <v>3</v>
      </c>
      <c r="Q566" s="1">
        <v>1630</v>
      </c>
      <c r="R566" s="1">
        <v>1744.1000000000001</v>
      </c>
      <c r="S566" s="1">
        <v>0.09</v>
      </c>
    </row>
    <row r="567" spans="1:19" x14ac:dyDescent="0.3">
      <c r="A567" s="1" t="s">
        <v>1901</v>
      </c>
      <c r="B567" s="1" t="s">
        <v>1065</v>
      </c>
      <c r="C567" s="1" t="s">
        <v>1902</v>
      </c>
      <c r="D567" s="1" t="s">
        <v>1903</v>
      </c>
      <c r="E567" s="1" t="s">
        <v>100</v>
      </c>
      <c r="F567" s="1">
        <v>45884</v>
      </c>
      <c r="G567" s="1">
        <v>45884</v>
      </c>
      <c r="H567" s="1">
        <v>45887</v>
      </c>
      <c r="I567" s="1" t="s">
        <v>82</v>
      </c>
      <c r="J567" s="1" t="s">
        <v>16</v>
      </c>
      <c r="K567" s="1" t="s">
        <v>20</v>
      </c>
      <c r="L567" s="1" t="s">
        <v>22</v>
      </c>
      <c r="M567" s="1" t="s">
        <v>42</v>
      </c>
      <c r="N567" s="1" t="s">
        <v>27</v>
      </c>
      <c r="O567" s="1" t="s">
        <v>28</v>
      </c>
      <c r="P567" s="1">
        <v>2</v>
      </c>
      <c r="Q567" s="1">
        <v>3030</v>
      </c>
      <c r="R567" s="1">
        <v>3211.8</v>
      </c>
      <c r="S567" s="1">
        <v>0.1</v>
      </c>
    </row>
    <row r="568" spans="1:19" x14ac:dyDescent="0.3">
      <c r="A568" s="1" t="s">
        <v>1904</v>
      </c>
      <c r="B568" s="1" t="s">
        <v>1226</v>
      </c>
      <c r="C568" s="1" t="s">
        <v>1905</v>
      </c>
      <c r="D568" s="1" t="s">
        <v>969</v>
      </c>
      <c r="E568" s="1" t="s">
        <v>109</v>
      </c>
      <c r="F568" s="1">
        <v>45296</v>
      </c>
      <c r="G568" s="1">
        <v>45297</v>
      </c>
      <c r="H568" s="1">
        <v>45298</v>
      </c>
      <c r="I568" s="1" t="s">
        <v>72</v>
      </c>
      <c r="J568" s="1" t="s">
        <v>16</v>
      </c>
      <c r="K568" s="1" t="s">
        <v>20</v>
      </c>
      <c r="L568" s="1" t="s">
        <v>24</v>
      </c>
      <c r="M568" s="1" t="s">
        <v>55</v>
      </c>
      <c r="N568" s="1" t="s">
        <v>27</v>
      </c>
      <c r="O568" s="1" t="s">
        <v>56</v>
      </c>
      <c r="P568" s="1">
        <v>5</v>
      </c>
      <c r="Q568" s="1">
        <v>650</v>
      </c>
      <c r="R568" s="1">
        <v>663</v>
      </c>
      <c r="S568" s="1">
        <v>0.02</v>
      </c>
    </row>
    <row r="569" spans="1:19" x14ac:dyDescent="0.3">
      <c r="A569" s="1" t="s">
        <v>1906</v>
      </c>
      <c r="B569" s="1" t="s">
        <v>377</v>
      </c>
      <c r="C569" s="1" t="s">
        <v>1907</v>
      </c>
      <c r="D569" s="1" t="s">
        <v>1908</v>
      </c>
      <c r="E569" s="1" t="s">
        <v>109</v>
      </c>
      <c r="F569" s="1">
        <v>45604</v>
      </c>
      <c r="G569" s="1">
        <v>45604</v>
      </c>
      <c r="H569" s="1">
        <v>45609</v>
      </c>
      <c r="I569" s="1" t="s">
        <v>72</v>
      </c>
      <c r="J569" s="1" t="s">
        <v>1</v>
      </c>
      <c r="K569" s="1" t="s">
        <v>20</v>
      </c>
      <c r="L569" s="1" t="s">
        <v>61</v>
      </c>
      <c r="M569" s="1" t="s">
        <v>55</v>
      </c>
      <c r="N569" s="1" t="s">
        <v>27</v>
      </c>
      <c r="O569" s="1" t="s">
        <v>56</v>
      </c>
      <c r="P569" s="1">
        <v>5</v>
      </c>
      <c r="Q569" s="1">
        <v>650</v>
      </c>
      <c r="R569" s="1">
        <v>663</v>
      </c>
      <c r="S569" s="1">
        <v>0.09</v>
      </c>
    </row>
    <row r="570" spans="1:19" x14ac:dyDescent="0.3">
      <c r="A570" s="1" t="s">
        <v>1909</v>
      </c>
      <c r="B570" s="1" t="s">
        <v>74</v>
      </c>
      <c r="C570" s="1" t="s">
        <v>1910</v>
      </c>
      <c r="D570" s="1" t="s">
        <v>1911</v>
      </c>
      <c r="E570" s="1" t="s">
        <v>81</v>
      </c>
      <c r="F570" s="1">
        <v>46096</v>
      </c>
      <c r="G570" s="1">
        <v>46097</v>
      </c>
      <c r="H570" s="1">
        <v>46099</v>
      </c>
      <c r="I570" s="1" t="s">
        <v>82</v>
      </c>
      <c r="J570" s="1" t="s">
        <v>18</v>
      </c>
      <c r="K570" s="1" t="s">
        <v>19</v>
      </c>
      <c r="L570" s="1" t="s">
        <v>61</v>
      </c>
      <c r="M570" s="1" t="s">
        <v>59</v>
      </c>
      <c r="N570" s="1" t="s">
        <v>27</v>
      </c>
      <c r="O570" s="1" t="s">
        <v>60</v>
      </c>
      <c r="P570" s="1">
        <v>1</v>
      </c>
      <c r="Q570" s="1">
        <v>1230</v>
      </c>
      <c r="R570" s="1">
        <v>1328.4</v>
      </c>
      <c r="S570" s="1">
        <v>0.02</v>
      </c>
    </row>
    <row r="571" spans="1:19" x14ac:dyDescent="0.3">
      <c r="A571" s="1" t="s">
        <v>1912</v>
      </c>
      <c r="B571" s="1" t="s">
        <v>1131</v>
      </c>
      <c r="C571" s="1" t="s">
        <v>1913</v>
      </c>
      <c r="D571" s="1" t="s">
        <v>238</v>
      </c>
      <c r="E571" s="1" t="s">
        <v>141</v>
      </c>
      <c r="F571" s="1">
        <v>45791</v>
      </c>
      <c r="G571" s="1">
        <v>45792</v>
      </c>
      <c r="H571" s="1">
        <v>45796</v>
      </c>
      <c r="I571" s="1" t="s">
        <v>72</v>
      </c>
      <c r="J571" s="1" t="s">
        <v>1</v>
      </c>
      <c r="K571" s="1" t="s">
        <v>21</v>
      </c>
      <c r="L571" s="1" t="s">
        <v>24</v>
      </c>
      <c r="M571" s="1" t="s">
        <v>35</v>
      </c>
      <c r="N571" s="1" t="s">
        <v>33</v>
      </c>
      <c r="O571" s="1" t="s">
        <v>36</v>
      </c>
      <c r="P571" s="1">
        <v>5</v>
      </c>
      <c r="Q571" s="1">
        <v>1530</v>
      </c>
      <c r="R571" s="1">
        <v>1790.1</v>
      </c>
      <c r="S571" s="1">
        <v>0.1</v>
      </c>
    </row>
    <row r="572" spans="1:19" x14ac:dyDescent="0.3">
      <c r="A572" s="1" t="s">
        <v>1914</v>
      </c>
      <c r="B572" s="1" t="s">
        <v>271</v>
      </c>
      <c r="C572" s="1" t="s">
        <v>1915</v>
      </c>
      <c r="D572" s="1" t="s">
        <v>1916</v>
      </c>
      <c r="E572" s="1" t="s">
        <v>81</v>
      </c>
      <c r="F572" s="1">
        <v>45330</v>
      </c>
      <c r="G572" s="1">
        <v>45330</v>
      </c>
      <c r="H572" s="1">
        <v>45332</v>
      </c>
      <c r="I572" s="1" t="s">
        <v>72</v>
      </c>
      <c r="J572" s="1" t="s">
        <v>16</v>
      </c>
      <c r="K572" s="1" t="s">
        <v>21</v>
      </c>
      <c r="L572" s="1" t="s">
        <v>23</v>
      </c>
      <c r="M572" s="1" t="s">
        <v>59</v>
      </c>
      <c r="N572" s="1" t="s">
        <v>27</v>
      </c>
      <c r="O572" s="1" t="s">
        <v>60</v>
      </c>
      <c r="P572" s="1">
        <v>12</v>
      </c>
      <c r="Q572" s="1">
        <v>1230</v>
      </c>
      <c r="R572" s="1">
        <v>1328.4</v>
      </c>
      <c r="S572" s="1">
        <v>0.09</v>
      </c>
    </row>
    <row r="573" spans="1:19" x14ac:dyDescent="0.3">
      <c r="A573" s="1" t="s">
        <v>1917</v>
      </c>
      <c r="B573" s="1" t="s">
        <v>161</v>
      </c>
      <c r="C573" s="1" t="s">
        <v>1918</v>
      </c>
      <c r="D573" s="1" t="s">
        <v>1919</v>
      </c>
      <c r="E573" s="1" t="s">
        <v>132</v>
      </c>
      <c r="F573" s="1">
        <v>45664</v>
      </c>
      <c r="G573" s="1">
        <v>45665</v>
      </c>
      <c r="H573" s="1">
        <v>45669</v>
      </c>
      <c r="I573" s="1" t="s">
        <v>72</v>
      </c>
      <c r="J573" s="1" t="s">
        <v>18</v>
      </c>
      <c r="K573" s="1" t="s">
        <v>19</v>
      </c>
      <c r="L573" s="1" t="s">
        <v>22</v>
      </c>
      <c r="M573" s="1" t="s">
        <v>53</v>
      </c>
      <c r="N573" s="1" t="s">
        <v>27</v>
      </c>
      <c r="O573" s="1" t="s">
        <v>54</v>
      </c>
      <c r="P573" s="1">
        <v>8</v>
      </c>
      <c r="Q573" s="1">
        <v>430</v>
      </c>
      <c r="R573" s="1">
        <v>455.8</v>
      </c>
      <c r="S573" s="1">
        <v>0.08</v>
      </c>
    </row>
    <row r="574" spans="1:19" x14ac:dyDescent="0.3">
      <c r="A574" s="1" t="s">
        <v>1920</v>
      </c>
      <c r="B574" s="1" t="s">
        <v>263</v>
      </c>
      <c r="C574" s="1" t="s">
        <v>1921</v>
      </c>
      <c r="D574" s="1" t="s">
        <v>1922</v>
      </c>
      <c r="E574" s="1" t="s">
        <v>217</v>
      </c>
      <c r="F574" s="1">
        <v>45468</v>
      </c>
      <c r="G574" s="1">
        <v>45469</v>
      </c>
      <c r="H574" s="1">
        <v>45470</v>
      </c>
      <c r="I574" s="1" t="s">
        <v>72</v>
      </c>
      <c r="J574" s="1" t="s">
        <v>18</v>
      </c>
      <c r="K574" s="1" t="s">
        <v>20</v>
      </c>
      <c r="L574" s="1" t="s">
        <v>25</v>
      </c>
      <c r="M574" s="1" t="s">
        <v>29</v>
      </c>
      <c r="N574" s="1" t="s">
        <v>27</v>
      </c>
      <c r="O574" s="1" t="s">
        <v>28</v>
      </c>
      <c r="P574" s="1">
        <v>8</v>
      </c>
      <c r="Q574" s="1">
        <v>3930</v>
      </c>
      <c r="R574" s="1">
        <v>4362.3</v>
      </c>
      <c r="S574" s="1">
        <v>7.0000000000000007E-2</v>
      </c>
    </row>
    <row r="575" spans="1:19" x14ac:dyDescent="0.3">
      <c r="A575" s="1" t="s">
        <v>1923</v>
      </c>
      <c r="B575" s="1" t="s">
        <v>1924</v>
      </c>
      <c r="C575" s="1" t="s">
        <v>1925</v>
      </c>
      <c r="D575" s="1" t="s">
        <v>1926</v>
      </c>
      <c r="E575" s="1" t="s">
        <v>164</v>
      </c>
      <c r="F575" s="1">
        <v>45679</v>
      </c>
      <c r="G575" s="1">
        <v>45679</v>
      </c>
      <c r="H575" s="1">
        <v>45684</v>
      </c>
      <c r="I575" s="1" t="s">
        <v>72</v>
      </c>
      <c r="J575" s="1" t="s">
        <v>17</v>
      </c>
      <c r="K575" s="1" t="s">
        <v>21</v>
      </c>
      <c r="L575" s="1" t="s">
        <v>22</v>
      </c>
      <c r="M575" s="1" t="s">
        <v>43</v>
      </c>
      <c r="N575" s="1" t="s">
        <v>27</v>
      </c>
      <c r="O575" s="1" t="s">
        <v>31</v>
      </c>
      <c r="P575" s="1">
        <v>15</v>
      </c>
      <c r="Q575" s="1">
        <v>1630</v>
      </c>
      <c r="R575" s="1">
        <v>1744.1000000000001</v>
      </c>
      <c r="S575" s="1">
        <v>0.02</v>
      </c>
    </row>
    <row r="576" spans="1:19" x14ac:dyDescent="0.3">
      <c r="A576" s="1" t="s">
        <v>1927</v>
      </c>
      <c r="B576" s="1" t="s">
        <v>1154</v>
      </c>
      <c r="C576" s="1" t="s">
        <v>1928</v>
      </c>
      <c r="D576" s="1" t="s">
        <v>1929</v>
      </c>
      <c r="E576" s="1" t="s">
        <v>208</v>
      </c>
      <c r="F576" s="1">
        <v>45901</v>
      </c>
      <c r="G576" s="1">
        <v>45902</v>
      </c>
      <c r="H576" s="1">
        <v>45903</v>
      </c>
      <c r="I576" s="1" t="s">
        <v>82</v>
      </c>
      <c r="J576" s="1" t="s">
        <v>16</v>
      </c>
      <c r="K576" s="1" t="s">
        <v>20</v>
      </c>
      <c r="L576" s="1" t="s">
        <v>22</v>
      </c>
      <c r="M576" s="1" t="s">
        <v>50</v>
      </c>
      <c r="N576" s="1" t="s">
        <v>33</v>
      </c>
      <c r="O576" s="1" t="s">
        <v>36</v>
      </c>
      <c r="P576" s="1">
        <v>2</v>
      </c>
      <c r="Q576" s="1">
        <v>930</v>
      </c>
      <c r="R576" s="1">
        <v>1078.8</v>
      </c>
      <c r="S576" s="1">
        <v>0.1</v>
      </c>
    </row>
    <row r="577" spans="1:19" x14ac:dyDescent="0.3">
      <c r="A577" s="1" t="s">
        <v>1930</v>
      </c>
      <c r="B577" s="1" t="s">
        <v>629</v>
      </c>
      <c r="C577" s="1" t="s">
        <v>1931</v>
      </c>
      <c r="D577" s="1" t="s">
        <v>1932</v>
      </c>
      <c r="E577" s="1" t="s">
        <v>178</v>
      </c>
      <c r="F577" s="1">
        <v>46058</v>
      </c>
      <c r="G577" s="1">
        <v>46058</v>
      </c>
      <c r="H577" s="1">
        <v>46062</v>
      </c>
      <c r="I577" s="1" t="s">
        <v>72</v>
      </c>
      <c r="J577" s="1" t="s">
        <v>1</v>
      </c>
      <c r="K577" s="1" t="s">
        <v>20</v>
      </c>
      <c r="L577" s="1" t="s">
        <v>61</v>
      </c>
      <c r="M577" s="1" t="s">
        <v>47</v>
      </c>
      <c r="N577" s="1" t="s">
        <v>38</v>
      </c>
      <c r="O577" s="1" t="s">
        <v>39</v>
      </c>
      <c r="P577" s="1">
        <v>9</v>
      </c>
      <c r="Q577" s="1">
        <v>390</v>
      </c>
      <c r="R577" s="1">
        <v>468</v>
      </c>
      <c r="S577" s="1">
        <v>0.03</v>
      </c>
    </row>
    <row r="578" spans="1:19" x14ac:dyDescent="0.3">
      <c r="A578" s="1" t="s">
        <v>1933</v>
      </c>
      <c r="B578" s="1" t="s">
        <v>462</v>
      </c>
      <c r="C578" s="1" t="s">
        <v>1934</v>
      </c>
      <c r="D578" s="1" t="s">
        <v>1935</v>
      </c>
      <c r="E578" s="1" t="s">
        <v>109</v>
      </c>
      <c r="F578" s="1">
        <v>45877</v>
      </c>
      <c r="G578" s="1">
        <v>45878</v>
      </c>
      <c r="H578" s="1">
        <v>45879</v>
      </c>
      <c r="I578" s="1" t="s">
        <v>72</v>
      </c>
      <c r="J578" s="1" t="s">
        <v>2</v>
      </c>
      <c r="K578" s="1" t="s">
        <v>21</v>
      </c>
      <c r="L578" s="1" t="s">
        <v>23</v>
      </c>
      <c r="M578" s="1" t="s">
        <v>55</v>
      </c>
      <c r="N578" s="1" t="s">
        <v>27</v>
      </c>
      <c r="O578" s="1" t="s">
        <v>56</v>
      </c>
      <c r="P578" s="1">
        <v>12</v>
      </c>
      <c r="Q578" s="1">
        <v>650</v>
      </c>
      <c r="R578" s="1">
        <v>663</v>
      </c>
      <c r="S578" s="1">
        <v>0.05</v>
      </c>
    </row>
    <row r="579" spans="1:19" x14ac:dyDescent="0.3">
      <c r="A579" s="1" t="s">
        <v>1936</v>
      </c>
      <c r="B579" s="1" t="s">
        <v>92</v>
      </c>
      <c r="C579" s="1" t="s">
        <v>1937</v>
      </c>
      <c r="D579" s="1" t="s">
        <v>1938</v>
      </c>
      <c r="E579" s="1" t="s">
        <v>208</v>
      </c>
      <c r="F579" s="1">
        <v>45998</v>
      </c>
      <c r="G579" s="1">
        <v>45999</v>
      </c>
      <c r="H579" s="1">
        <v>46000</v>
      </c>
      <c r="I579" s="1" t="s">
        <v>82</v>
      </c>
      <c r="J579" s="1" t="s">
        <v>1</v>
      </c>
      <c r="K579" s="1" t="s">
        <v>19</v>
      </c>
      <c r="L579" s="1" t="s">
        <v>61</v>
      </c>
      <c r="M579" s="1" t="s">
        <v>50</v>
      </c>
      <c r="N579" s="1" t="s">
        <v>33</v>
      </c>
      <c r="O579" s="1" t="s">
        <v>36</v>
      </c>
      <c r="P579" s="1">
        <v>3</v>
      </c>
      <c r="Q579" s="1">
        <v>930</v>
      </c>
      <c r="R579" s="1">
        <v>1078.8</v>
      </c>
      <c r="S579" s="1">
        <v>0</v>
      </c>
    </row>
    <row r="580" spans="1:19" x14ac:dyDescent="0.3">
      <c r="A580" s="1" t="s">
        <v>1939</v>
      </c>
      <c r="B580" s="1" t="s">
        <v>230</v>
      </c>
      <c r="C580" s="1" t="s">
        <v>1940</v>
      </c>
      <c r="D580" s="1" t="s">
        <v>1941</v>
      </c>
      <c r="E580" s="1" t="s">
        <v>81</v>
      </c>
      <c r="F580" s="1">
        <v>45340</v>
      </c>
      <c r="G580" s="1">
        <v>45341</v>
      </c>
      <c r="H580" s="1">
        <v>45345</v>
      </c>
      <c r="I580" s="1" t="s">
        <v>72</v>
      </c>
      <c r="J580" s="1" t="s">
        <v>1</v>
      </c>
      <c r="K580" s="1" t="s">
        <v>21</v>
      </c>
      <c r="L580" s="1" t="s">
        <v>23</v>
      </c>
      <c r="M580" s="1" t="s">
        <v>59</v>
      </c>
      <c r="N580" s="1" t="s">
        <v>27</v>
      </c>
      <c r="O580" s="1" t="s">
        <v>60</v>
      </c>
      <c r="P580" s="1">
        <v>14</v>
      </c>
      <c r="Q580" s="1">
        <v>1230</v>
      </c>
      <c r="R580" s="1">
        <v>1328.4</v>
      </c>
      <c r="S580" s="1">
        <v>0.04</v>
      </c>
    </row>
    <row r="581" spans="1:19" x14ac:dyDescent="0.3">
      <c r="A581" s="1" t="s">
        <v>1942</v>
      </c>
      <c r="B581" s="1" t="s">
        <v>1943</v>
      </c>
      <c r="C581" s="1" t="s">
        <v>1944</v>
      </c>
      <c r="D581" s="1" t="s">
        <v>1945</v>
      </c>
      <c r="E581" s="1" t="s">
        <v>119</v>
      </c>
      <c r="F581" s="1">
        <v>45704</v>
      </c>
      <c r="G581" s="1">
        <v>45705</v>
      </c>
      <c r="H581" s="1">
        <v>45709</v>
      </c>
      <c r="I581" s="1" t="s">
        <v>72</v>
      </c>
      <c r="J581" s="1" t="s">
        <v>2</v>
      </c>
      <c r="K581" s="1" t="s">
        <v>21</v>
      </c>
      <c r="L581" s="1" t="s">
        <v>25</v>
      </c>
      <c r="M581" s="1" t="s">
        <v>37</v>
      </c>
      <c r="N581" s="1" t="s">
        <v>38</v>
      </c>
      <c r="O581" s="1" t="s">
        <v>39</v>
      </c>
      <c r="P581" s="1">
        <v>10</v>
      </c>
      <c r="Q581" s="1">
        <v>250</v>
      </c>
      <c r="R581" s="1">
        <v>270</v>
      </c>
      <c r="S581" s="1">
        <v>0.09</v>
      </c>
    </row>
    <row r="582" spans="1:19" x14ac:dyDescent="0.3">
      <c r="A582" s="1" t="s">
        <v>1946</v>
      </c>
      <c r="B582" s="1" t="s">
        <v>151</v>
      </c>
      <c r="C582" s="1" t="s">
        <v>1947</v>
      </c>
      <c r="D582" s="1" t="s">
        <v>1948</v>
      </c>
      <c r="E582" s="1" t="s">
        <v>208</v>
      </c>
      <c r="F582" s="1">
        <v>45863</v>
      </c>
      <c r="G582" s="1">
        <v>45863</v>
      </c>
      <c r="H582" s="1">
        <v>45865</v>
      </c>
      <c r="I582" s="1" t="s">
        <v>72</v>
      </c>
      <c r="J582" s="1" t="s">
        <v>18</v>
      </c>
      <c r="K582" s="1" t="s">
        <v>20</v>
      </c>
      <c r="L582" s="1" t="s">
        <v>24</v>
      </c>
      <c r="M582" s="1" t="s">
        <v>50</v>
      </c>
      <c r="N582" s="1" t="s">
        <v>33</v>
      </c>
      <c r="O582" s="1" t="s">
        <v>36</v>
      </c>
      <c r="P582" s="1">
        <v>7</v>
      </c>
      <c r="Q582" s="1">
        <v>930</v>
      </c>
      <c r="R582" s="1">
        <v>1078.8</v>
      </c>
      <c r="S582" s="1">
        <v>0.01</v>
      </c>
    </row>
    <row r="583" spans="1:19" x14ac:dyDescent="0.3">
      <c r="A583" s="1" t="s">
        <v>1949</v>
      </c>
      <c r="B583" s="1" t="s">
        <v>679</v>
      </c>
      <c r="C583" s="1" t="s">
        <v>1950</v>
      </c>
      <c r="D583" s="1" t="s">
        <v>1951</v>
      </c>
      <c r="E583" s="1" t="s">
        <v>192</v>
      </c>
      <c r="F583" s="1">
        <v>46039</v>
      </c>
      <c r="G583" s="1">
        <v>46039</v>
      </c>
      <c r="H583" s="1">
        <v>46042</v>
      </c>
      <c r="I583" s="1" t="s">
        <v>72</v>
      </c>
      <c r="J583" s="1" t="s">
        <v>1</v>
      </c>
      <c r="K583" s="1" t="s">
        <v>20</v>
      </c>
      <c r="L583" s="1" t="s">
        <v>23</v>
      </c>
      <c r="M583" s="1" t="s">
        <v>46</v>
      </c>
      <c r="N583" s="1" t="s">
        <v>38</v>
      </c>
      <c r="O583" s="1" t="s">
        <v>45</v>
      </c>
      <c r="P583" s="1">
        <v>6</v>
      </c>
      <c r="Q583" s="1">
        <v>350</v>
      </c>
      <c r="R583" s="1">
        <v>364</v>
      </c>
      <c r="S583" s="1">
        <v>0.05</v>
      </c>
    </row>
    <row r="584" spans="1:19" x14ac:dyDescent="0.3">
      <c r="A584" s="1" t="s">
        <v>1952</v>
      </c>
      <c r="B584" s="1" t="s">
        <v>267</v>
      </c>
      <c r="C584" s="1" t="s">
        <v>1953</v>
      </c>
      <c r="D584" s="1" t="s">
        <v>1954</v>
      </c>
      <c r="E584" s="1" t="s">
        <v>77</v>
      </c>
      <c r="F584" s="1">
        <v>45866</v>
      </c>
      <c r="G584" s="1">
        <v>45866</v>
      </c>
      <c r="H584" s="1">
        <v>45869</v>
      </c>
      <c r="I584" s="1" t="s">
        <v>72</v>
      </c>
      <c r="J584" s="1" t="s">
        <v>2</v>
      </c>
      <c r="K584" s="1" t="s">
        <v>20</v>
      </c>
      <c r="L584" s="1" t="s">
        <v>61</v>
      </c>
      <c r="M584" s="1" t="s">
        <v>44</v>
      </c>
      <c r="N584" s="1" t="s">
        <v>38</v>
      </c>
      <c r="O584" s="1" t="s">
        <v>45</v>
      </c>
      <c r="P584" s="1">
        <v>7</v>
      </c>
      <c r="Q584" s="1">
        <v>210</v>
      </c>
      <c r="R584" s="1">
        <v>222.60000000000002</v>
      </c>
      <c r="S584" s="1">
        <v>0.1</v>
      </c>
    </row>
    <row r="585" spans="1:19" x14ac:dyDescent="0.3">
      <c r="A585" s="1" t="s">
        <v>1955</v>
      </c>
      <c r="B585" s="1" t="s">
        <v>1852</v>
      </c>
      <c r="C585" s="1" t="s">
        <v>1956</v>
      </c>
      <c r="D585" s="1" t="s">
        <v>1957</v>
      </c>
      <c r="E585" s="1" t="s">
        <v>178</v>
      </c>
      <c r="F585" s="1">
        <v>45634</v>
      </c>
      <c r="G585" s="1">
        <v>45635</v>
      </c>
      <c r="H585" s="1">
        <v>45638</v>
      </c>
      <c r="I585" s="1" t="s">
        <v>72</v>
      </c>
      <c r="J585" s="1" t="s">
        <v>17</v>
      </c>
      <c r="K585" s="1" t="s">
        <v>21</v>
      </c>
      <c r="L585" s="1" t="s">
        <v>22</v>
      </c>
      <c r="M585" s="1" t="s">
        <v>47</v>
      </c>
      <c r="N585" s="1" t="s">
        <v>38</v>
      </c>
      <c r="O585" s="1" t="s">
        <v>39</v>
      </c>
      <c r="P585" s="1">
        <v>5</v>
      </c>
      <c r="Q585" s="1">
        <v>390</v>
      </c>
      <c r="R585" s="1">
        <v>468</v>
      </c>
      <c r="S585" s="1">
        <v>0.1</v>
      </c>
    </row>
    <row r="586" spans="1:19" x14ac:dyDescent="0.3">
      <c r="A586" s="1" t="s">
        <v>1958</v>
      </c>
      <c r="B586" s="1" t="s">
        <v>1959</v>
      </c>
      <c r="C586" s="1" t="s">
        <v>1960</v>
      </c>
      <c r="D586" s="1" t="s">
        <v>1961</v>
      </c>
      <c r="E586" s="1" t="s">
        <v>95</v>
      </c>
      <c r="F586" s="1">
        <v>46048</v>
      </c>
      <c r="G586" s="1">
        <v>46049</v>
      </c>
      <c r="H586" s="1">
        <v>46051</v>
      </c>
      <c r="I586" s="1" t="s">
        <v>72</v>
      </c>
      <c r="J586" s="1" t="s">
        <v>17</v>
      </c>
      <c r="K586" s="1" t="s">
        <v>21</v>
      </c>
      <c r="L586" s="1" t="s">
        <v>61</v>
      </c>
      <c r="M586" s="1" t="s">
        <v>49</v>
      </c>
      <c r="N586" s="1" t="s">
        <v>33</v>
      </c>
      <c r="O586" s="1" t="s">
        <v>34</v>
      </c>
      <c r="P586" s="1">
        <v>8</v>
      </c>
      <c r="Q586" s="1">
        <v>1080</v>
      </c>
      <c r="R586" s="1">
        <v>1112.4000000000001</v>
      </c>
      <c r="S586" s="1">
        <v>0.01</v>
      </c>
    </row>
    <row r="587" spans="1:19" x14ac:dyDescent="0.3">
      <c r="A587" s="1" t="s">
        <v>1962</v>
      </c>
      <c r="B587" s="1" t="s">
        <v>979</v>
      </c>
      <c r="C587" s="1" t="s">
        <v>1963</v>
      </c>
      <c r="D587" s="1" t="s">
        <v>1964</v>
      </c>
      <c r="E587" s="1" t="s">
        <v>291</v>
      </c>
      <c r="F587" s="1">
        <v>45456</v>
      </c>
      <c r="G587" s="1">
        <v>45457</v>
      </c>
      <c r="H587" s="1">
        <v>45461</v>
      </c>
      <c r="I587" s="1" t="s">
        <v>72</v>
      </c>
      <c r="J587" s="1" t="s">
        <v>2</v>
      </c>
      <c r="K587" s="1" t="s">
        <v>19</v>
      </c>
      <c r="L587" s="1" t="s">
        <v>24</v>
      </c>
      <c r="M587" s="1" t="s">
        <v>57</v>
      </c>
      <c r="N587" s="1" t="s">
        <v>27</v>
      </c>
      <c r="O587" s="1" t="s">
        <v>58</v>
      </c>
      <c r="P587" s="1">
        <v>6</v>
      </c>
      <c r="Q587" s="1">
        <v>480</v>
      </c>
      <c r="R587" s="1">
        <v>513.6</v>
      </c>
      <c r="S587" s="1">
        <v>0.04</v>
      </c>
    </row>
    <row r="588" spans="1:19" x14ac:dyDescent="0.3">
      <c r="A588" s="1" t="s">
        <v>1965</v>
      </c>
      <c r="B588" s="1" t="s">
        <v>1325</v>
      </c>
      <c r="C588" s="1" t="s">
        <v>1966</v>
      </c>
      <c r="D588" s="1" t="s">
        <v>1967</v>
      </c>
      <c r="E588" s="1" t="s">
        <v>71</v>
      </c>
      <c r="F588" s="1">
        <v>45906</v>
      </c>
      <c r="G588" s="1">
        <v>45907</v>
      </c>
      <c r="H588" s="1">
        <v>45908</v>
      </c>
      <c r="I588" s="1" t="s">
        <v>72</v>
      </c>
      <c r="J588" s="1" t="s">
        <v>17</v>
      </c>
      <c r="K588" s="1" t="s">
        <v>21</v>
      </c>
      <c r="L588" s="1" t="s">
        <v>61</v>
      </c>
      <c r="M588" s="1" t="s">
        <v>32</v>
      </c>
      <c r="N588" s="1" t="s">
        <v>33</v>
      </c>
      <c r="O588" s="1" t="s">
        <v>34</v>
      </c>
      <c r="P588" s="1">
        <v>9</v>
      </c>
      <c r="Q588" s="1">
        <v>730</v>
      </c>
      <c r="R588" s="1">
        <v>824.9</v>
      </c>
      <c r="S588" s="1">
        <v>0.03</v>
      </c>
    </row>
    <row r="589" spans="1:19" x14ac:dyDescent="0.3">
      <c r="A589" s="1" t="s">
        <v>1968</v>
      </c>
      <c r="B589" s="1" t="s">
        <v>1969</v>
      </c>
      <c r="C589" s="1" t="s">
        <v>1970</v>
      </c>
      <c r="D589" s="1" t="s">
        <v>1971</v>
      </c>
      <c r="E589" s="1" t="s">
        <v>208</v>
      </c>
      <c r="F589" s="1">
        <v>45592</v>
      </c>
      <c r="G589" s="1">
        <v>45592</v>
      </c>
      <c r="H589" s="1">
        <v>45597</v>
      </c>
      <c r="I589" s="1" t="s">
        <v>72</v>
      </c>
      <c r="J589" s="1" t="s">
        <v>17</v>
      </c>
      <c r="K589" s="1" t="s">
        <v>21</v>
      </c>
      <c r="L589" s="1" t="s">
        <v>22</v>
      </c>
      <c r="M589" s="1" t="s">
        <v>50</v>
      </c>
      <c r="N589" s="1" t="s">
        <v>33</v>
      </c>
      <c r="O589" s="1" t="s">
        <v>36</v>
      </c>
      <c r="P589" s="1">
        <v>13</v>
      </c>
      <c r="Q589" s="1">
        <v>930</v>
      </c>
      <c r="R589" s="1">
        <v>1078.8</v>
      </c>
      <c r="S589" s="1">
        <v>0.03</v>
      </c>
    </row>
    <row r="590" spans="1:19" x14ac:dyDescent="0.3">
      <c r="A590" s="1" t="s">
        <v>1972</v>
      </c>
      <c r="B590" s="1" t="s">
        <v>1290</v>
      </c>
      <c r="C590" s="1" t="s">
        <v>1973</v>
      </c>
      <c r="D590" s="1" t="s">
        <v>1974</v>
      </c>
      <c r="E590" s="1" t="s">
        <v>291</v>
      </c>
      <c r="F590" s="1">
        <v>46010</v>
      </c>
      <c r="G590" s="1">
        <v>46010</v>
      </c>
      <c r="H590" s="1">
        <v>46013</v>
      </c>
      <c r="I590" s="1" t="s">
        <v>72</v>
      </c>
      <c r="J590" s="1" t="s">
        <v>1</v>
      </c>
      <c r="K590" s="1" t="s">
        <v>21</v>
      </c>
      <c r="L590" s="1" t="s">
        <v>61</v>
      </c>
      <c r="M590" s="1" t="s">
        <v>57</v>
      </c>
      <c r="N590" s="1" t="s">
        <v>27</v>
      </c>
      <c r="O590" s="1" t="s">
        <v>58</v>
      </c>
      <c r="P590" s="1">
        <v>10</v>
      </c>
      <c r="Q590" s="1">
        <v>480</v>
      </c>
      <c r="R590" s="1">
        <v>513.6</v>
      </c>
      <c r="S590" s="1">
        <v>0.06</v>
      </c>
    </row>
    <row r="591" spans="1:19" x14ac:dyDescent="0.3">
      <c r="A591" s="1" t="s">
        <v>1975</v>
      </c>
      <c r="B591" s="1" t="s">
        <v>1725</v>
      </c>
      <c r="C591" s="1" t="s">
        <v>1976</v>
      </c>
      <c r="D591" s="1" t="s">
        <v>1977</v>
      </c>
      <c r="E591" s="1" t="s">
        <v>100</v>
      </c>
      <c r="F591" s="1">
        <v>46118</v>
      </c>
      <c r="G591" s="1">
        <v>46119</v>
      </c>
      <c r="H591" s="1">
        <v>46123</v>
      </c>
      <c r="I591" s="1" t="s">
        <v>72</v>
      </c>
      <c r="J591" s="1" t="s">
        <v>17</v>
      </c>
      <c r="K591" s="1" t="s">
        <v>21</v>
      </c>
      <c r="L591" s="1" t="s">
        <v>23</v>
      </c>
      <c r="M591" s="1" t="s">
        <v>42</v>
      </c>
      <c r="N591" s="1" t="s">
        <v>27</v>
      </c>
      <c r="O591" s="1" t="s">
        <v>28</v>
      </c>
      <c r="P591" s="1">
        <v>13</v>
      </c>
      <c r="Q591" s="1">
        <v>3030</v>
      </c>
      <c r="R591" s="1">
        <v>3211.8</v>
      </c>
      <c r="S591" s="1">
        <v>0.09</v>
      </c>
    </row>
    <row r="592" spans="1:19" x14ac:dyDescent="0.3">
      <c r="A592" s="1" t="s">
        <v>1978</v>
      </c>
      <c r="B592" s="1" t="s">
        <v>240</v>
      </c>
      <c r="C592" s="1" t="s">
        <v>1631</v>
      </c>
      <c r="D592" s="1" t="s">
        <v>1979</v>
      </c>
      <c r="E592" s="1" t="s">
        <v>100</v>
      </c>
      <c r="F592" s="1">
        <v>45602</v>
      </c>
      <c r="G592" s="1">
        <v>45603</v>
      </c>
      <c r="H592" s="1">
        <v>45607</v>
      </c>
      <c r="I592" s="1" t="s">
        <v>82</v>
      </c>
      <c r="J592" s="1" t="s">
        <v>18</v>
      </c>
      <c r="K592" s="1" t="s">
        <v>19</v>
      </c>
      <c r="L592" s="1" t="s">
        <v>25</v>
      </c>
      <c r="M592" s="1" t="s">
        <v>42</v>
      </c>
      <c r="N592" s="1" t="s">
        <v>27</v>
      </c>
      <c r="O592" s="1" t="s">
        <v>28</v>
      </c>
      <c r="P592" s="1">
        <v>3</v>
      </c>
      <c r="Q592" s="1">
        <v>3030</v>
      </c>
      <c r="R592" s="1">
        <v>3211.8</v>
      </c>
      <c r="S592" s="1">
        <v>0.02</v>
      </c>
    </row>
    <row r="593" spans="1:19" x14ac:dyDescent="0.3">
      <c r="A593" s="1" t="s">
        <v>1980</v>
      </c>
      <c r="B593" s="1" t="s">
        <v>365</v>
      </c>
      <c r="C593" s="1" t="s">
        <v>1981</v>
      </c>
      <c r="D593" s="1" t="s">
        <v>1982</v>
      </c>
      <c r="E593" s="1" t="s">
        <v>114</v>
      </c>
      <c r="F593" s="1">
        <v>45720</v>
      </c>
      <c r="G593" s="1">
        <v>45721</v>
      </c>
      <c r="H593" s="1">
        <v>45722</v>
      </c>
      <c r="I593" s="1" t="s">
        <v>72</v>
      </c>
      <c r="J593" s="1" t="s">
        <v>18</v>
      </c>
      <c r="K593" s="1" t="s">
        <v>20</v>
      </c>
      <c r="L593" s="1" t="s">
        <v>22</v>
      </c>
      <c r="M593" s="1" t="s">
        <v>51</v>
      </c>
      <c r="N593" s="1" t="s">
        <v>33</v>
      </c>
      <c r="O593" s="1" t="s">
        <v>52</v>
      </c>
      <c r="P593" s="1">
        <v>5</v>
      </c>
      <c r="Q593" s="1">
        <v>280</v>
      </c>
      <c r="R593" s="1">
        <v>336</v>
      </c>
      <c r="S593" s="1">
        <v>0.09</v>
      </c>
    </row>
    <row r="594" spans="1:19" x14ac:dyDescent="0.3">
      <c r="A594" s="1" t="s">
        <v>1983</v>
      </c>
      <c r="B594" s="1" t="s">
        <v>1065</v>
      </c>
      <c r="C594" s="1" t="s">
        <v>1984</v>
      </c>
      <c r="D594" s="1" t="s">
        <v>1985</v>
      </c>
      <c r="E594" s="1" t="s">
        <v>178</v>
      </c>
      <c r="F594" s="1">
        <v>45630</v>
      </c>
      <c r="G594" s="1">
        <v>45630</v>
      </c>
      <c r="H594" s="1">
        <v>45634</v>
      </c>
      <c r="I594" s="1" t="s">
        <v>72</v>
      </c>
      <c r="J594" s="1" t="s">
        <v>16</v>
      </c>
      <c r="K594" s="1" t="s">
        <v>21</v>
      </c>
      <c r="L594" s="1" t="s">
        <v>22</v>
      </c>
      <c r="M594" s="1" t="s">
        <v>47</v>
      </c>
      <c r="N594" s="1" t="s">
        <v>38</v>
      </c>
      <c r="O594" s="1" t="s">
        <v>39</v>
      </c>
      <c r="P594" s="1">
        <v>9</v>
      </c>
      <c r="Q594" s="1">
        <v>390</v>
      </c>
      <c r="R594" s="1">
        <v>468</v>
      </c>
      <c r="S594" s="1">
        <v>0.03</v>
      </c>
    </row>
    <row r="595" spans="1:19" x14ac:dyDescent="0.3">
      <c r="A595" s="1" t="s">
        <v>1986</v>
      </c>
      <c r="B595" s="1" t="s">
        <v>898</v>
      </c>
      <c r="C595" s="1" t="s">
        <v>1987</v>
      </c>
      <c r="D595" s="1" t="s">
        <v>1988</v>
      </c>
      <c r="E595" s="1" t="s">
        <v>114</v>
      </c>
      <c r="F595" s="1">
        <v>45713</v>
      </c>
      <c r="G595" s="1">
        <v>45713</v>
      </c>
      <c r="H595" s="1">
        <v>45718</v>
      </c>
      <c r="I595" s="1" t="s">
        <v>82</v>
      </c>
      <c r="J595" s="1" t="s">
        <v>2</v>
      </c>
      <c r="K595" s="1" t="s">
        <v>20</v>
      </c>
      <c r="L595" s="1" t="s">
        <v>61</v>
      </c>
      <c r="M595" s="1" t="s">
        <v>51</v>
      </c>
      <c r="N595" s="1" t="s">
        <v>33</v>
      </c>
      <c r="O595" s="1" t="s">
        <v>52</v>
      </c>
      <c r="P595" s="1">
        <v>4</v>
      </c>
      <c r="Q595" s="1">
        <v>280</v>
      </c>
      <c r="R595" s="1">
        <v>336</v>
      </c>
      <c r="S595" s="1">
        <v>0.04</v>
      </c>
    </row>
    <row r="596" spans="1:19" x14ac:dyDescent="0.3">
      <c r="A596" s="1" t="s">
        <v>1989</v>
      </c>
      <c r="B596" s="1" t="s">
        <v>1325</v>
      </c>
      <c r="C596" s="1" t="s">
        <v>1990</v>
      </c>
      <c r="D596" s="1" t="s">
        <v>1991</v>
      </c>
      <c r="E596" s="1" t="s">
        <v>100</v>
      </c>
      <c r="F596" s="1">
        <v>45293</v>
      </c>
      <c r="G596" s="1">
        <v>45293</v>
      </c>
      <c r="H596" s="1">
        <v>45297</v>
      </c>
      <c r="I596" s="1" t="s">
        <v>72</v>
      </c>
      <c r="J596" s="1" t="s">
        <v>2</v>
      </c>
      <c r="K596" s="1" t="s">
        <v>19</v>
      </c>
      <c r="L596" s="1" t="s">
        <v>61</v>
      </c>
      <c r="M596" s="1" t="s">
        <v>42</v>
      </c>
      <c r="N596" s="1" t="s">
        <v>27</v>
      </c>
      <c r="O596" s="1" t="s">
        <v>28</v>
      </c>
      <c r="P596" s="1">
        <v>8</v>
      </c>
      <c r="Q596" s="1">
        <v>3030</v>
      </c>
      <c r="R596" s="1">
        <v>3211.8</v>
      </c>
      <c r="S596" s="1">
        <v>0.02</v>
      </c>
    </row>
    <row r="597" spans="1:19" x14ac:dyDescent="0.3">
      <c r="A597" s="1" t="s">
        <v>1992</v>
      </c>
      <c r="B597" s="1" t="s">
        <v>92</v>
      </c>
      <c r="C597" s="1" t="s">
        <v>1993</v>
      </c>
      <c r="D597" s="1" t="s">
        <v>1994</v>
      </c>
      <c r="E597" s="1" t="s">
        <v>77</v>
      </c>
      <c r="F597" s="1">
        <v>45644</v>
      </c>
      <c r="G597" s="1">
        <v>45645</v>
      </c>
      <c r="H597" s="1">
        <v>45649</v>
      </c>
      <c r="I597" s="1" t="s">
        <v>72</v>
      </c>
      <c r="J597" s="1" t="s">
        <v>2</v>
      </c>
      <c r="K597" s="1" t="s">
        <v>19</v>
      </c>
      <c r="L597" s="1" t="s">
        <v>22</v>
      </c>
      <c r="M597" s="1" t="s">
        <v>44</v>
      </c>
      <c r="N597" s="1" t="s">
        <v>38</v>
      </c>
      <c r="O597" s="1" t="s">
        <v>45</v>
      </c>
      <c r="P597" s="1">
        <v>8</v>
      </c>
      <c r="Q597" s="1">
        <v>210</v>
      </c>
      <c r="R597" s="1">
        <v>222.60000000000002</v>
      </c>
      <c r="S597" s="1">
        <v>0.1</v>
      </c>
    </row>
    <row r="598" spans="1:19" x14ac:dyDescent="0.3">
      <c r="A598" s="1" t="s">
        <v>1995</v>
      </c>
      <c r="B598" s="1" t="s">
        <v>458</v>
      </c>
      <c r="C598" s="1" t="s">
        <v>1996</v>
      </c>
      <c r="D598" s="1" t="s">
        <v>1997</v>
      </c>
      <c r="E598" s="1" t="s">
        <v>87</v>
      </c>
      <c r="F598" s="1">
        <v>45303</v>
      </c>
      <c r="G598" s="1">
        <v>45304</v>
      </c>
      <c r="H598" s="1">
        <v>45307</v>
      </c>
      <c r="I598" s="1" t="s">
        <v>72</v>
      </c>
      <c r="J598" s="1" t="s">
        <v>17</v>
      </c>
      <c r="K598" s="1" t="s">
        <v>21</v>
      </c>
      <c r="L598" s="1" t="s">
        <v>23</v>
      </c>
      <c r="M598" s="1" t="s">
        <v>30</v>
      </c>
      <c r="N598" s="1" t="s">
        <v>27</v>
      </c>
      <c r="O598" s="1" t="s">
        <v>31</v>
      </c>
      <c r="P598" s="1">
        <v>9</v>
      </c>
      <c r="Q598" s="1">
        <v>1030</v>
      </c>
      <c r="R598" s="1">
        <v>1174.2</v>
      </c>
      <c r="S598" s="1">
        <v>0.02</v>
      </c>
    </row>
    <row r="599" spans="1:19" x14ac:dyDescent="0.3">
      <c r="A599" s="1" t="s">
        <v>1998</v>
      </c>
      <c r="B599" s="1" t="s">
        <v>1174</v>
      </c>
      <c r="C599" s="1" t="s">
        <v>1999</v>
      </c>
      <c r="D599" s="1" t="s">
        <v>2000</v>
      </c>
      <c r="E599" s="1" t="s">
        <v>114</v>
      </c>
      <c r="F599" s="1">
        <v>45501</v>
      </c>
      <c r="G599" s="1">
        <v>45501</v>
      </c>
      <c r="H599" s="1">
        <v>45506</v>
      </c>
      <c r="I599" s="1" t="s">
        <v>72</v>
      </c>
      <c r="J599" s="1" t="s">
        <v>16</v>
      </c>
      <c r="K599" s="1" t="s">
        <v>19</v>
      </c>
      <c r="L599" s="1" t="s">
        <v>24</v>
      </c>
      <c r="M599" s="1" t="s">
        <v>51</v>
      </c>
      <c r="N599" s="1" t="s">
        <v>33</v>
      </c>
      <c r="O599" s="1" t="s">
        <v>52</v>
      </c>
      <c r="P599" s="1">
        <v>5</v>
      </c>
      <c r="Q599" s="1">
        <v>280</v>
      </c>
      <c r="R599" s="1">
        <v>336</v>
      </c>
      <c r="S599" s="1">
        <v>0.02</v>
      </c>
    </row>
    <row r="600" spans="1:19" x14ac:dyDescent="0.3">
      <c r="A600" s="1" t="s">
        <v>2001</v>
      </c>
      <c r="B600" s="1" t="s">
        <v>1607</v>
      </c>
      <c r="C600" s="1" t="s">
        <v>2002</v>
      </c>
      <c r="D600" s="1" t="s">
        <v>2003</v>
      </c>
      <c r="E600" s="1" t="s">
        <v>141</v>
      </c>
      <c r="F600" s="1">
        <v>45754</v>
      </c>
      <c r="G600" s="1">
        <v>45754</v>
      </c>
      <c r="H600" s="1">
        <v>45759</v>
      </c>
      <c r="I600" s="1" t="s">
        <v>82</v>
      </c>
      <c r="J600" s="1" t="s">
        <v>18</v>
      </c>
      <c r="K600" s="1" t="s">
        <v>20</v>
      </c>
      <c r="L600" s="1" t="s">
        <v>25</v>
      </c>
      <c r="M600" s="1" t="s">
        <v>35</v>
      </c>
      <c r="N600" s="1" t="s">
        <v>33</v>
      </c>
      <c r="O600" s="1" t="s">
        <v>36</v>
      </c>
      <c r="P600" s="1">
        <v>1</v>
      </c>
      <c r="Q600" s="1">
        <v>1530</v>
      </c>
      <c r="R600" s="1">
        <v>1790.1</v>
      </c>
      <c r="S600" s="1">
        <v>0.02</v>
      </c>
    </row>
    <row r="601" spans="1:19" x14ac:dyDescent="0.3">
      <c r="A601" s="1" t="s">
        <v>2004</v>
      </c>
      <c r="B601" s="1" t="s">
        <v>428</v>
      </c>
      <c r="C601" s="1" t="s">
        <v>2005</v>
      </c>
      <c r="D601" s="1" t="s">
        <v>2006</v>
      </c>
      <c r="E601" s="1" t="s">
        <v>109</v>
      </c>
      <c r="F601" s="1">
        <v>45698</v>
      </c>
      <c r="G601" s="1">
        <v>45699</v>
      </c>
      <c r="H601" s="1">
        <v>45702</v>
      </c>
      <c r="I601" s="1" t="s">
        <v>72</v>
      </c>
      <c r="J601" s="1" t="s">
        <v>18</v>
      </c>
      <c r="K601" s="1" t="s">
        <v>19</v>
      </c>
      <c r="L601" s="1" t="s">
        <v>22</v>
      </c>
      <c r="M601" s="1" t="s">
        <v>55</v>
      </c>
      <c r="N601" s="1" t="s">
        <v>27</v>
      </c>
      <c r="O601" s="1" t="s">
        <v>56</v>
      </c>
      <c r="P601" s="1">
        <v>7</v>
      </c>
      <c r="Q601" s="1">
        <v>650</v>
      </c>
      <c r="R601" s="1">
        <v>663</v>
      </c>
      <c r="S601" s="1">
        <v>0.02</v>
      </c>
    </row>
    <row r="602" spans="1:19" x14ac:dyDescent="0.3">
      <c r="A602" s="1" t="s">
        <v>2007</v>
      </c>
      <c r="B602" s="1" t="s">
        <v>1696</v>
      </c>
      <c r="C602" s="1" t="s">
        <v>2008</v>
      </c>
      <c r="D602" s="1" t="s">
        <v>2009</v>
      </c>
      <c r="E602" s="1" t="s">
        <v>87</v>
      </c>
      <c r="F602" s="1">
        <v>45540</v>
      </c>
      <c r="G602" s="1">
        <v>45541</v>
      </c>
      <c r="H602" s="1">
        <v>45544</v>
      </c>
      <c r="I602" s="1" t="s">
        <v>72</v>
      </c>
      <c r="J602" s="1" t="s">
        <v>18</v>
      </c>
      <c r="K602" s="1" t="s">
        <v>20</v>
      </c>
      <c r="L602" s="1" t="s">
        <v>61</v>
      </c>
      <c r="M602" s="1" t="s">
        <v>30</v>
      </c>
      <c r="N602" s="1" t="s">
        <v>27</v>
      </c>
      <c r="O602" s="1" t="s">
        <v>31</v>
      </c>
      <c r="P602" s="1">
        <v>7</v>
      </c>
      <c r="Q602" s="1">
        <v>1030</v>
      </c>
      <c r="R602" s="1">
        <v>1174.2</v>
      </c>
      <c r="S602" s="1">
        <v>0.02</v>
      </c>
    </row>
    <row r="603" spans="1:19" x14ac:dyDescent="0.3">
      <c r="A603" s="1" t="s">
        <v>2010</v>
      </c>
      <c r="B603" s="1" t="s">
        <v>230</v>
      </c>
      <c r="C603" s="1" t="s">
        <v>2011</v>
      </c>
      <c r="D603" s="1" t="s">
        <v>2012</v>
      </c>
      <c r="E603" s="1" t="s">
        <v>178</v>
      </c>
      <c r="F603" s="1">
        <v>45811</v>
      </c>
      <c r="G603" s="1">
        <v>45812</v>
      </c>
      <c r="H603" s="1">
        <v>45814</v>
      </c>
      <c r="I603" s="1" t="s">
        <v>72</v>
      </c>
      <c r="J603" s="1" t="s">
        <v>16</v>
      </c>
      <c r="K603" s="1" t="s">
        <v>21</v>
      </c>
      <c r="L603" s="1" t="s">
        <v>24</v>
      </c>
      <c r="M603" s="1" t="s">
        <v>47</v>
      </c>
      <c r="N603" s="1" t="s">
        <v>38</v>
      </c>
      <c r="O603" s="1" t="s">
        <v>39</v>
      </c>
      <c r="P603" s="1">
        <v>6</v>
      </c>
      <c r="Q603" s="1">
        <v>390</v>
      </c>
      <c r="R603" s="1">
        <v>468</v>
      </c>
      <c r="S603" s="1">
        <v>0</v>
      </c>
    </row>
    <row r="604" spans="1:19" x14ac:dyDescent="0.3">
      <c r="A604" s="1" t="s">
        <v>2013</v>
      </c>
      <c r="B604" s="1" t="s">
        <v>568</v>
      </c>
      <c r="C604" s="1" t="s">
        <v>2014</v>
      </c>
      <c r="D604" s="1" t="s">
        <v>2015</v>
      </c>
      <c r="E604" s="1" t="s">
        <v>217</v>
      </c>
      <c r="F604" s="1">
        <v>45735</v>
      </c>
      <c r="G604" s="1">
        <v>45735</v>
      </c>
      <c r="H604" s="1">
        <v>45738</v>
      </c>
      <c r="I604" s="1" t="s">
        <v>72</v>
      </c>
      <c r="J604" s="1" t="s">
        <v>16</v>
      </c>
      <c r="K604" s="1" t="s">
        <v>20</v>
      </c>
      <c r="L604" s="1" t="s">
        <v>23</v>
      </c>
      <c r="M604" s="1" t="s">
        <v>29</v>
      </c>
      <c r="N604" s="1" t="s">
        <v>27</v>
      </c>
      <c r="O604" s="1" t="s">
        <v>28</v>
      </c>
      <c r="P604" s="1">
        <v>5</v>
      </c>
      <c r="Q604" s="1">
        <v>3930</v>
      </c>
      <c r="R604" s="1">
        <v>4362.3</v>
      </c>
      <c r="S604" s="1">
        <v>0</v>
      </c>
    </row>
    <row r="605" spans="1:19" x14ac:dyDescent="0.3">
      <c r="A605" s="1" t="s">
        <v>2016</v>
      </c>
      <c r="B605" s="1" t="s">
        <v>2017</v>
      </c>
      <c r="C605" s="1" t="s">
        <v>2018</v>
      </c>
      <c r="D605" s="1" t="s">
        <v>2019</v>
      </c>
      <c r="E605" s="1" t="s">
        <v>178</v>
      </c>
      <c r="F605" s="1">
        <v>45439</v>
      </c>
      <c r="G605" s="1">
        <v>45440</v>
      </c>
      <c r="H605" s="1">
        <v>45444</v>
      </c>
      <c r="I605" s="1" t="s">
        <v>72</v>
      </c>
      <c r="J605" s="1" t="s">
        <v>2</v>
      </c>
      <c r="K605" s="1" t="s">
        <v>19</v>
      </c>
      <c r="L605" s="1" t="s">
        <v>61</v>
      </c>
      <c r="M605" s="1" t="s">
        <v>47</v>
      </c>
      <c r="N605" s="1" t="s">
        <v>38</v>
      </c>
      <c r="O605" s="1" t="s">
        <v>39</v>
      </c>
      <c r="P605" s="1">
        <v>9</v>
      </c>
      <c r="Q605" s="1">
        <v>390</v>
      </c>
      <c r="R605" s="1">
        <v>468</v>
      </c>
      <c r="S605" s="1">
        <v>7.0000000000000007E-2</v>
      </c>
    </row>
    <row r="606" spans="1:19" x14ac:dyDescent="0.3">
      <c r="A606" s="1" t="s">
        <v>2020</v>
      </c>
      <c r="B606" s="1" t="s">
        <v>633</v>
      </c>
      <c r="C606" s="1" t="s">
        <v>2021</v>
      </c>
      <c r="D606" s="1" t="s">
        <v>2022</v>
      </c>
      <c r="E606" s="1" t="s">
        <v>87</v>
      </c>
      <c r="F606" s="1">
        <v>45722</v>
      </c>
      <c r="G606" s="1">
        <v>45723</v>
      </c>
      <c r="H606" s="1">
        <v>45726</v>
      </c>
      <c r="I606" s="1" t="s">
        <v>72</v>
      </c>
      <c r="J606" s="1" t="s">
        <v>2</v>
      </c>
      <c r="K606" s="1" t="s">
        <v>19</v>
      </c>
      <c r="L606" s="1" t="s">
        <v>24</v>
      </c>
      <c r="M606" s="1" t="s">
        <v>30</v>
      </c>
      <c r="N606" s="1" t="s">
        <v>27</v>
      </c>
      <c r="O606" s="1" t="s">
        <v>31</v>
      </c>
      <c r="P606" s="1">
        <v>5</v>
      </c>
      <c r="Q606" s="1">
        <v>1030</v>
      </c>
      <c r="R606" s="1">
        <v>1174.2</v>
      </c>
      <c r="S606" s="1">
        <v>0.02</v>
      </c>
    </row>
    <row r="607" spans="1:19" x14ac:dyDescent="0.3">
      <c r="A607" s="1" t="s">
        <v>2023</v>
      </c>
      <c r="B607" s="1" t="s">
        <v>1852</v>
      </c>
      <c r="C607" s="1" t="s">
        <v>2024</v>
      </c>
      <c r="D607" s="1" t="s">
        <v>1120</v>
      </c>
      <c r="E607" s="1" t="s">
        <v>119</v>
      </c>
      <c r="F607" s="1">
        <v>45566</v>
      </c>
      <c r="G607" s="1">
        <v>45566</v>
      </c>
      <c r="H607" s="1">
        <v>45568</v>
      </c>
      <c r="I607" s="1" t="s">
        <v>82</v>
      </c>
      <c r="J607" s="1" t="s">
        <v>16</v>
      </c>
      <c r="K607" s="1" t="s">
        <v>19</v>
      </c>
      <c r="L607" s="1" t="s">
        <v>25</v>
      </c>
      <c r="M607" s="1" t="s">
        <v>37</v>
      </c>
      <c r="N607" s="1" t="s">
        <v>38</v>
      </c>
      <c r="O607" s="1" t="s">
        <v>39</v>
      </c>
      <c r="P607" s="1">
        <v>4</v>
      </c>
      <c r="Q607" s="1">
        <v>250</v>
      </c>
      <c r="R607" s="1">
        <v>270</v>
      </c>
      <c r="S607" s="1">
        <v>0.1</v>
      </c>
    </row>
    <row r="608" spans="1:19" x14ac:dyDescent="0.3">
      <c r="A608" s="1" t="s">
        <v>2025</v>
      </c>
      <c r="B608" s="1" t="s">
        <v>636</v>
      </c>
      <c r="C608" s="1" t="s">
        <v>2026</v>
      </c>
      <c r="D608" s="1" t="s">
        <v>2027</v>
      </c>
      <c r="E608" s="1" t="s">
        <v>217</v>
      </c>
      <c r="F608" s="1">
        <v>45857</v>
      </c>
      <c r="G608" s="1">
        <v>45857</v>
      </c>
      <c r="H608" s="1">
        <v>45862</v>
      </c>
      <c r="I608" s="1" t="s">
        <v>72</v>
      </c>
      <c r="J608" s="1" t="s">
        <v>18</v>
      </c>
      <c r="K608" s="1" t="s">
        <v>21</v>
      </c>
      <c r="L608" s="1" t="s">
        <v>22</v>
      </c>
      <c r="M608" s="1" t="s">
        <v>29</v>
      </c>
      <c r="N608" s="1" t="s">
        <v>27</v>
      </c>
      <c r="O608" s="1" t="s">
        <v>28</v>
      </c>
      <c r="P608" s="1">
        <v>12</v>
      </c>
      <c r="Q608" s="1">
        <v>3930</v>
      </c>
      <c r="R608" s="1">
        <v>4362.3</v>
      </c>
      <c r="S608" s="1">
        <v>0.04</v>
      </c>
    </row>
    <row r="609" spans="1:19" x14ac:dyDescent="0.3">
      <c r="A609" s="1" t="s">
        <v>2028</v>
      </c>
      <c r="B609" s="1" t="s">
        <v>226</v>
      </c>
      <c r="C609" s="1" t="s">
        <v>2029</v>
      </c>
      <c r="D609" s="1" t="s">
        <v>2030</v>
      </c>
      <c r="E609" s="1" t="s">
        <v>77</v>
      </c>
      <c r="F609" s="1">
        <v>45940</v>
      </c>
      <c r="G609" s="1">
        <v>45941</v>
      </c>
      <c r="H609" s="1">
        <v>45942</v>
      </c>
      <c r="I609" s="1" t="s">
        <v>82</v>
      </c>
      <c r="J609" s="1" t="s">
        <v>17</v>
      </c>
      <c r="K609" s="1" t="s">
        <v>20</v>
      </c>
      <c r="L609" s="1" t="s">
        <v>24</v>
      </c>
      <c r="M609" s="1" t="s">
        <v>44</v>
      </c>
      <c r="N609" s="1" t="s">
        <v>38</v>
      </c>
      <c r="O609" s="1" t="s">
        <v>45</v>
      </c>
      <c r="P609" s="1">
        <v>4</v>
      </c>
      <c r="Q609" s="1">
        <v>210</v>
      </c>
      <c r="R609" s="1">
        <v>222.60000000000002</v>
      </c>
      <c r="S609" s="1">
        <v>0.01</v>
      </c>
    </row>
    <row r="610" spans="1:19" x14ac:dyDescent="0.3">
      <c r="A610" s="1" t="s">
        <v>2031</v>
      </c>
      <c r="B610" s="1" t="s">
        <v>925</v>
      </c>
      <c r="C610" s="1" t="s">
        <v>2032</v>
      </c>
      <c r="D610" s="1" t="s">
        <v>1482</v>
      </c>
      <c r="E610" s="1" t="s">
        <v>119</v>
      </c>
      <c r="F610" s="1">
        <v>45882</v>
      </c>
      <c r="G610" s="1">
        <v>45882</v>
      </c>
      <c r="H610" s="1">
        <v>45884</v>
      </c>
      <c r="I610" s="1" t="s">
        <v>72</v>
      </c>
      <c r="J610" s="1" t="s">
        <v>16</v>
      </c>
      <c r="K610" s="1" t="s">
        <v>20</v>
      </c>
      <c r="L610" s="1" t="s">
        <v>24</v>
      </c>
      <c r="M610" s="1" t="s">
        <v>37</v>
      </c>
      <c r="N610" s="1" t="s">
        <v>38</v>
      </c>
      <c r="O610" s="1" t="s">
        <v>39</v>
      </c>
      <c r="P610" s="1">
        <v>5</v>
      </c>
      <c r="Q610" s="1">
        <v>250</v>
      </c>
      <c r="R610" s="1">
        <v>270</v>
      </c>
      <c r="S610" s="1">
        <v>0</v>
      </c>
    </row>
    <row r="611" spans="1:19" x14ac:dyDescent="0.3">
      <c r="A611" s="1" t="s">
        <v>2033</v>
      </c>
      <c r="B611" s="1" t="s">
        <v>629</v>
      </c>
      <c r="C611" s="1" t="s">
        <v>2034</v>
      </c>
      <c r="D611" s="1" t="s">
        <v>2035</v>
      </c>
      <c r="E611" s="1" t="s">
        <v>217</v>
      </c>
      <c r="F611" s="1">
        <v>45535</v>
      </c>
      <c r="G611" s="1">
        <v>45535</v>
      </c>
      <c r="H611" s="1">
        <v>45538</v>
      </c>
      <c r="I611" s="1" t="s">
        <v>72</v>
      </c>
      <c r="J611" s="1" t="s">
        <v>16</v>
      </c>
      <c r="K611" s="1" t="s">
        <v>19</v>
      </c>
      <c r="L611" s="1" t="s">
        <v>24</v>
      </c>
      <c r="M611" s="1" t="s">
        <v>29</v>
      </c>
      <c r="N611" s="1" t="s">
        <v>27</v>
      </c>
      <c r="O611" s="1" t="s">
        <v>28</v>
      </c>
      <c r="P611" s="1">
        <v>9</v>
      </c>
      <c r="Q611" s="1">
        <v>3930</v>
      </c>
      <c r="R611" s="1">
        <v>4362.3</v>
      </c>
      <c r="S611" s="1">
        <v>0.05</v>
      </c>
    </row>
    <row r="612" spans="1:19" x14ac:dyDescent="0.3">
      <c r="A612" s="1" t="s">
        <v>2036</v>
      </c>
      <c r="B612" s="1" t="s">
        <v>1174</v>
      </c>
      <c r="C612" s="1" t="s">
        <v>2037</v>
      </c>
      <c r="D612" s="1" t="s">
        <v>1295</v>
      </c>
      <c r="E612" s="1" t="s">
        <v>192</v>
      </c>
      <c r="F612" s="1">
        <v>45886</v>
      </c>
      <c r="G612" s="1">
        <v>45886</v>
      </c>
      <c r="H612" s="1">
        <v>45889</v>
      </c>
      <c r="I612" s="1" t="s">
        <v>72</v>
      </c>
      <c r="J612" s="1" t="s">
        <v>1</v>
      </c>
      <c r="K612" s="1" t="s">
        <v>20</v>
      </c>
      <c r="L612" s="1" t="s">
        <v>61</v>
      </c>
      <c r="M612" s="1" t="s">
        <v>46</v>
      </c>
      <c r="N612" s="1" t="s">
        <v>38</v>
      </c>
      <c r="O612" s="1" t="s">
        <v>45</v>
      </c>
      <c r="P612" s="1">
        <v>9</v>
      </c>
      <c r="Q612" s="1">
        <v>350</v>
      </c>
      <c r="R612" s="1">
        <v>364</v>
      </c>
      <c r="S612" s="1">
        <v>7.0000000000000007E-2</v>
      </c>
    </row>
    <row r="613" spans="1:19" x14ac:dyDescent="0.3">
      <c r="A613" s="1" t="s">
        <v>2038</v>
      </c>
      <c r="B613" s="1" t="s">
        <v>1131</v>
      </c>
      <c r="C613" s="1" t="s">
        <v>2039</v>
      </c>
      <c r="D613" s="1" t="s">
        <v>721</v>
      </c>
      <c r="E613" s="1" t="s">
        <v>322</v>
      </c>
      <c r="F613" s="1">
        <v>45900</v>
      </c>
      <c r="G613" s="1">
        <v>45901</v>
      </c>
      <c r="H613" s="1">
        <v>45903</v>
      </c>
      <c r="I613" s="1" t="s">
        <v>82</v>
      </c>
      <c r="J613" s="1" t="s">
        <v>18</v>
      </c>
      <c r="K613" s="1" t="s">
        <v>19</v>
      </c>
      <c r="L613" s="1" t="s">
        <v>23</v>
      </c>
      <c r="M613" s="1" t="s">
        <v>26</v>
      </c>
      <c r="N613" s="1" t="s">
        <v>27</v>
      </c>
      <c r="O613" s="1" t="s">
        <v>28</v>
      </c>
      <c r="P613" s="1">
        <v>2</v>
      </c>
      <c r="Q613" s="1">
        <v>3330</v>
      </c>
      <c r="R613" s="1">
        <v>3629.7000000000003</v>
      </c>
      <c r="S613" s="1">
        <v>0.01</v>
      </c>
    </row>
    <row r="614" spans="1:19" x14ac:dyDescent="0.3">
      <c r="A614" s="1" t="s">
        <v>2040</v>
      </c>
      <c r="B614" s="1" t="s">
        <v>138</v>
      </c>
      <c r="C614" s="1" t="s">
        <v>2041</v>
      </c>
      <c r="D614" s="1" t="s">
        <v>1209</v>
      </c>
      <c r="E614" s="1" t="s">
        <v>109</v>
      </c>
      <c r="F614" s="1">
        <v>45649</v>
      </c>
      <c r="G614" s="1">
        <v>45649</v>
      </c>
      <c r="H614" s="1">
        <v>45652</v>
      </c>
      <c r="I614" s="1" t="s">
        <v>72</v>
      </c>
      <c r="J614" s="1" t="s">
        <v>2</v>
      </c>
      <c r="K614" s="1" t="s">
        <v>21</v>
      </c>
      <c r="L614" s="1" t="s">
        <v>23</v>
      </c>
      <c r="M614" s="1" t="s">
        <v>55</v>
      </c>
      <c r="N614" s="1" t="s">
        <v>27</v>
      </c>
      <c r="O614" s="1" t="s">
        <v>56</v>
      </c>
      <c r="P614" s="1">
        <v>12</v>
      </c>
      <c r="Q614" s="1">
        <v>650</v>
      </c>
      <c r="R614" s="1">
        <v>663</v>
      </c>
      <c r="S614" s="1">
        <v>0.02</v>
      </c>
    </row>
    <row r="615" spans="1:19" x14ac:dyDescent="0.3">
      <c r="A615" s="1" t="s">
        <v>2042</v>
      </c>
      <c r="B615" s="1" t="s">
        <v>214</v>
      </c>
      <c r="C615" s="1" t="s">
        <v>2043</v>
      </c>
      <c r="D615" s="1" t="s">
        <v>2044</v>
      </c>
      <c r="E615" s="1" t="s">
        <v>109</v>
      </c>
      <c r="F615" s="1">
        <v>46112</v>
      </c>
      <c r="G615" s="1">
        <v>46112</v>
      </c>
      <c r="H615" s="1">
        <v>46117</v>
      </c>
      <c r="I615" s="1" t="s">
        <v>82</v>
      </c>
      <c r="J615" s="1" t="s">
        <v>18</v>
      </c>
      <c r="K615" s="1" t="s">
        <v>20</v>
      </c>
      <c r="L615" s="1" t="s">
        <v>24</v>
      </c>
      <c r="M615" s="1" t="s">
        <v>55</v>
      </c>
      <c r="N615" s="1" t="s">
        <v>27</v>
      </c>
      <c r="O615" s="1" t="s">
        <v>56</v>
      </c>
      <c r="P615" s="1">
        <v>1</v>
      </c>
      <c r="Q615" s="1">
        <v>650</v>
      </c>
      <c r="R615" s="1">
        <v>663</v>
      </c>
      <c r="S615" s="1">
        <v>0.1</v>
      </c>
    </row>
    <row r="616" spans="1:19" x14ac:dyDescent="0.3">
      <c r="A616" s="1" t="s">
        <v>1356</v>
      </c>
      <c r="B616" s="1" t="s">
        <v>1065</v>
      </c>
      <c r="C616" s="1" t="s">
        <v>1357</v>
      </c>
      <c r="D616" s="1" t="s">
        <v>1073</v>
      </c>
      <c r="E616" s="1" t="s">
        <v>291</v>
      </c>
      <c r="F616" s="1">
        <v>45507</v>
      </c>
      <c r="G616" s="1">
        <v>45507</v>
      </c>
      <c r="H616" s="1">
        <v>45511</v>
      </c>
      <c r="I616" s="1" t="s">
        <v>72</v>
      </c>
      <c r="J616" s="1" t="s">
        <v>16</v>
      </c>
      <c r="K616" s="1" t="s">
        <v>19</v>
      </c>
      <c r="L616" s="1" t="s">
        <v>24</v>
      </c>
      <c r="M616" s="1" t="s">
        <v>57</v>
      </c>
      <c r="N616" s="1" t="s">
        <v>27</v>
      </c>
      <c r="O616" s="1" t="s">
        <v>58</v>
      </c>
      <c r="P616" s="1">
        <v>5</v>
      </c>
      <c r="Q616" s="1">
        <v>480</v>
      </c>
      <c r="R616" s="1">
        <v>513.6</v>
      </c>
      <c r="S616" s="1">
        <v>0.09</v>
      </c>
    </row>
    <row r="617" spans="1:19" x14ac:dyDescent="0.3">
      <c r="A617" s="1" t="s">
        <v>1356</v>
      </c>
      <c r="B617" s="1" t="s">
        <v>1065</v>
      </c>
      <c r="C617" s="1" t="s">
        <v>1357</v>
      </c>
      <c r="D617" s="1" t="s">
        <v>1073</v>
      </c>
      <c r="E617" s="1" t="s">
        <v>291</v>
      </c>
      <c r="F617" s="1">
        <v>45507</v>
      </c>
      <c r="G617" s="1">
        <v>45507</v>
      </c>
      <c r="H617" s="1">
        <v>45511</v>
      </c>
      <c r="I617" s="1" t="s">
        <v>72</v>
      </c>
      <c r="J617" s="1" t="s">
        <v>16</v>
      </c>
      <c r="K617" s="1" t="s">
        <v>19</v>
      </c>
      <c r="L617" s="1" t="s">
        <v>24</v>
      </c>
      <c r="M617" s="1" t="s">
        <v>57</v>
      </c>
      <c r="N617" s="1" t="s">
        <v>27</v>
      </c>
      <c r="O617" s="1" t="s">
        <v>58</v>
      </c>
      <c r="P617" s="1">
        <v>5</v>
      </c>
      <c r="Q617" s="1">
        <v>480</v>
      </c>
      <c r="R617" s="1">
        <v>513.6</v>
      </c>
      <c r="S617" s="1">
        <v>0.09</v>
      </c>
    </row>
    <row r="618" spans="1:19" x14ac:dyDescent="0.3">
      <c r="A618" s="1" t="s">
        <v>2071</v>
      </c>
      <c r="B618" s="1" t="s">
        <v>757</v>
      </c>
      <c r="C618" s="1" t="s">
        <v>2072</v>
      </c>
      <c r="D618" s="1" t="s">
        <v>2073</v>
      </c>
      <c r="E618" s="1" t="s">
        <v>114</v>
      </c>
      <c r="F618" s="1">
        <v>45345</v>
      </c>
      <c r="G618" s="1">
        <v>45346</v>
      </c>
      <c r="H618" s="1">
        <v>45350</v>
      </c>
      <c r="I618" s="1" t="s">
        <v>72</v>
      </c>
      <c r="J618" s="1" t="s">
        <v>1</v>
      </c>
      <c r="K618" s="1" t="s">
        <v>21</v>
      </c>
      <c r="L618" s="1" t="s">
        <v>23</v>
      </c>
      <c r="M618" s="1" t="s">
        <v>51</v>
      </c>
      <c r="N618" s="1" t="s">
        <v>33</v>
      </c>
      <c r="O618" s="1" t="s">
        <v>52</v>
      </c>
      <c r="P618" s="1">
        <v>7</v>
      </c>
      <c r="Q618" s="1">
        <v>280</v>
      </c>
      <c r="R618" s="1">
        <v>336</v>
      </c>
      <c r="S618" s="1">
        <v>0.1</v>
      </c>
    </row>
    <row r="619" spans="1:19" x14ac:dyDescent="0.3">
      <c r="A619" s="1" t="s">
        <v>2045</v>
      </c>
      <c r="B619" s="1" t="s">
        <v>1278</v>
      </c>
      <c r="C619" s="1" t="s">
        <v>2046</v>
      </c>
      <c r="D619" s="1" t="s">
        <v>2047</v>
      </c>
      <c r="E619" s="1" t="s">
        <v>322</v>
      </c>
      <c r="F619" s="1">
        <v>46082</v>
      </c>
      <c r="G619" s="1">
        <v>46083</v>
      </c>
      <c r="H619" s="1">
        <v>46085</v>
      </c>
      <c r="I619" s="1" t="s">
        <v>72</v>
      </c>
      <c r="J619" s="1" t="s">
        <v>17</v>
      </c>
      <c r="K619" s="1" t="s">
        <v>21</v>
      </c>
      <c r="L619" s="1" t="s">
        <v>25</v>
      </c>
      <c r="M619" s="1" t="s">
        <v>26</v>
      </c>
      <c r="N619" s="1" t="s">
        <v>27</v>
      </c>
      <c r="O619" s="1" t="s">
        <v>28</v>
      </c>
      <c r="P619" s="1">
        <v>5</v>
      </c>
      <c r="Q619" s="1">
        <v>3330</v>
      </c>
      <c r="R619" s="1">
        <v>3629.7000000000003</v>
      </c>
      <c r="S619" s="1">
        <v>0.04</v>
      </c>
    </row>
    <row r="620" spans="1:19" x14ac:dyDescent="0.3">
      <c r="A620" s="1" t="s">
        <v>2048</v>
      </c>
      <c r="B620" s="1" t="s">
        <v>1530</v>
      </c>
      <c r="C620" s="1" t="s">
        <v>2049</v>
      </c>
      <c r="D620" s="1" t="s">
        <v>2050</v>
      </c>
      <c r="E620" s="1" t="s">
        <v>322</v>
      </c>
      <c r="F620" s="1">
        <v>45654</v>
      </c>
      <c r="G620" s="1">
        <v>45655</v>
      </c>
      <c r="H620" s="1">
        <v>45657</v>
      </c>
      <c r="I620" s="1" t="s">
        <v>82</v>
      </c>
      <c r="J620" s="1" t="s">
        <v>1</v>
      </c>
      <c r="K620" s="1" t="s">
        <v>19</v>
      </c>
      <c r="L620" s="1" t="s">
        <v>61</v>
      </c>
      <c r="M620" s="1" t="s">
        <v>26</v>
      </c>
      <c r="N620" s="1" t="s">
        <v>27</v>
      </c>
      <c r="O620" s="1" t="s">
        <v>28</v>
      </c>
      <c r="P620" s="1">
        <v>3</v>
      </c>
      <c r="Q620" s="1">
        <v>3330</v>
      </c>
      <c r="R620" s="1">
        <v>3629.7000000000003</v>
      </c>
      <c r="S620" s="1">
        <v>0.08</v>
      </c>
    </row>
    <row r="621" spans="1:19" x14ac:dyDescent="0.3">
      <c r="A621" s="1" t="s">
        <v>2051</v>
      </c>
      <c r="B621" s="1" t="s">
        <v>271</v>
      </c>
      <c r="C621" s="1" t="s">
        <v>2052</v>
      </c>
      <c r="D621" s="1" t="s">
        <v>2053</v>
      </c>
      <c r="E621" s="1" t="s">
        <v>71</v>
      </c>
      <c r="F621" s="1">
        <v>45548</v>
      </c>
      <c r="G621" s="1">
        <v>45548</v>
      </c>
      <c r="H621" s="1">
        <v>45553</v>
      </c>
      <c r="I621" s="1" t="s">
        <v>72</v>
      </c>
      <c r="J621" s="1" t="s">
        <v>2</v>
      </c>
      <c r="K621" s="1" t="s">
        <v>21</v>
      </c>
      <c r="L621" s="1" t="s">
        <v>25</v>
      </c>
      <c r="M621" s="1" t="s">
        <v>32</v>
      </c>
      <c r="N621" s="1" t="s">
        <v>33</v>
      </c>
      <c r="O621" s="1" t="s">
        <v>34</v>
      </c>
      <c r="P621" s="1">
        <v>7</v>
      </c>
      <c r="Q621" s="1">
        <v>730</v>
      </c>
      <c r="R621" s="1">
        <v>824.9</v>
      </c>
      <c r="S621" s="1">
        <v>0.08</v>
      </c>
    </row>
    <row r="622" spans="1:19" x14ac:dyDescent="0.3">
      <c r="A622" s="1" t="s">
        <v>2054</v>
      </c>
      <c r="B622" s="1" t="s">
        <v>863</v>
      </c>
      <c r="C622" s="1" t="s">
        <v>2055</v>
      </c>
      <c r="D622" s="1" t="s">
        <v>2056</v>
      </c>
      <c r="E622" s="1" t="s">
        <v>114</v>
      </c>
      <c r="F622" s="1">
        <v>45311</v>
      </c>
      <c r="G622" s="1">
        <v>45312</v>
      </c>
      <c r="H622" s="1">
        <v>45313</v>
      </c>
      <c r="I622" s="1" t="s">
        <v>72</v>
      </c>
      <c r="J622" s="1" t="s">
        <v>16</v>
      </c>
      <c r="K622" s="1" t="s">
        <v>19</v>
      </c>
      <c r="L622" s="1" t="s">
        <v>25</v>
      </c>
      <c r="M622" s="1" t="s">
        <v>51</v>
      </c>
      <c r="N622" s="1" t="s">
        <v>33</v>
      </c>
      <c r="O622" s="1" t="s">
        <v>52</v>
      </c>
      <c r="P622" s="1">
        <v>6</v>
      </c>
      <c r="Q622" s="1">
        <v>280</v>
      </c>
      <c r="R622" s="1">
        <v>336</v>
      </c>
      <c r="S622" s="1">
        <v>7.0000000000000007E-2</v>
      </c>
    </row>
    <row r="623" spans="1:19" x14ac:dyDescent="0.3">
      <c r="A623" s="1" t="s">
        <v>2057</v>
      </c>
      <c r="B623" s="1" t="s">
        <v>596</v>
      </c>
      <c r="C623" s="1" t="s">
        <v>2058</v>
      </c>
      <c r="D623" s="1" t="s">
        <v>2059</v>
      </c>
      <c r="E623" s="1" t="s">
        <v>109</v>
      </c>
      <c r="F623" s="1">
        <v>46044</v>
      </c>
      <c r="G623" s="1">
        <v>46044</v>
      </c>
      <c r="H623" s="1">
        <v>46046</v>
      </c>
      <c r="I623" s="1" t="s">
        <v>72</v>
      </c>
      <c r="J623" s="1" t="s">
        <v>1</v>
      </c>
      <c r="K623" s="1" t="s">
        <v>21</v>
      </c>
      <c r="L623" s="1" t="s">
        <v>25</v>
      </c>
      <c r="M623" s="1" t="s">
        <v>55</v>
      </c>
      <c r="N623" s="1" t="s">
        <v>27</v>
      </c>
      <c r="O623" s="1" t="s">
        <v>56</v>
      </c>
      <c r="P623" s="1">
        <v>5</v>
      </c>
      <c r="Q623" s="1">
        <v>650</v>
      </c>
      <c r="R623" s="1">
        <v>663</v>
      </c>
      <c r="S623" s="1">
        <v>0.06</v>
      </c>
    </row>
    <row r="624" spans="1:19" x14ac:dyDescent="0.3">
      <c r="A624" s="1" t="s">
        <v>2060</v>
      </c>
      <c r="B624" s="1" t="s">
        <v>1131</v>
      </c>
      <c r="C624" s="1" t="s">
        <v>2061</v>
      </c>
      <c r="D624" s="1" t="s">
        <v>2062</v>
      </c>
      <c r="E624" s="1" t="s">
        <v>119</v>
      </c>
      <c r="F624" s="1">
        <v>46062</v>
      </c>
      <c r="G624" s="1">
        <v>46062</v>
      </c>
      <c r="H624" s="1">
        <v>46067</v>
      </c>
      <c r="I624" s="1" t="s">
        <v>72</v>
      </c>
      <c r="J624" s="1" t="s">
        <v>18</v>
      </c>
      <c r="K624" s="1" t="s">
        <v>19</v>
      </c>
      <c r="L624" s="1" t="s">
        <v>25</v>
      </c>
      <c r="M624" s="1" t="s">
        <v>37</v>
      </c>
      <c r="N624" s="1" t="s">
        <v>38</v>
      </c>
      <c r="O624" s="1" t="s">
        <v>39</v>
      </c>
      <c r="P624" s="1">
        <v>6</v>
      </c>
      <c r="Q624" s="1">
        <v>250</v>
      </c>
      <c r="R624" s="1">
        <v>270</v>
      </c>
      <c r="S624" s="1">
        <v>0.09</v>
      </c>
    </row>
    <row r="625" spans="1:19" x14ac:dyDescent="0.3">
      <c r="A625" s="1" t="s">
        <v>2063</v>
      </c>
      <c r="B625" s="1" t="s">
        <v>151</v>
      </c>
      <c r="C625" s="1" t="s">
        <v>2064</v>
      </c>
      <c r="D625" s="1" t="s">
        <v>2065</v>
      </c>
      <c r="E625" s="1" t="s">
        <v>291</v>
      </c>
      <c r="F625" s="1">
        <v>45927</v>
      </c>
      <c r="G625" s="1">
        <v>45927</v>
      </c>
      <c r="H625" s="1">
        <v>45930</v>
      </c>
      <c r="I625" s="1" t="s">
        <v>72</v>
      </c>
      <c r="J625" s="1" t="s">
        <v>16</v>
      </c>
      <c r="K625" s="1" t="s">
        <v>19</v>
      </c>
      <c r="L625" s="1" t="s">
        <v>25</v>
      </c>
      <c r="M625" s="1" t="s">
        <v>57</v>
      </c>
      <c r="N625" s="1" t="s">
        <v>27</v>
      </c>
      <c r="O625" s="1" t="s">
        <v>58</v>
      </c>
      <c r="P625" s="1">
        <v>10</v>
      </c>
      <c r="Q625" s="1">
        <v>480</v>
      </c>
      <c r="R625" s="1">
        <v>513.6</v>
      </c>
      <c r="S625" s="1">
        <v>0.03</v>
      </c>
    </row>
    <row r="626" spans="1:19" x14ac:dyDescent="0.3">
      <c r="A626" s="1" t="s">
        <v>2066</v>
      </c>
      <c r="B626" s="1" t="s">
        <v>679</v>
      </c>
      <c r="C626" s="1" t="s">
        <v>2067</v>
      </c>
      <c r="D626" s="1" t="s">
        <v>1911</v>
      </c>
      <c r="E626" s="1" t="s">
        <v>322</v>
      </c>
      <c r="F626" s="1">
        <v>45746</v>
      </c>
      <c r="G626" s="1">
        <v>45746</v>
      </c>
      <c r="H626" s="1">
        <v>45750</v>
      </c>
      <c r="I626" s="1" t="s">
        <v>72</v>
      </c>
      <c r="J626" s="1" t="s">
        <v>18</v>
      </c>
      <c r="K626" s="1" t="s">
        <v>19</v>
      </c>
      <c r="L626" s="1" t="s">
        <v>61</v>
      </c>
      <c r="M626" s="1" t="s">
        <v>26</v>
      </c>
      <c r="N626" s="1" t="s">
        <v>27</v>
      </c>
      <c r="O626" s="1" t="s">
        <v>28</v>
      </c>
      <c r="P626" s="1">
        <v>6</v>
      </c>
      <c r="Q626" s="1">
        <v>3330</v>
      </c>
      <c r="R626" s="1">
        <v>3629.7000000000003</v>
      </c>
      <c r="S626" s="1">
        <v>0.09</v>
      </c>
    </row>
    <row r="627" spans="1:19" x14ac:dyDescent="0.3">
      <c r="A627" s="1" t="s">
        <v>2068</v>
      </c>
      <c r="B627" s="1" t="s">
        <v>428</v>
      </c>
      <c r="C627" s="1" t="s">
        <v>2069</v>
      </c>
      <c r="D627" s="1" t="s">
        <v>2070</v>
      </c>
      <c r="E627" s="1" t="s">
        <v>71</v>
      </c>
      <c r="F627" s="1">
        <v>46087</v>
      </c>
      <c r="G627" s="1">
        <v>46088</v>
      </c>
      <c r="H627" s="1">
        <v>46091</v>
      </c>
      <c r="I627" s="1" t="s">
        <v>82</v>
      </c>
      <c r="J627" s="1" t="s">
        <v>17</v>
      </c>
      <c r="K627" s="1" t="s">
        <v>19</v>
      </c>
      <c r="L627" s="1" t="s">
        <v>23</v>
      </c>
      <c r="M627" s="1" t="s">
        <v>32</v>
      </c>
      <c r="N627" s="1" t="s">
        <v>33</v>
      </c>
      <c r="O627" s="1" t="s">
        <v>34</v>
      </c>
      <c r="P627" s="1">
        <v>3</v>
      </c>
      <c r="Q627" s="1">
        <v>730</v>
      </c>
      <c r="R627" s="1">
        <v>824.9</v>
      </c>
      <c r="S627" s="1">
        <v>0.06</v>
      </c>
    </row>
    <row r="628" spans="1:19" x14ac:dyDescent="0.3">
      <c r="A628" s="1" t="s">
        <v>2071</v>
      </c>
      <c r="B628" s="1" t="s">
        <v>757</v>
      </c>
      <c r="C628" s="1" t="s">
        <v>2072</v>
      </c>
      <c r="D628" s="1" t="s">
        <v>2073</v>
      </c>
      <c r="E628" s="1" t="s">
        <v>114</v>
      </c>
      <c r="F628" s="1">
        <v>45345</v>
      </c>
      <c r="G628" s="1">
        <v>45346</v>
      </c>
      <c r="H628" s="1">
        <v>45350</v>
      </c>
      <c r="I628" s="1" t="s">
        <v>72</v>
      </c>
      <c r="J628" s="1" t="s">
        <v>1</v>
      </c>
      <c r="K628" s="1" t="s">
        <v>21</v>
      </c>
      <c r="L628" s="1" t="s">
        <v>23</v>
      </c>
      <c r="M628" s="1" t="s">
        <v>51</v>
      </c>
      <c r="N628" s="1" t="s">
        <v>33</v>
      </c>
      <c r="O628" s="1" t="s">
        <v>52</v>
      </c>
      <c r="P628" s="1">
        <v>7</v>
      </c>
      <c r="Q628" s="1">
        <v>280</v>
      </c>
      <c r="R628" s="1">
        <v>336</v>
      </c>
      <c r="S628" s="1">
        <v>0.1</v>
      </c>
    </row>
    <row r="629" spans="1:19" x14ac:dyDescent="0.3">
      <c r="A629" s="1" t="s">
        <v>2074</v>
      </c>
      <c r="B629" s="1" t="s">
        <v>1607</v>
      </c>
      <c r="C629" s="1" t="s">
        <v>2075</v>
      </c>
      <c r="D629" s="1" t="s">
        <v>2076</v>
      </c>
      <c r="E629" s="1" t="s">
        <v>208</v>
      </c>
      <c r="F629" s="1">
        <v>45623</v>
      </c>
      <c r="G629" s="1">
        <v>45623</v>
      </c>
      <c r="H629" s="1">
        <v>45625</v>
      </c>
      <c r="I629" s="1" t="s">
        <v>82</v>
      </c>
      <c r="J629" s="1" t="s">
        <v>1</v>
      </c>
      <c r="K629" s="1" t="s">
        <v>19</v>
      </c>
      <c r="L629" s="1" t="s">
        <v>23</v>
      </c>
      <c r="M629" s="1" t="s">
        <v>50</v>
      </c>
      <c r="N629" s="1" t="s">
        <v>33</v>
      </c>
      <c r="O629" s="1" t="s">
        <v>36</v>
      </c>
      <c r="P629" s="1">
        <v>2</v>
      </c>
      <c r="Q629" s="1">
        <v>930</v>
      </c>
      <c r="R629" s="1">
        <v>1078.8</v>
      </c>
      <c r="S629" s="1">
        <v>0.05</v>
      </c>
    </row>
    <row r="630" spans="1:19" x14ac:dyDescent="0.3">
      <c r="A630" s="1" t="s">
        <v>2077</v>
      </c>
      <c r="B630" s="1" t="s">
        <v>2078</v>
      </c>
      <c r="C630" s="1" t="s">
        <v>2079</v>
      </c>
      <c r="D630" s="1" t="s">
        <v>2080</v>
      </c>
      <c r="E630" s="1" t="s">
        <v>192</v>
      </c>
      <c r="F630" s="1">
        <v>45780</v>
      </c>
      <c r="G630" s="1">
        <v>45780</v>
      </c>
      <c r="H630" s="1">
        <v>45783</v>
      </c>
      <c r="I630" s="1" t="s">
        <v>72</v>
      </c>
      <c r="J630" s="1" t="s">
        <v>18</v>
      </c>
      <c r="K630" s="1" t="s">
        <v>20</v>
      </c>
      <c r="L630" s="1" t="s">
        <v>25</v>
      </c>
      <c r="M630" s="1" t="s">
        <v>46</v>
      </c>
      <c r="N630" s="1" t="s">
        <v>38</v>
      </c>
      <c r="O630" s="1" t="s">
        <v>45</v>
      </c>
      <c r="P630" s="1">
        <v>10</v>
      </c>
      <c r="Q630" s="1">
        <v>350</v>
      </c>
      <c r="R630" s="1">
        <v>364</v>
      </c>
      <c r="S630" s="1">
        <v>0</v>
      </c>
    </row>
    <row r="631" spans="1:19" x14ac:dyDescent="0.3">
      <c r="A631" s="1" t="s">
        <v>2081</v>
      </c>
      <c r="B631" s="1" t="s">
        <v>816</v>
      </c>
      <c r="C631" s="1" t="s">
        <v>2082</v>
      </c>
      <c r="D631" s="1" t="s">
        <v>2083</v>
      </c>
      <c r="E631" s="1" t="s">
        <v>322</v>
      </c>
      <c r="F631" s="1">
        <v>45927</v>
      </c>
      <c r="G631" s="1">
        <v>45927</v>
      </c>
      <c r="H631" s="1">
        <v>45932</v>
      </c>
      <c r="I631" s="1" t="s">
        <v>72</v>
      </c>
      <c r="J631" s="1" t="s">
        <v>17</v>
      </c>
      <c r="K631" s="1" t="s">
        <v>20</v>
      </c>
      <c r="L631" s="1" t="s">
        <v>23</v>
      </c>
      <c r="M631" s="1" t="s">
        <v>26</v>
      </c>
      <c r="N631" s="1" t="s">
        <v>27</v>
      </c>
      <c r="O631" s="1" t="s">
        <v>28</v>
      </c>
      <c r="P631" s="1">
        <v>10</v>
      </c>
      <c r="Q631" s="1">
        <v>3330</v>
      </c>
      <c r="R631" s="1">
        <v>3629.7000000000003</v>
      </c>
      <c r="S631" s="1">
        <v>7.0000000000000007E-2</v>
      </c>
    </row>
    <row r="632" spans="1:19" x14ac:dyDescent="0.3">
      <c r="A632" s="1" t="s">
        <v>2084</v>
      </c>
      <c r="B632" s="1" t="s">
        <v>389</v>
      </c>
      <c r="C632" s="1" t="s">
        <v>2085</v>
      </c>
      <c r="D632" s="1" t="s">
        <v>2086</v>
      </c>
      <c r="E632" s="1" t="s">
        <v>119</v>
      </c>
      <c r="F632" s="1">
        <v>45681</v>
      </c>
      <c r="G632" s="1">
        <v>45682</v>
      </c>
      <c r="H632" s="1">
        <v>45686</v>
      </c>
      <c r="I632" s="1" t="s">
        <v>72</v>
      </c>
      <c r="J632" s="1" t="s">
        <v>2</v>
      </c>
      <c r="K632" s="1" t="s">
        <v>21</v>
      </c>
      <c r="L632" s="1" t="s">
        <v>61</v>
      </c>
      <c r="M632" s="1" t="s">
        <v>37</v>
      </c>
      <c r="N632" s="1" t="s">
        <v>38</v>
      </c>
      <c r="O632" s="1" t="s">
        <v>39</v>
      </c>
      <c r="P632" s="1">
        <v>9</v>
      </c>
      <c r="Q632" s="1">
        <v>250</v>
      </c>
      <c r="R632" s="1">
        <v>270</v>
      </c>
      <c r="S632" s="1">
        <v>0.06</v>
      </c>
    </row>
    <row r="633" spans="1:19" x14ac:dyDescent="0.3">
      <c r="A633" s="1" t="s">
        <v>2087</v>
      </c>
      <c r="B633" s="1" t="s">
        <v>331</v>
      </c>
      <c r="C633" s="1" t="s">
        <v>2088</v>
      </c>
      <c r="D633" s="1" t="s">
        <v>186</v>
      </c>
      <c r="E633" s="1" t="s">
        <v>100</v>
      </c>
      <c r="F633" s="1">
        <v>45348</v>
      </c>
      <c r="G633" s="1">
        <v>45349</v>
      </c>
      <c r="H633" s="1">
        <v>45351</v>
      </c>
      <c r="I633" s="1" t="s">
        <v>72</v>
      </c>
      <c r="J633" s="1" t="s">
        <v>2</v>
      </c>
      <c r="K633" s="1" t="s">
        <v>21</v>
      </c>
      <c r="L633" s="1" t="s">
        <v>23</v>
      </c>
      <c r="M633" s="1" t="s">
        <v>42</v>
      </c>
      <c r="N633" s="1" t="s">
        <v>27</v>
      </c>
      <c r="O633" s="1" t="s">
        <v>28</v>
      </c>
      <c r="P633" s="1">
        <v>15</v>
      </c>
      <c r="Q633" s="1">
        <v>3030</v>
      </c>
      <c r="R633" s="1">
        <v>3211.8</v>
      </c>
      <c r="S633" s="1">
        <v>0.01</v>
      </c>
    </row>
    <row r="634" spans="1:19" x14ac:dyDescent="0.3">
      <c r="A634" s="1" t="s">
        <v>2089</v>
      </c>
      <c r="B634" s="1" t="s">
        <v>2090</v>
      </c>
      <c r="C634" s="1" t="s">
        <v>2091</v>
      </c>
      <c r="D634" s="1" t="s">
        <v>2092</v>
      </c>
      <c r="E634" s="1" t="s">
        <v>178</v>
      </c>
      <c r="F634" s="1">
        <v>45641</v>
      </c>
      <c r="G634" s="1">
        <v>45642</v>
      </c>
      <c r="H634" s="1">
        <v>45644</v>
      </c>
      <c r="I634" s="1" t="s">
        <v>82</v>
      </c>
      <c r="J634" s="1" t="s">
        <v>1</v>
      </c>
      <c r="K634" s="1" t="s">
        <v>20</v>
      </c>
      <c r="L634" s="1" t="s">
        <v>61</v>
      </c>
      <c r="M634" s="1" t="s">
        <v>47</v>
      </c>
      <c r="N634" s="1" t="s">
        <v>38</v>
      </c>
      <c r="O634" s="1" t="s">
        <v>39</v>
      </c>
      <c r="P634" s="1">
        <v>2</v>
      </c>
      <c r="Q634" s="1">
        <v>390</v>
      </c>
      <c r="R634" s="1">
        <v>468</v>
      </c>
      <c r="S634" s="1">
        <v>0.06</v>
      </c>
    </row>
    <row r="635" spans="1:19" x14ac:dyDescent="0.3">
      <c r="A635" s="1" t="s">
        <v>2093</v>
      </c>
      <c r="B635" s="1" t="s">
        <v>2094</v>
      </c>
      <c r="C635" s="1" t="s">
        <v>2095</v>
      </c>
      <c r="D635" s="1" t="s">
        <v>1375</v>
      </c>
      <c r="E635" s="1" t="s">
        <v>71</v>
      </c>
      <c r="F635" s="1">
        <v>45301</v>
      </c>
      <c r="G635" s="1">
        <v>45301</v>
      </c>
      <c r="H635" s="1">
        <v>45306</v>
      </c>
      <c r="I635" s="1" t="s">
        <v>72</v>
      </c>
      <c r="J635" s="1" t="s">
        <v>1</v>
      </c>
      <c r="K635" s="1" t="s">
        <v>19</v>
      </c>
      <c r="L635" s="1" t="s">
        <v>61</v>
      </c>
      <c r="M635" s="1" t="s">
        <v>32</v>
      </c>
      <c r="N635" s="1" t="s">
        <v>33</v>
      </c>
      <c r="O635" s="1" t="s">
        <v>34</v>
      </c>
      <c r="P635" s="1">
        <v>5</v>
      </c>
      <c r="Q635" s="1">
        <v>730</v>
      </c>
      <c r="R635" s="1">
        <v>824.9</v>
      </c>
      <c r="S635" s="1">
        <v>0.02</v>
      </c>
    </row>
    <row r="636" spans="1:19" x14ac:dyDescent="0.3">
      <c r="A636" s="1" t="s">
        <v>2096</v>
      </c>
      <c r="B636" s="1" t="s">
        <v>311</v>
      </c>
      <c r="C636" s="1" t="s">
        <v>2097</v>
      </c>
      <c r="D636" s="1" t="s">
        <v>2098</v>
      </c>
      <c r="E636" s="1" t="s">
        <v>173</v>
      </c>
      <c r="F636" s="1">
        <v>45361</v>
      </c>
      <c r="G636" s="1">
        <v>45361</v>
      </c>
      <c r="H636" s="1">
        <v>45364</v>
      </c>
      <c r="I636" s="1" t="s">
        <v>72</v>
      </c>
      <c r="J636" s="1" t="s">
        <v>2</v>
      </c>
      <c r="K636" s="1" t="s">
        <v>19</v>
      </c>
      <c r="L636" s="1" t="s">
        <v>25</v>
      </c>
      <c r="M636" s="1" t="s">
        <v>48</v>
      </c>
      <c r="N636" s="1" t="s">
        <v>38</v>
      </c>
      <c r="O636" s="1" t="s">
        <v>41</v>
      </c>
      <c r="P636" s="1">
        <v>10</v>
      </c>
      <c r="Q636" s="1">
        <v>580</v>
      </c>
      <c r="R636" s="1">
        <v>667</v>
      </c>
      <c r="S636" s="1">
        <v>0.1</v>
      </c>
    </row>
    <row r="637" spans="1:19" x14ac:dyDescent="0.3">
      <c r="A637" s="1" t="s">
        <v>2099</v>
      </c>
      <c r="B637" s="1" t="s">
        <v>2100</v>
      </c>
      <c r="C637" s="1" t="s">
        <v>2101</v>
      </c>
      <c r="D637" s="1" t="s">
        <v>1951</v>
      </c>
      <c r="E637" s="1" t="s">
        <v>164</v>
      </c>
      <c r="F637" s="1">
        <v>45429</v>
      </c>
      <c r="G637" s="1">
        <v>45430</v>
      </c>
      <c r="H637" s="1">
        <v>45432</v>
      </c>
      <c r="I637" s="1" t="s">
        <v>82</v>
      </c>
      <c r="J637" s="1" t="s">
        <v>2</v>
      </c>
      <c r="K637" s="1" t="s">
        <v>20</v>
      </c>
      <c r="L637" s="1" t="s">
        <v>23</v>
      </c>
      <c r="M637" s="1" t="s">
        <v>43</v>
      </c>
      <c r="N637" s="1" t="s">
        <v>27</v>
      </c>
      <c r="O637" s="1" t="s">
        <v>31</v>
      </c>
      <c r="P637" s="1">
        <v>4</v>
      </c>
      <c r="Q637" s="1">
        <v>1630</v>
      </c>
      <c r="R637" s="1">
        <v>1744.1000000000001</v>
      </c>
      <c r="S637" s="1">
        <v>0.06</v>
      </c>
    </row>
    <row r="638" spans="1:19" x14ac:dyDescent="0.3">
      <c r="A638" s="1" t="s">
        <v>2102</v>
      </c>
      <c r="B638" s="1" t="s">
        <v>1766</v>
      </c>
      <c r="C638" s="1" t="s">
        <v>2103</v>
      </c>
      <c r="D638" s="1" t="s">
        <v>2104</v>
      </c>
      <c r="E638" s="1" t="s">
        <v>109</v>
      </c>
      <c r="F638" s="1">
        <v>46081</v>
      </c>
      <c r="G638" s="1">
        <v>46081</v>
      </c>
      <c r="H638" s="1">
        <v>46086</v>
      </c>
      <c r="I638" s="1" t="s">
        <v>82</v>
      </c>
      <c r="J638" s="1" t="s">
        <v>2</v>
      </c>
      <c r="K638" s="1" t="s">
        <v>20</v>
      </c>
      <c r="L638" s="1" t="s">
        <v>25</v>
      </c>
      <c r="M638" s="1" t="s">
        <v>55</v>
      </c>
      <c r="N638" s="1" t="s">
        <v>27</v>
      </c>
      <c r="O638" s="1" t="s">
        <v>56</v>
      </c>
      <c r="P638" s="1">
        <v>1</v>
      </c>
      <c r="Q638" s="1">
        <v>650</v>
      </c>
      <c r="R638" s="1">
        <v>663</v>
      </c>
      <c r="S638" s="1">
        <v>0.06</v>
      </c>
    </row>
    <row r="639" spans="1:19" x14ac:dyDescent="0.3">
      <c r="A639" s="1" t="s">
        <v>2105</v>
      </c>
      <c r="B639" s="1" t="s">
        <v>116</v>
      </c>
      <c r="C639" s="1" t="s">
        <v>2106</v>
      </c>
      <c r="D639" s="1" t="s">
        <v>2107</v>
      </c>
      <c r="E639" s="1" t="s">
        <v>100</v>
      </c>
      <c r="F639" s="1">
        <v>45476</v>
      </c>
      <c r="G639" s="1">
        <v>45477</v>
      </c>
      <c r="H639" s="1">
        <v>45481</v>
      </c>
      <c r="I639" s="1" t="s">
        <v>72</v>
      </c>
      <c r="J639" s="1" t="s">
        <v>17</v>
      </c>
      <c r="K639" s="1" t="s">
        <v>21</v>
      </c>
      <c r="L639" s="1" t="s">
        <v>22</v>
      </c>
      <c r="M639" s="1" t="s">
        <v>42</v>
      </c>
      <c r="N639" s="1" t="s">
        <v>27</v>
      </c>
      <c r="O639" s="1" t="s">
        <v>28</v>
      </c>
      <c r="P639" s="1">
        <v>9</v>
      </c>
      <c r="Q639" s="1">
        <v>3030</v>
      </c>
      <c r="R639" s="1">
        <v>3211.8</v>
      </c>
      <c r="S639" s="1">
        <v>0.01</v>
      </c>
    </row>
    <row r="640" spans="1:19" x14ac:dyDescent="0.3">
      <c r="A640" s="1" t="s">
        <v>2108</v>
      </c>
      <c r="B640" s="1" t="s">
        <v>629</v>
      </c>
      <c r="C640" s="1" t="s">
        <v>2109</v>
      </c>
      <c r="D640" s="1" t="s">
        <v>2110</v>
      </c>
      <c r="E640" s="1" t="s">
        <v>178</v>
      </c>
      <c r="F640" s="1">
        <v>45579</v>
      </c>
      <c r="G640" s="1">
        <v>45580</v>
      </c>
      <c r="H640" s="1">
        <v>45581</v>
      </c>
      <c r="I640" s="1" t="s">
        <v>72</v>
      </c>
      <c r="J640" s="1" t="s">
        <v>18</v>
      </c>
      <c r="K640" s="1" t="s">
        <v>20</v>
      </c>
      <c r="L640" s="1" t="s">
        <v>24</v>
      </c>
      <c r="M640" s="1" t="s">
        <v>47</v>
      </c>
      <c r="N640" s="1" t="s">
        <v>38</v>
      </c>
      <c r="O640" s="1" t="s">
        <v>39</v>
      </c>
      <c r="P640" s="1">
        <v>7</v>
      </c>
      <c r="Q640" s="1">
        <v>390</v>
      </c>
      <c r="R640" s="1">
        <v>468</v>
      </c>
      <c r="S640" s="1">
        <v>0.1</v>
      </c>
    </row>
    <row r="641" spans="1:19" x14ac:dyDescent="0.3">
      <c r="A641" s="1" t="s">
        <v>2111</v>
      </c>
      <c r="B641" s="1" t="s">
        <v>1154</v>
      </c>
      <c r="C641" s="1" t="s">
        <v>2112</v>
      </c>
      <c r="D641" s="1" t="s">
        <v>1021</v>
      </c>
      <c r="E641" s="1" t="s">
        <v>322</v>
      </c>
      <c r="F641" s="1">
        <v>45867</v>
      </c>
      <c r="G641" s="1">
        <v>45868</v>
      </c>
      <c r="H641" s="1">
        <v>45870</v>
      </c>
      <c r="I641" s="1" t="s">
        <v>72</v>
      </c>
      <c r="J641" s="1" t="s">
        <v>17</v>
      </c>
      <c r="K641" s="1" t="s">
        <v>20</v>
      </c>
      <c r="L641" s="1" t="s">
        <v>24</v>
      </c>
      <c r="M641" s="1" t="s">
        <v>26</v>
      </c>
      <c r="N641" s="1" t="s">
        <v>27</v>
      </c>
      <c r="O641" s="1" t="s">
        <v>28</v>
      </c>
      <c r="P641" s="1">
        <v>7</v>
      </c>
      <c r="Q641" s="1">
        <v>3330</v>
      </c>
      <c r="R641" s="1">
        <v>3629.7000000000003</v>
      </c>
      <c r="S641" s="1">
        <v>0.06</v>
      </c>
    </row>
    <row r="642" spans="1:19" x14ac:dyDescent="0.3">
      <c r="A642" s="1" t="s">
        <v>2113</v>
      </c>
      <c r="B642" s="1" t="s">
        <v>201</v>
      </c>
      <c r="C642" s="1" t="s">
        <v>2114</v>
      </c>
      <c r="D642" s="1" t="s">
        <v>2115</v>
      </c>
      <c r="E642" s="1" t="s">
        <v>208</v>
      </c>
      <c r="F642" s="1">
        <v>45500</v>
      </c>
      <c r="G642" s="1">
        <v>45501</v>
      </c>
      <c r="H642" s="1">
        <v>45504</v>
      </c>
      <c r="I642" s="1" t="s">
        <v>82</v>
      </c>
      <c r="J642" s="1" t="s">
        <v>16</v>
      </c>
      <c r="K642" s="1" t="s">
        <v>19</v>
      </c>
      <c r="L642" s="1" t="s">
        <v>22</v>
      </c>
      <c r="M642" s="1" t="s">
        <v>50</v>
      </c>
      <c r="N642" s="1" t="s">
        <v>33</v>
      </c>
      <c r="O642" s="1" t="s">
        <v>36</v>
      </c>
      <c r="P642" s="1">
        <v>2</v>
      </c>
      <c r="Q642" s="1">
        <v>930</v>
      </c>
      <c r="R642" s="1">
        <v>1078.8</v>
      </c>
      <c r="S642" s="1">
        <v>0.09</v>
      </c>
    </row>
    <row r="643" spans="1:19" x14ac:dyDescent="0.3">
      <c r="A643" s="1" t="s">
        <v>2116</v>
      </c>
      <c r="B643" s="1" t="s">
        <v>2117</v>
      </c>
      <c r="C643" s="1" t="s">
        <v>2118</v>
      </c>
      <c r="D643" s="1" t="s">
        <v>2119</v>
      </c>
      <c r="E643" s="1" t="s">
        <v>192</v>
      </c>
      <c r="F643" s="1">
        <v>45770</v>
      </c>
      <c r="G643" s="1">
        <v>45770</v>
      </c>
      <c r="H643" s="1">
        <v>45773</v>
      </c>
      <c r="I643" s="1" t="s">
        <v>82</v>
      </c>
      <c r="J643" s="1" t="s">
        <v>16</v>
      </c>
      <c r="K643" s="1" t="s">
        <v>19</v>
      </c>
      <c r="L643" s="1" t="s">
        <v>61</v>
      </c>
      <c r="M643" s="1" t="s">
        <v>46</v>
      </c>
      <c r="N643" s="1" t="s">
        <v>38</v>
      </c>
      <c r="O643" s="1" t="s">
        <v>45</v>
      </c>
      <c r="P643" s="1">
        <v>3</v>
      </c>
      <c r="Q643" s="1">
        <v>350</v>
      </c>
      <c r="R643" s="1">
        <v>364</v>
      </c>
      <c r="S643" s="1">
        <v>7.0000000000000007E-2</v>
      </c>
    </row>
    <row r="644" spans="1:19" x14ac:dyDescent="0.3">
      <c r="A644" s="1" t="s">
        <v>2120</v>
      </c>
      <c r="B644" s="1" t="s">
        <v>369</v>
      </c>
      <c r="C644" s="1" t="s">
        <v>2121</v>
      </c>
      <c r="D644" s="1" t="s">
        <v>2122</v>
      </c>
      <c r="E644" s="1" t="s">
        <v>119</v>
      </c>
      <c r="F644" s="1">
        <v>45436</v>
      </c>
      <c r="G644" s="1">
        <v>45437</v>
      </c>
      <c r="H644" s="1">
        <v>45439</v>
      </c>
      <c r="I644" s="1" t="s">
        <v>72</v>
      </c>
      <c r="J644" s="1" t="s">
        <v>17</v>
      </c>
      <c r="K644" s="1" t="s">
        <v>19</v>
      </c>
      <c r="L644" s="1" t="s">
        <v>24</v>
      </c>
      <c r="M644" s="1" t="s">
        <v>37</v>
      </c>
      <c r="N644" s="1" t="s">
        <v>38</v>
      </c>
      <c r="O644" s="1" t="s">
        <v>39</v>
      </c>
      <c r="P644" s="1">
        <v>5</v>
      </c>
      <c r="Q644" s="1">
        <v>250</v>
      </c>
      <c r="R644" s="1">
        <v>270</v>
      </c>
      <c r="S644" s="1">
        <v>0.06</v>
      </c>
    </row>
    <row r="645" spans="1:19" x14ac:dyDescent="0.3">
      <c r="A645" s="1" t="s">
        <v>2123</v>
      </c>
      <c r="B645" s="1" t="s">
        <v>1108</v>
      </c>
      <c r="C645" s="1" t="s">
        <v>2124</v>
      </c>
      <c r="D645" s="1" t="s">
        <v>1427</v>
      </c>
      <c r="E645" s="1" t="s">
        <v>132</v>
      </c>
      <c r="F645" s="1">
        <v>45460</v>
      </c>
      <c r="G645" s="1">
        <v>45461</v>
      </c>
      <c r="H645" s="1">
        <v>45464</v>
      </c>
      <c r="I645" s="1" t="s">
        <v>72</v>
      </c>
      <c r="J645" s="1" t="s">
        <v>18</v>
      </c>
      <c r="K645" s="1" t="s">
        <v>20</v>
      </c>
      <c r="L645" s="1" t="s">
        <v>23</v>
      </c>
      <c r="M645" s="1" t="s">
        <v>53</v>
      </c>
      <c r="N645" s="1" t="s">
        <v>27</v>
      </c>
      <c r="O645" s="1" t="s">
        <v>54</v>
      </c>
      <c r="P645" s="1">
        <v>7</v>
      </c>
      <c r="Q645" s="1">
        <v>430</v>
      </c>
      <c r="R645" s="1">
        <v>455.8</v>
      </c>
      <c r="S645" s="1">
        <v>0.09</v>
      </c>
    </row>
    <row r="646" spans="1:19" x14ac:dyDescent="0.3">
      <c r="A646" s="1" t="s">
        <v>2125</v>
      </c>
      <c r="B646" s="1" t="s">
        <v>578</v>
      </c>
      <c r="C646" s="1" t="s">
        <v>2126</v>
      </c>
      <c r="D646" s="1" t="s">
        <v>977</v>
      </c>
      <c r="E646" s="1" t="s">
        <v>192</v>
      </c>
      <c r="F646" s="1">
        <v>45929</v>
      </c>
      <c r="G646" s="1">
        <v>45929</v>
      </c>
      <c r="H646" s="1">
        <v>45932</v>
      </c>
      <c r="I646" s="1" t="s">
        <v>72</v>
      </c>
      <c r="J646" s="1" t="s">
        <v>17</v>
      </c>
      <c r="K646" s="1" t="s">
        <v>21</v>
      </c>
      <c r="L646" s="1" t="s">
        <v>25</v>
      </c>
      <c r="M646" s="1" t="s">
        <v>46</v>
      </c>
      <c r="N646" s="1" t="s">
        <v>38</v>
      </c>
      <c r="O646" s="1" t="s">
        <v>45</v>
      </c>
      <c r="P646" s="1">
        <v>5</v>
      </c>
      <c r="Q646" s="1">
        <v>350</v>
      </c>
      <c r="R646" s="1">
        <v>364</v>
      </c>
      <c r="S646" s="1">
        <v>0.06</v>
      </c>
    </row>
    <row r="647" spans="1:19" x14ac:dyDescent="0.3">
      <c r="A647" s="1" t="s">
        <v>2127</v>
      </c>
      <c r="B647" s="1" t="s">
        <v>420</v>
      </c>
      <c r="C647" s="1" t="s">
        <v>2128</v>
      </c>
      <c r="D647" s="1" t="s">
        <v>2129</v>
      </c>
      <c r="E647" s="1" t="s">
        <v>217</v>
      </c>
      <c r="F647" s="1">
        <v>45954</v>
      </c>
      <c r="G647" s="1">
        <v>45954</v>
      </c>
      <c r="H647" s="1">
        <v>45957</v>
      </c>
      <c r="I647" s="1" t="s">
        <v>72</v>
      </c>
      <c r="J647" s="1" t="s">
        <v>1</v>
      </c>
      <c r="K647" s="1" t="s">
        <v>20</v>
      </c>
      <c r="L647" s="1" t="s">
        <v>22</v>
      </c>
      <c r="M647" s="1" t="s">
        <v>29</v>
      </c>
      <c r="N647" s="1" t="s">
        <v>27</v>
      </c>
      <c r="O647" s="1" t="s">
        <v>28</v>
      </c>
      <c r="P647" s="1">
        <v>8</v>
      </c>
      <c r="Q647" s="1">
        <v>3930</v>
      </c>
      <c r="R647" s="1">
        <v>4362.3</v>
      </c>
      <c r="S647" s="1">
        <v>0.04</v>
      </c>
    </row>
    <row r="648" spans="1:19" x14ac:dyDescent="0.3">
      <c r="A648" s="1" t="s">
        <v>2130</v>
      </c>
      <c r="B648" s="1" t="s">
        <v>2131</v>
      </c>
      <c r="C648" s="1" t="s">
        <v>2132</v>
      </c>
      <c r="D648" s="1" t="s">
        <v>2133</v>
      </c>
      <c r="E648" s="1" t="s">
        <v>141</v>
      </c>
      <c r="F648" s="1">
        <v>45333</v>
      </c>
      <c r="G648" s="1">
        <v>45333</v>
      </c>
      <c r="H648" s="1">
        <v>45336</v>
      </c>
      <c r="I648" s="1" t="s">
        <v>72</v>
      </c>
      <c r="J648" s="1" t="s">
        <v>2</v>
      </c>
      <c r="K648" s="1" t="s">
        <v>19</v>
      </c>
      <c r="L648" s="1" t="s">
        <v>25</v>
      </c>
      <c r="M648" s="1" t="s">
        <v>35</v>
      </c>
      <c r="N648" s="1" t="s">
        <v>33</v>
      </c>
      <c r="O648" s="1" t="s">
        <v>36</v>
      </c>
      <c r="P648" s="1">
        <v>5</v>
      </c>
      <c r="Q648" s="1">
        <v>1530</v>
      </c>
      <c r="R648" s="1">
        <v>1790.1</v>
      </c>
      <c r="S648" s="1">
        <v>0.01</v>
      </c>
    </row>
    <row r="649" spans="1:19" x14ac:dyDescent="0.3">
      <c r="A649" s="1" t="s">
        <v>2134</v>
      </c>
      <c r="B649" s="1" t="s">
        <v>979</v>
      </c>
      <c r="C649" s="1" t="s">
        <v>2135</v>
      </c>
      <c r="D649" s="1" t="s">
        <v>570</v>
      </c>
      <c r="E649" s="1" t="s">
        <v>119</v>
      </c>
      <c r="F649" s="1">
        <v>45350</v>
      </c>
      <c r="G649" s="1">
        <v>45350</v>
      </c>
      <c r="H649" s="1">
        <v>45354</v>
      </c>
      <c r="I649" s="1" t="s">
        <v>72</v>
      </c>
      <c r="J649" s="1" t="s">
        <v>1</v>
      </c>
      <c r="K649" s="1" t="s">
        <v>21</v>
      </c>
      <c r="L649" s="1" t="s">
        <v>61</v>
      </c>
      <c r="M649" s="1" t="s">
        <v>37</v>
      </c>
      <c r="N649" s="1" t="s">
        <v>38</v>
      </c>
      <c r="O649" s="1" t="s">
        <v>39</v>
      </c>
      <c r="P649" s="1">
        <v>10</v>
      </c>
      <c r="Q649" s="1">
        <v>250</v>
      </c>
      <c r="R649" s="1">
        <v>270</v>
      </c>
      <c r="S649" s="1">
        <v>0.04</v>
      </c>
    </row>
    <row r="650" spans="1:19" x14ac:dyDescent="0.3">
      <c r="A650" s="1" t="s">
        <v>2136</v>
      </c>
      <c r="B650" s="1" t="s">
        <v>1019</v>
      </c>
      <c r="C650" s="1" t="s">
        <v>2137</v>
      </c>
      <c r="D650" s="1" t="s">
        <v>2138</v>
      </c>
      <c r="E650" s="1" t="s">
        <v>173</v>
      </c>
      <c r="F650" s="1">
        <v>45502</v>
      </c>
      <c r="G650" s="1">
        <v>45503</v>
      </c>
      <c r="H650" s="1">
        <v>45504</v>
      </c>
      <c r="I650" s="1" t="s">
        <v>72</v>
      </c>
      <c r="J650" s="1" t="s">
        <v>1</v>
      </c>
      <c r="K650" s="1" t="s">
        <v>19</v>
      </c>
      <c r="L650" s="1" t="s">
        <v>23</v>
      </c>
      <c r="M650" s="1" t="s">
        <v>48</v>
      </c>
      <c r="N650" s="1" t="s">
        <v>38</v>
      </c>
      <c r="O650" s="1" t="s">
        <v>41</v>
      </c>
      <c r="P650" s="1">
        <v>6</v>
      </c>
      <c r="Q650" s="1">
        <v>580</v>
      </c>
      <c r="R650" s="1">
        <v>667</v>
      </c>
      <c r="S650" s="1">
        <v>0.01</v>
      </c>
    </row>
    <row r="651" spans="1:19" x14ac:dyDescent="0.3">
      <c r="A651" s="1" t="s">
        <v>2139</v>
      </c>
      <c r="B651" s="1" t="s">
        <v>244</v>
      </c>
      <c r="C651" s="1" t="s">
        <v>2140</v>
      </c>
      <c r="D651" s="1" t="s">
        <v>2141</v>
      </c>
      <c r="E651" s="1" t="s">
        <v>95</v>
      </c>
      <c r="F651" s="1">
        <v>45788</v>
      </c>
      <c r="G651" s="1">
        <v>45788</v>
      </c>
      <c r="H651" s="1">
        <v>45790</v>
      </c>
      <c r="I651" s="1" t="s">
        <v>72</v>
      </c>
      <c r="J651" s="1" t="s">
        <v>17</v>
      </c>
      <c r="K651" s="1" t="s">
        <v>21</v>
      </c>
      <c r="L651" s="1" t="s">
        <v>23</v>
      </c>
      <c r="M651" s="1" t="s">
        <v>49</v>
      </c>
      <c r="N651" s="1" t="s">
        <v>33</v>
      </c>
      <c r="O651" s="1" t="s">
        <v>34</v>
      </c>
      <c r="P651" s="1">
        <v>10</v>
      </c>
      <c r="Q651" s="1">
        <v>1080</v>
      </c>
      <c r="R651" s="1">
        <v>1112.4000000000001</v>
      </c>
      <c r="S651" s="1">
        <v>0</v>
      </c>
    </row>
    <row r="652" spans="1:19" x14ac:dyDescent="0.3">
      <c r="A652" s="1" t="s">
        <v>2142</v>
      </c>
      <c r="B652" s="1" t="s">
        <v>339</v>
      </c>
      <c r="C652" s="1" t="s">
        <v>2143</v>
      </c>
      <c r="D652" s="1" t="s">
        <v>2144</v>
      </c>
      <c r="E652" s="1" t="s">
        <v>164</v>
      </c>
      <c r="F652" s="1">
        <v>45809</v>
      </c>
      <c r="G652" s="1">
        <v>45810</v>
      </c>
      <c r="H652" s="1">
        <v>45811</v>
      </c>
      <c r="I652" s="1" t="s">
        <v>72</v>
      </c>
      <c r="J652" s="1" t="s">
        <v>18</v>
      </c>
      <c r="K652" s="1" t="s">
        <v>20</v>
      </c>
      <c r="L652" s="1" t="s">
        <v>22</v>
      </c>
      <c r="M652" s="1" t="s">
        <v>43</v>
      </c>
      <c r="N652" s="1" t="s">
        <v>27</v>
      </c>
      <c r="O652" s="1" t="s">
        <v>31</v>
      </c>
      <c r="P652" s="1">
        <v>7</v>
      </c>
      <c r="Q652" s="1">
        <v>1630</v>
      </c>
      <c r="R652" s="1">
        <v>1744.1000000000001</v>
      </c>
      <c r="S652" s="1">
        <v>0.05</v>
      </c>
    </row>
    <row r="653" spans="1:19" x14ac:dyDescent="0.3">
      <c r="A653" s="1" t="s">
        <v>2145</v>
      </c>
      <c r="B653" s="1" t="s">
        <v>304</v>
      </c>
      <c r="C653" s="1" t="s">
        <v>2146</v>
      </c>
      <c r="D653" s="1" t="s">
        <v>2147</v>
      </c>
      <c r="E653" s="1" t="s">
        <v>100</v>
      </c>
      <c r="F653" s="1">
        <v>45352</v>
      </c>
      <c r="G653" s="1">
        <v>45353</v>
      </c>
      <c r="H653" s="1">
        <v>45354</v>
      </c>
      <c r="I653" s="1" t="s">
        <v>72</v>
      </c>
      <c r="J653" s="1" t="s">
        <v>2</v>
      </c>
      <c r="K653" s="1" t="s">
        <v>19</v>
      </c>
      <c r="L653" s="1" t="s">
        <v>61</v>
      </c>
      <c r="M653" s="1" t="s">
        <v>42</v>
      </c>
      <c r="N653" s="1" t="s">
        <v>27</v>
      </c>
      <c r="O653" s="1" t="s">
        <v>28</v>
      </c>
      <c r="P653" s="1">
        <v>8</v>
      </c>
      <c r="Q653" s="1">
        <v>3030</v>
      </c>
      <c r="R653" s="1">
        <v>3211.8</v>
      </c>
      <c r="S653" s="1">
        <v>0.09</v>
      </c>
    </row>
    <row r="654" spans="1:19" x14ac:dyDescent="0.3">
      <c r="A654" s="1" t="s">
        <v>2148</v>
      </c>
      <c r="B654" s="1" t="s">
        <v>143</v>
      </c>
      <c r="C654" s="1" t="s">
        <v>2149</v>
      </c>
      <c r="D654" s="1" t="s">
        <v>2150</v>
      </c>
      <c r="E654" s="1" t="s">
        <v>141</v>
      </c>
      <c r="F654" s="1">
        <v>45587</v>
      </c>
      <c r="G654" s="1">
        <v>45587</v>
      </c>
      <c r="H654" s="1">
        <v>45589</v>
      </c>
      <c r="I654" s="1" t="s">
        <v>72</v>
      </c>
      <c r="J654" s="1" t="s">
        <v>2</v>
      </c>
      <c r="K654" s="1" t="s">
        <v>19</v>
      </c>
      <c r="L654" s="1" t="s">
        <v>25</v>
      </c>
      <c r="M654" s="1" t="s">
        <v>35</v>
      </c>
      <c r="N654" s="1" t="s">
        <v>33</v>
      </c>
      <c r="O654" s="1" t="s">
        <v>36</v>
      </c>
      <c r="P654" s="1">
        <v>6</v>
      </c>
      <c r="Q654" s="1">
        <v>1530</v>
      </c>
      <c r="R654" s="1">
        <v>1790.1</v>
      </c>
      <c r="S654" s="1">
        <v>0.06</v>
      </c>
    </row>
    <row r="655" spans="1:19" x14ac:dyDescent="0.3">
      <c r="A655" s="1" t="s">
        <v>2151</v>
      </c>
      <c r="B655" s="1" t="s">
        <v>902</v>
      </c>
      <c r="C655" s="1" t="s">
        <v>2152</v>
      </c>
      <c r="D655" s="1" t="s">
        <v>488</v>
      </c>
      <c r="E655" s="1" t="s">
        <v>109</v>
      </c>
      <c r="F655" s="1">
        <v>46124</v>
      </c>
      <c r="G655" s="1">
        <v>46124</v>
      </c>
      <c r="H655" s="1">
        <v>46127</v>
      </c>
      <c r="I655" s="1" t="s">
        <v>82</v>
      </c>
      <c r="J655" s="1" t="s">
        <v>18</v>
      </c>
      <c r="K655" s="1" t="s">
        <v>19</v>
      </c>
      <c r="L655" s="1" t="s">
        <v>25</v>
      </c>
      <c r="M655" s="1" t="s">
        <v>55</v>
      </c>
      <c r="N655" s="1" t="s">
        <v>27</v>
      </c>
      <c r="O655" s="1" t="s">
        <v>56</v>
      </c>
      <c r="P655" s="1">
        <v>4</v>
      </c>
      <c r="Q655" s="1">
        <v>650</v>
      </c>
      <c r="R655" s="1">
        <v>663</v>
      </c>
      <c r="S655" s="1">
        <v>0.08</v>
      </c>
    </row>
    <row r="656" spans="1:19" x14ac:dyDescent="0.3">
      <c r="A656" s="1" t="s">
        <v>2153</v>
      </c>
      <c r="B656" s="1" t="s">
        <v>275</v>
      </c>
      <c r="C656" s="1" t="s">
        <v>2154</v>
      </c>
      <c r="D656" s="1" t="s">
        <v>2155</v>
      </c>
      <c r="E656" s="1" t="s">
        <v>114</v>
      </c>
      <c r="F656" s="1">
        <v>46117</v>
      </c>
      <c r="G656" s="1">
        <v>46117</v>
      </c>
      <c r="H656" s="1">
        <v>46121</v>
      </c>
      <c r="I656" s="1" t="s">
        <v>72</v>
      </c>
      <c r="J656" s="1" t="s">
        <v>1</v>
      </c>
      <c r="K656" s="1" t="s">
        <v>19</v>
      </c>
      <c r="L656" s="1" t="s">
        <v>22</v>
      </c>
      <c r="M656" s="1" t="s">
        <v>51</v>
      </c>
      <c r="N656" s="1" t="s">
        <v>33</v>
      </c>
      <c r="O656" s="1" t="s">
        <v>52</v>
      </c>
      <c r="P656" s="1">
        <v>9</v>
      </c>
      <c r="Q656" s="1">
        <v>280</v>
      </c>
      <c r="R656" s="1">
        <v>336</v>
      </c>
      <c r="S656" s="1">
        <v>0.1</v>
      </c>
    </row>
    <row r="657" spans="1:19" x14ac:dyDescent="0.3">
      <c r="A657" s="1" t="s">
        <v>2156</v>
      </c>
      <c r="B657" s="1" t="s">
        <v>2157</v>
      </c>
      <c r="C657" s="1" t="s">
        <v>2158</v>
      </c>
      <c r="D657" s="1" t="s">
        <v>2159</v>
      </c>
      <c r="E657" s="1" t="s">
        <v>322</v>
      </c>
      <c r="F657" s="1">
        <v>45411</v>
      </c>
      <c r="G657" s="1">
        <v>45412</v>
      </c>
      <c r="H657" s="1">
        <v>45415</v>
      </c>
      <c r="I657" s="1" t="s">
        <v>82</v>
      </c>
      <c r="J657" s="1" t="s">
        <v>18</v>
      </c>
      <c r="K657" s="1" t="s">
        <v>19</v>
      </c>
      <c r="L657" s="1" t="s">
        <v>24</v>
      </c>
      <c r="M657" s="1" t="s">
        <v>26</v>
      </c>
      <c r="N657" s="1" t="s">
        <v>27</v>
      </c>
      <c r="O657" s="1" t="s">
        <v>28</v>
      </c>
      <c r="P657" s="1">
        <v>1</v>
      </c>
      <c r="Q657" s="1">
        <v>3330</v>
      </c>
      <c r="R657" s="1">
        <v>3629.7000000000003</v>
      </c>
      <c r="S657" s="1">
        <v>0.08</v>
      </c>
    </row>
    <row r="658" spans="1:19" x14ac:dyDescent="0.3">
      <c r="A658" s="1" t="s">
        <v>2160</v>
      </c>
      <c r="B658" s="1" t="s">
        <v>1174</v>
      </c>
      <c r="C658" s="1" t="s">
        <v>2161</v>
      </c>
      <c r="D658" s="1" t="s">
        <v>2162</v>
      </c>
      <c r="E658" s="1" t="s">
        <v>77</v>
      </c>
      <c r="F658" s="1">
        <v>45924</v>
      </c>
      <c r="G658" s="1">
        <v>45924</v>
      </c>
      <c r="H658" s="1">
        <v>45928</v>
      </c>
      <c r="I658" s="1" t="s">
        <v>72</v>
      </c>
      <c r="J658" s="1" t="s">
        <v>17</v>
      </c>
      <c r="K658" s="1" t="s">
        <v>19</v>
      </c>
      <c r="L658" s="1" t="s">
        <v>24</v>
      </c>
      <c r="M658" s="1" t="s">
        <v>44</v>
      </c>
      <c r="N658" s="1" t="s">
        <v>38</v>
      </c>
      <c r="O658" s="1" t="s">
        <v>45</v>
      </c>
      <c r="P658" s="1">
        <v>8</v>
      </c>
      <c r="Q658" s="1">
        <v>210</v>
      </c>
      <c r="R658" s="1">
        <v>222.60000000000002</v>
      </c>
      <c r="S658" s="1">
        <v>0.05</v>
      </c>
    </row>
    <row r="659" spans="1:19" x14ac:dyDescent="0.3">
      <c r="A659" s="1" t="s">
        <v>2163</v>
      </c>
      <c r="B659" s="1" t="s">
        <v>1061</v>
      </c>
      <c r="C659" s="1" t="s">
        <v>2164</v>
      </c>
      <c r="D659" s="1" t="s">
        <v>2165</v>
      </c>
      <c r="E659" s="1" t="s">
        <v>77</v>
      </c>
      <c r="F659" s="1">
        <v>45917</v>
      </c>
      <c r="G659" s="1">
        <v>45917</v>
      </c>
      <c r="H659" s="1">
        <v>45921</v>
      </c>
      <c r="I659" s="1" t="s">
        <v>72</v>
      </c>
      <c r="J659" s="1" t="s">
        <v>18</v>
      </c>
      <c r="K659" s="1" t="s">
        <v>20</v>
      </c>
      <c r="L659" s="1" t="s">
        <v>23</v>
      </c>
      <c r="M659" s="1" t="s">
        <v>44</v>
      </c>
      <c r="N659" s="1" t="s">
        <v>38</v>
      </c>
      <c r="O659" s="1" t="s">
        <v>45</v>
      </c>
      <c r="P659" s="1">
        <v>8</v>
      </c>
      <c r="Q659" s="1">
        <v>210</v>
      </c>
      <c r="R659" s="1">
        <v>222.60000000000002</v>
      </c>
      <c r="S659" s="1">
        <v>0.05</v>
      </c>
    </row>
    <row r="660" spans="1:19" x14ac:dyDescent="0.3">
      <c r="A660" s="1" t="s">
        <v>2166</v>
      </c>
      <c r="B660" s="1" t="s">
        <v>2167</v>
      </c>
      <c r="C660" s="1" t="s">
        <v>1250</v>
      </c>
      <c r="D660" s="1" t="s">
        <v>1465</v>
      </c>
      <c r="E660" s="1" t="s">
        <v>164</v>
      </c>
      <c r="F660" s="1">
        <v>45725</v>
      </c>
      <c r="G660" s="1">
        <v>45725</v>
      </c>
      <c r="H660" s="1">
        <v>45729</v>
      </c>
      <c r="I660" s="1" t="s">
        <v>72</v>
      </c>
      <c r="J660" s="1" t="s">
        <v>17</v>
      </c>
      <c r="K660" s="1" t="s">
        <v>21</v>
      </c>
      <c r="L660" s="1" t="s">
        <v>24</v>
      </c>
      <c r="M660" s="1" t="s">
        <v>43</v>
      </c>
      <c r="N660" s="1" t="s">
        <v>27</v>
      </c>
      <c r="O660" s="1" t="s">
        <v>31</v>
      </c>
      <c r="P660" s="1">
        <v>9</v>
      </c>
      <c r="Q660" s="1">
        <v>1630</v>
      </c>
      <c r="R660" s="1">
        <v>1744.1000000000001</v>
      </c>
      <c r="S660" s="1">
        <v>0.08</v>
      </c>
    </row>
    <row r="661" spans="1:19" x14ac:dyDescent="0.3">
      <c r="A661" s="1" t="s">
        <v>2168</v>
      </c>
      <c r="B661" s="1" t="s">
        <v>568</v>
      </c>
      <c r="C661" s="1" t="s">
        <v>2169</v>
      </c>
      <c r="D661" s="1" t="s">
        <v>2170</v>
      </c>
      <c r="E661" s="1" t="s">
        <v>187</v>
      </c>
      <c r="F661" s="1">
        <v>45486</v>
      </c>
      <c r="G661" s="1">
        <v>45486</v>
      </c>
      <c r="H661" s="1">
        <v>45491</v>
      </c>
      <c r="I661" s="1" t="s">
        <v>72</v>
      </c>
      <c r="J661" s="1" t="s">
        <v>17</v>
      </c>
      <c r="K661" s="1" t="s">
        <v>21</v>
      </c>
      <c r="L661" s="1" t="s">
        <v>23</v>
      </c>
      <c r="M661" s="1" t="s">
        <v>40</v>
      </c>
      <c r="N661" s="1" t="s">
        <v>38</v>
      </c>
      <c r="O661" s="1" t="s">
        <v>41</v>
      </c>
      <c r="P661" s="1">
        <v>11</v>
      </c>
      <c r="Q661" s="1">
        <v>170</v>
      </c>
      <c r="R661" s="1">
        <v>188.70000000000002</v>
      </c>
      <c r="S661" s="1">
        <v>0.03</v>
      </c>
    </row>
    <row r="662" spans="1:19" x14ac:dyDescent="0.3">
      <c r="A662" s="1" t="s">
        <v>2171</v>
      </c>
      <c r="B662" s="1" t="s">
        <v>385</v>
      </c>
      <c r="C662" s="1" t="s">
        <v>2172</v>
      </c>
      <c r="D662" s="1" t="s">
        <v>2173</v>
      </c>
      <c r="E662" s="1" t="s">
        <v>109</v>
      </c>
      <c r="F662" s="1">
        <v>46160</v>
      </c>
      <c r="G662" s="1">
        <v>46160</v>
      </c>
      <c r="H662" s="1">
        <v>46164</v>
      </c>
      <c r="I662" s="1" t="s">
        <v>72</v>
      </c>
      <c r="J662" s="1" t="s">
        <v>2</v>
      </c>
      <c r="K662" s="1" t="s">
        <v>19</v>
      </c>
      <c r="L662" s="1" t="s">
        <v>61</v>
      </c>
      <c r="M662" s="1" t="s">
        <v>55</v>
      </c>
      <c r="N662" s="1" t="s">
        <v>27</v>
      </c>
      <c r="O662" s="1" t="s">
        <v>56</v>
      </c>
      <c r="P662" s="1">
        <v>6</v>
      </c>
      <c r="Q662" s="1">
        <v>650</v>
      </c>
      <c r="R662" s="1">
        <v>663</v>
      </c>
      <c r="S662" s="1">
        <v>7.0000000000000007E-2</v>
      </c>
    </row>
    <row r="663" spans="1:19" x14ac:dyDescent="0.3">
      <c r="A663" s="1" t="s">
        <v>2174</v>
      </c>
      <c r="B663" s="1" t="s">
        <v>1725</v>
      </c>
      <c r="C663" s="1" t="s">
        <v>2175</v>
      </c>
      <c r="D663" s="1" t="s">
        <v>2176</v>
      </c>
      <c r="E663" s="1" t="s">
        <v>132</v>
      </c>
      <c r="F663" s="1">
        <v>46056</v>
      </c>
      <c r="G663" s="1">
        <v>46056</v>
      </c>
      <c r="H663" s="1">
        <v>46060</v>
      </c>
      <c r="I663" s="1" t="s">
        <v>82</v>
      </c>
      <c r="J663" s="1" t="s">
        <v>2</v>
      </c>
      <c r="K663" s="1" t="s">
        <v>19</v>
      </c>
      <c r="L663" s="1" t="s">
        <v>23</v>
      </c>
      <c r="M663" s="1" t="s">
        <v>53</v>
      </c>
      <c r="N663" s="1" t="s">
        <v>27</v>
      </c>
      <c r="O663" s="1" t="s">
        <v>54</v>
      </c>
      <c r="P663" s="1">
        <v>4</v>
      </c>
      <c r="Q663" s="1">
        <v>430</v>
      </c>
      <c r="R663" s="1">
        <v>455.8</v>
      </c>
      <c r="S663" s="1">
        <v>0.01</v>
      </c>
    </row>
    <row r="664" spans="1:19" x14ac:dyDescent="0.3">
      <c r="A664" s="1" t="s">
        <v>2177</v>
      </c>
      <c r="B664" s="1" t="s">
        <v>2178</v>
      </c>
      <c r="C664" s="1" t="s">
        <v>2179</v>
      </c>
      <c r="D664" s="1" t="s">
        <v>2180</v>
      </c>
      <c r="E664" s="1" t="s">
        <v>187</v>
      </c>
      <c r="F664" s="1">
        <v>45434</v>
      </c>
      <c r="G664" s="1">
        <v>45435</v>
      </c>
      <c r="H664" s="1">
        <v>45438</v>
      </c>
      <c r="I664" s="1" t="s">
        <v>72</v>
      </c>
      <c r="J664" s="1" t="s">
        <v>2</v>
      </c>
      <c r="K664" s="1" t="s">
        <v>21</v>
      </c>
      <c r="L664" s="1" t="s">
        <v>22</v>
      </c>
      <c r="M664" s="1" t="s">
        <v>40</v>
      </c>
      <c r="N664" s="1" t="s">
        <v>38</v>
      </c>
      <c r="O664" s="1" t="s">
        <v>41</v>
      </c>
      <c r="P664" s="1">
        <v>12</v>
      </c>
      <c r="Q664" s="1">
        <v>170</v>
      </c>
      <c r="R664" s="1">
        <v>188.70000000000002</v>
      </c>
      <c r="S664" s="1">
        <v>0.01</v>
      </c>
    </row>
    <row r="665" spans="1:19" x14ac:dyDescent="0.3">
      <c r="A665" s="1" t="s">
        <v>2181</v>
      </c>
      <c r="B665" s="1" t="s">
        <v>319</v>
      </c>
      <c r="C665" s="1" t="s">
        <v>2182</v>
      </c>
      <c r="D665" s="1" t="s">
        <v>611</v>
      </c>
      <c r="E665" s="1" t="s">
        <v>217</v>
      </c>
      <c r="F665" s="1">
        <v>45292</v>
      </c>
      <c r="G665" s="1">
        <v>45292</v>
      </c>
      <c r="H665" s="1">
        <v>45295</v>
      </c>
      <c r="I665" s="1" t="s">
        <v>72</v>
      </c>
      <c r="J665" s="1" t="s">
        <v>16</v>
      </c>
      <c r="K665" s="1" t="s">
        <v>21</v>
      </c>
      <c r="L665" s="1" t="s">
        <v>25</v>
      </c>
      <c r="M665" s="1" t="s">
        <v>29</v>
      </c>
      <c r="N665" s="1" t="s">
        <v>27</v>
      </c>
      <c r="O665" s="1" t="s">
        <v>28</v>
      </c>
      <c r="P665" s="1">
        <v>8</v>
      </c>
      <c r="Q665" s="1">
        <v>3930</v>
      </c>
      <c r="R665" s="1">
        <v>4362.3</v>
      </c>
      <c r="S665" s="1">
        <v>0.03</v>
      </c>
    </row>
    <row r="666" spans="1:19" x14ac:dyDescent="0.3">
      <c r="A666" s="1" t="s">
        <v>2183</v>
      </c>
      <c r="B666" s="1" t="s">
        <v>1057</v>
      </c>
      <c r="C666" s="1" t="s">
        <v>2184</v>
      </c>
      <c r="D666" s="1" t="s">
        <v>1346</v>
      </c>
      <c r="E666" s="1" t="s">
        <v>132</v>
      </c>
      <c r="F666" s="1">
        <v>45531</v>
      </c>
      <c r="G666" s="1">
        <v>45531</v>
      </c>
      <c r="H666" s="1">
        <v>45536</v>
      </c>
      <c r="I666" s="1" t="s">
        <v>72</v>
      </c>
      <c r="J666" s="1" t="s">
        <v>17</v>
      </c>
      <c r="K666" s="1" t="s">
        <v>21</v>
      </c>
      <c r="L666" s="1" t="s">
        <v>25</v>
      </c>
      <c r="M666" s="1" t="s">
        <v>53</v>
      </c>
      <c r="N666" s="1" t="s">
        <v>27</v>
      </c>
      <c r="O666" s="1" t="s">
        <v>54</v>
      </c>
      <c r="P666" s="1">
        <v>12</v>
      </c>
      <c r="Q666" s="1">
        <v>430</v>
      </c>
      <c r="R666" s="1">
        <v>455.8</v>
      </c>
      <c r="S666" s="1">
        <v>0.01</v>
      </c>
    </row>
    <row r="667" spans="1:19" x14ac:dyDescent="0.3">
      <c r="A667" s="1" t="s">
        <v>2185</v>
      </c>
      <c r="B667" s="1" t="s">
        <v>702</v>
      </c>
      <c r="C667" s="1" t="s">
        <v>2186</v>
      </c>
      <c r="D667" s="1" t="s">
        <v>2187</v>
      </c>
      <c r="E667" s="1" t="s">
        <v>291</v>
      </c>
      <c r="F667" s="1">
        <v>45763</v>
      </c>
      <c r="G667" s="1">
        <v>45763</v>
      </c>
      <c r="H667" s="1">
        <v>45766</v>
      </c>
      <c r="I667" s="1" t="s">
        <v>72</v>
      </c>
      <c r="J667" s="1" t="s">
        <v>1</v>
      </c>
      <c r="K667" s="1" t="s">
        <v>21</v>
      </c>
      <c r="L667" s="1" t="s">
        <v>23</v>
      </c>
      <c r="M667" s="1" t="s">
        <v>57</v>
      </c>
      <c r="N667" s="1" t="s">
        <v>27</v>
      </c>
      <c r="O667" s="1" t="s">
        <v>58</v>
      </c>
      <c r="P667" s="1">
        <v>13</v>
      </c>
      <c r="Q667" s="1">
        <v>480</v>
      </c>
      <c r="R667" s="1">
        <v>513.6</v>
      </c>
      <c r="S667" s="1">
        <v>0.05</v>
      </c>
    </row>
    <row r="668" spans="1:19" x14ac:dyDescent="0.3">
      <c r="A668" s="1" t="s">
        <v>2188</v>
      </c>
      <c r="B668" s="1" t="s">
        <v>1112</v>
      </c>
      <c r="C668" s="1" t="s">
        <v>2189</v>
      </c>
      <c r="D668" s="1" t="s">
        <v>2190</v>
      </c>
      <c r="E668" s="1" t="s">
        <v>291</v>
      </c>
      <c r="F668" s="1">
        <v>45731</v>
      </c>
      <c r="G668" s="1">
        <v>45731</v>
      </c>
      <c r="H668" s="1">
        <v>45733</v>
      </c>
      <c r="I668" s="1" t="s">
        <v>72</v>
      </c>
      <c r="J668" s="1" t="s">
        <v>1</v>
      </c>
      <c r="K668" s="1" t="s">
        <v>20</v>
      </c>
      <c r="L668" s="1" t="s">
        <v>23</v>
      </c>
      <c r="M668" s="1" t="s">
        <v>57</v>
      </c>
      <c r="N668" s="1" t="s">
        <v>27</v>
      </c>
      <c r="O668" s="1" t="s">
        <v>58</v>
      </c>
      <c r="P668" s="1">
        <v>10</v>
      </c>
      <c r="Q668" s="1">
        <v>480</v>
      </c>
      <c r="R668" s="1">
        <v>513.6</v>
      </c>
      <c r="S668" s="1">
        <v>7.0000000000000007E-2</v>
      </c>
    </row>
    <row r="669" spans="1:19" x14ac:dyDescent="0.3">
      <c r="A669" s="1" t="s">
        <v>2191</v>
      </c>
      <c r="B669" s="1" t="s">
        <v>385</v>
      </c>
      <c r="C669" s="1" t="s">
        <v>2192</v>
      </c>
      <c r="D669" s="1" t="s">
        <v>2193</v>
      </c>
      <c r="E669" s="1" t="s">
        <v>217</v>
      </c>
      <c r="F669" s="1">
        <v>45394</v>
      </c>
      <c r="G669" s="1">
        <v>45395</v>
      </c>
      <c r="H669" s="1">
        <v>45396</v>
      </c>
      <c r="I669" s="1" t="s">
        <v>82</v>
      </c>
      <c r="J669" s="1" t="s">
        <v>2</v>
      </c>
      <c r="K669" s="1" t="s">
        <v>20</v>
      </c>
      <c r="L669" s="1" t="s">
        <v>23</v>
      </c>
      <c r="M669" s="1" t="s">
        <v>29</v>
      </c>
      <c r="N669" s="1" t="s">
        <v>27</v>
      </c>
      <c r="O669" s="1" t="s">
        <v>28</v>
      </c>
      <c r="P669" s="1">
        <v>2</v>
      </c>
      <c r="Q669" s="1">
        <v>3930</v>
      </c>
      <c r="R669" s="1">
        <v>4362.3</v>
      </c>
      <c r="S669" s="1">
        <v>0.04</v>
      </c>
    </row>
    <row r="670" spans="1:19" x14ac:dyDescent="0.3">
      <c r="A670" s="1" t="s">
        <v>2194</v>
      </c>
      <c r="B670" s="1" t="s">
        <v>155</v>
      </c>
      <c r="C670" s="1" t="s">
        <v>2195</v>
      </c>
      <c r="D670" s="1" t="s">
        <v>2196</v>
      </c>
      <c r="E670" s="1" t="s">
        <v>164</v>
      </c>
      <c r="F670" s="1">
        <v>45410</v>
      </c>
      <c r="G670" s="1">
        <v>45410</v>
      </c>
      <c r="H670" s="1">
        <v>45412</v>
      </c>
      <c r="I670" s="1" t="s">
        <v>72</v>
      </c>
      <c r="J670" s="1" t="s">
        <v>1</v>
      </c>
      <c r="K670" s="1" t="s">
        <v>21</v>
      </c>
      <c r="L670" s="1" t="s">
        <v>23</v>
      </c>
      <c r="M670" s="1" t="s">
        <v>43</v>
      </c>
      <c r="N670" s="1" t="s">
        <v>27</v>
      </c>
      <c r="O670" s="1" t="s">
        <v>31</v>
      </c>
      <c r="P670" s="1">
        <v>5</v>
      </c>
      <c r="Q670" s="1">
        <v>1630</v>
      </c>
      <c r="R670" s="1">
        <v>1744.1000000000001</v>
      </c>
      <c r="S670" s="1">
        <v>0.09</v>
      </c>
    </row>
    <row r="671" spans="1:19" x14ac:dyDescent="0.3">
      <c r="A671" s="1" t="s">
        <v>2197</v>
      </c>
      <c r="B671" s="1" t="s">
        <v>180</v>
      </c>
      <c r="C671" s="1" t="s">
        <v>2198</v>
      </c>
      <c r="D671" s="1" t="s">
        <v>2199</v>
      </c>
      <c r="E671" s="1" t="s">
        <v>114</v>
      </c>
      <c r="F671" s="1">
        <v>45668</v>
      </c>
      <c r="G671" s="1">
        <v>45668</v>
      </c>
      <c r="H671" s="1">
        <v>45671</v>
      </c>
      <c r="I671" s="1" t="s">
        <v>82</v>
      </c>
      <c r="J671" s="1" t="s">
        <v>16</v>
      </c>
      <c r="K671" s="1" t="s">
        <v>19</v>
      </c>
      <c r="L671" s="1" t="s">
        <v>24</v>
      </c>
      <c r="M671" s="1" t="s">
        <v>51</v>
      </c>
      <c r="N671" s="1" t="s">
        <v>33</v>
      </c>
      <c r="O671" s="1" t="s">
        <v>52</v>
      </c>
      <c r="P671" s="1">
        <v>3</v>
      </c>
      <c r="Q671" s="1">
        <v>280</v>
      </c>
      <c r="R671" s="1">
        <v>336</v>
      </c>
      <c r="S671" s="1">
        <v>0.08</v>
      </c>
    </row>
    <row r="672" spans="1:19" x14ac:dyDescent="0.3">
      <c r="A672" s="1" t="s">
        <v>2200</v>
      </c>
      <c r="B672" s="1" t="s">
        <v>1677</v>
      </c>
      <c r="C672" s="1" t="s">
        <v>2201</v>
      </c>
      <c r="D672" s="1" t="s">
        <v>2202</v>
      </c>
      <c r="E672" s="1" t="s">
        <v>87</v>
      </c>
      <c r="F672" s="1">
        <v>45921</v>
      </c>
      <c r="G672" s="1">
        <v>45922</v>
      </c>
      <c r="H672" s="1">
        <v>45924</v>
      </c>
      <c r="I672" s="1" t="s">
        <v>72</v>
      </c>
      <c r="J672" s="1" t="s">
        <v>2</v>
      </c>
      <c r="K672" s="1" t="s">
        <v>21</v>
      </c>
      <c r="L672" s="1" t="s">
        <v>25</v>
      </c>
      <c r="M672" s="1" t="s">
        <v>30</v>
      </c>
      <c r="N672" s="1" t="s">
        <v>27</v>
      </c>
      <c r="O672" s="1" t="s">
        <v>31</v>
      </c>
      <c r="P672" s="1">
        <v>8</v>
      </c>
      <c r="Q672" s="1">
        <v>1030</v>
      </c>
      <c r="R672" s="1">
        <v>1174.2</v>
      </c>
      <c r="S672" s="1">
        <v>0.09</v>
      </c>
    </row>
    <row r="673" spans="1:19" x14ac:dyDescent="0.3">
      <c r="A673" s="1" t="s">
        <v>2203</v>
      </c>
      <c r="B673" s="1" t="s">
        <v>2204</v>
      </c>
      <c r="C673" s="1" t="s">
        <v>2205</v>
      </c>
      <c r="D673" s="1" t="s">
        <v>2206</v>
      </c>
      <c r="E673" s="1" t="s">
        <v>178</v>
      </c>
      <c r="F673" s="1">
        <v>45796</v>
      </c>
      <c r="G673" s="1">
        <v>45796</v>
      </c>
      <c r="H673" s="1">
        <v>45799</v>
      </c>
      <c r="I673" s="1" t="s">
        <v>72</v>
      </c>
      <c r="J673" s="1" t="s">
        <v>2</v>
      </c>
      <c r="K673" s="1" t="s">
        <v>20</v>
      </c>
      <c r="L673" s="1" t="s">
        <v>22</v>
      </c>
      <c r="M673" s="1" t="s">
        <v>47</v>
      </c>
      <c r="N673" s="1" t="s">
        <v>38</v>
      </c>
      <c r="O673" s="1" t="s">
        <v>39</v>
      </c>
      <c r="P673" s="1">
        <v>10</v>
      </c>
      <c r="Q673" s="1">
        <v>390</v>
      </c>
      <c r="R673" s="1">
        <v>468</v>
      </c>
      <c r="S673" s="1">
        <v>7.0000000000000007E-2</v>
      </c>
    </row>
    <row r="674" spans="1:19" x14ac:dyDescent="0.3">
      <c r="A674" s="1" t="s">
        <v>2207</v>
      </c>
      <c r="B674" s="1" t="s">
        <v>319</v>
      </c>
      <c r="C674" s="1" t="s">
        <v>2208</v>
      </c>
      <c r="D674" s="1" t="s">
        <v>1413</v>
      </c>
      <c r="E674" s="1" t="s">
        <v>322</v>
      </c>
      <c r="F674" s="1">
        <v>45518</v>
      </c>
      <c r="G674" s="1">
        <v>45518</v>
      </c>
      <c r="H674" s="1">
        <v>45522</v>
      </c>
      <c r="I674" s="1" t="s">
        <v>72</v>
      </c>
      <c r="J674" s="1" t="s">
        <v>2</v>
      </c>
      <c r="K674" s="1" t="s">
        <v>20</v>
      </c>
      <c r="L674" s="1" t="s">
        <v>23</v>
      </c>
      <c r="M674" s="1" t="s">
        <v>26</v>
      </c>
      <c r="N674" s="1" t="s">
        <v>27</v>
      </c>
      <c r="O674" s="1" t="s">
        <v>28</v>
      </c>
      <c r="P674" s="1">
        <v>10</v>
      </c>
      <c r="Q674" s="1">
        <v>3330</v>
      </c>
      <c r="R674" s="1">
        <v>3629.7000000000003</v>
      </c>
      <c r="S674" s="1">
        <v>0.02</v>
      </c>
    </row>
    <row r="675" spans="1:19" x14ac:dyDescent="0.3">
      <c r="A675" s="1" t="s">
        <v>2209</v>
      </c>
      <c r="B675" s="1" t="s">
        <v>2210</v>
      </c>
      <c r="C675" s="1" t="s">
        <v>2211</v>
      </c>
      <c r="D675" s="1" t="s">
        <v>2212</v>
      </c>
      <c r="E675" s="1" t="s">
        <v>71</v>
      </c>
      <c r="F675" s="1">
        <v>45555</v>
      </c>
      <c r="G675" s="1">
        <v>45555</v>
      </c>
      <c r="H675" s="1">
        <v>45557</v>
      </c>
      <c r="I675" s="1" t="s">
        <v>72</v>
      </c>
      <c r="J675" s="1" t="s">
        <v>18</v>
      </c>
      <c r="K675" s="1" t="s">
        <v>20</v>
      </c>
      <c r="L675" s="1" t="s">
        <v>24</v>
      </c>
      <c r="M675" s="1" t="s">
        <v>32</v>
      </c>
      <c r="N675" s="1" t="s">
        <v>33</v>
      </c>
      <c r="O675" s="1" t="s">
        <v>34</v>
      </c>
      <c r="P675" s="1">
        <v>5</v>
      </c>
      <c r="Q675" s="1">
        <v>730</v>
      </c>
      <c r="R675" s="1">
        <v>824.9</v>
      </c>
      <c r="S675" s="1">
        <v>0.09</v>
      </c>
    </row>
    <row r="676" spans="1:19" x14ac:dyDescent="0.3">
      <c r="A676" s="1" t="s">
        <v>2213</v>
      </c>
      <c r="B676" s="1" t="s">
        <v>1094</v>
      </c>
      <c r="C676" s="1" t="s">
        <v>2214</v>
      </c>
      <c r="D676" s="1" t="s">
        <v>1379</v>
      </c>
      <c r="E676" s="1" t="s">
        <v>178</v>
      </c>
      <c r="F676" s="1">
        <v>45447</v>
      </c>
      <c r="G676" s="1">
        <v>45448</v>
      </c>
      <c r="H676" s="1">
        <v>45449</v>
      </c>
      <c r="I676" s="1" t="s">
        <v>72</v>
      </c>
      <c r="J676" s="1" t="s">
        <v>1</v>
      </c>
      <c r="K676" s="1" t="s">
        <v>21</v>
      </c>
      <c r="L676" s="1" t="s">
        <v>23</v>
      </c>
      <c r="M676" s="1" t="s">
        <v>47</v>
      </c>
      <c r="N676" s="1" t="s">
        <v>38</v>
      </c>
      <c r="O676" s="1" t="s">
        <v>39</v>
      </c>
      <c r="P676" s="1">
        <v>12</v>
      </c>
      <c r="Q676" s="1">
        <v>390</v>
      </c>
      <c r="R676" s="1">
        <v>468</v>
      </c>
      <c r="S676" s="1">
        <v>0.04</v>
      </c>
    </row>
    <row r="677" spans="1:19" x14ac:dyDescent="0.3">
      <c r="A677" s="1" t="s">
        <v>2215</v>
      </c>
      <c r="B677" s="1" t="s">
        <v>851</v>
      </c>
      <c r="C677" s="1" t="s">
        <v>2216</v>
      </c>
      <c r="D677" s="1" t="s">
        <v>2217</v>
      </c>
      <c r="E677" s="1" t="s">
        <v>208</v>
      </c>
      <c r="F677" s="1">
        <v>45912</v>
      </c>
      <c r="G677" s="1">
        <v>45912</v>
      </c>
      <c r="H677" s="1">
        <v>45917</v>
      </c>
      <c r="I677" s="1" t="s">
        <v>72</v>
      </c>
      <c r="J677" s="1" t="s">
        <v>17</v>
      </c>
      <c r="K677" s="1" t="s">
        <v>21</v>
      </c>
      <c r="L677" s="1" t="s">
        <v>61</v>
      </c>
      <c r="M677" s="1" t="s">
        <v>50</v>
      </c>
      <c r="N677" s="1" t="s">
        <v>33</v>
      </c>
      <c r="O677" s="1" t="s">
        <v>36</v>
      </c>
      <c r="P677" s="1">
        <v>6</v>
      </c>
      <c r="Q677" s="1">
        <v>930</v>
      </c>
      <c r="R677" s="1">
        <v>1078.8</v>
      </c>
      <c r="S677" s="1">
        <v>0</v>
      </c>
    </row>
    <row r="678" spans="1:19" x14ac:dyDescent="0.3">
      <c r="A678" s="1" t="s">
        <v>2218</v>
      </c>
      <c r="B678" s="1" t="s">
        <v>1473</v>
      </c>
      <c r="C678" s="1" t="s">
        <v>2219</v>
      </c>
      <c r="D678" s="1" t="s">
        <v>2220</v>
      </c>
      <c r="E678" s="1" t="s">
        <v>192</v>
      </c>
      <c r="F678" s="1">
        <v>45655</v>
      </c>
      <c r="G678" s="1">
        <v>45656</v>
      </c>
      <c r="H678" s="1">
        <v>45658</v>
      </c>
      <c r="I678" s="1" t="s">
        <v>72</v>
      </c>
      <c r="J678" s="1" t="s">
        <v>18</v>
      </c>
      <c r="K678" s="1" t="s">
        <v>21</v>
      </c>
      <c r="L678" s="1" t="s">
        <v>61</v>
      </c>
      <c r="M678" s="1" t="s">
        <v>46</v>
      </c>
      <c r="N678" s="1" t="s">
        <v>38</v>
      </c>
      <c r="O678" s="1" t="s">
        <v>45</v>
      </c>
      <c r="P678" s="1">
        <v>10</v>
      </c>
      <c r="Q678" s="1">
        <v>350</v>
      </c>
      <c r="R678" s="1">
        <v>364</v>
      </c>
      <c r="S678" s="1">
        <v>0.1</v>
      </c>
    </row>
    <row r="679" spans="1:19" x14ac:dyDescent="0.3">
      <c r="A679" s="1" t="s">
        <v>2221</v>
      </c>
      <c r="B679" s="1" t="s">
        <v>1065</v>
      </c>
      <c r="C679" s="1" t="s">
        <v>2222</v>
      </c>
      <c r="D679" s="1" t="s">
        <v>836</v>
      </c>
      <c r="E679" s="1" t="s">
        <v>71</v>
      </c>
      <c r="F679" s="1">
        <v>46049</v>
      </c>
      <c r="G679" s="1">
        <v>46050</v>
      </c>
      <c r="H679" s="1">
        <v>46053</v>
      </c>
      <c r="I679" s="1" t="s">
        <v>72</v>
      </c>
      <c r="J679" s="1" t="s">
        <v>16</v>
      </c>
      <c r="K679" s="1" t="s">
        <v>21</v>
      </c>
      <c r="L679" s="1" t="s">
        <v>24</v>
      </c>
      <c r="M679" s="1" t="s">
        <v>32</v>
      </c>
      <c r="N679" s="1" t="s">
        <v>33</v>
      </c>
      <c r="O679" s="1" t="s">
        <v>34</v>
      </c>
      <c r="P679" s="1">
        <v>5</v>
      </c>
      <c r="Q679" s="1">
        <v>730</v>
      </c>
      <c r="R679" s="1">
        <v>824.9</v>
      </c>
      <c r="S679" s="1">
        <v>0.01</v>
      </c>
    </row>
    <row r="680" spans="1:19" x14ac:dyDescent="0.3">
      <c r="A680" s="1" t="s">
        <v>2223</v>
      </c>
      <c r="B680" s="1" t="s">
        <v>1253</v>
      </c>
      <c r="C680" s="1" t="s">
        <v>2224</v>
      </c>
      <c r="D680" s="1" t="s">
        <v>2225</v>
      </c>
      <c r="E680" s="1" t="s">
        <v>114</v>
      </c>
      <c r="F680" s="1">
        <v>45556</v>
      </c>
      <c r="G680" s="1">
        <v>45556</v>
      </c>
      <c r="H680" s="1">
        <v>45561</v>
      </c>
      <c r="I680" s="1" t="s">
        <v>72</v>
      </c>
      <c r="J680" s="1" t="s">
        <v>2</v>
      </c>
      <c r="K680" s="1" t="s">
        <v>21</v>
      </c>
      <c r="L680" s="1" t="s">
        <v>23</v>
      </c>
      <c r="M680" s="1" t="s">
        <v>51</v>
      </c>
      <c r="N680" s="1" t="s">
        <v>33</v>
      </c>
      <c r="O680" s="1" t="s">
        <v>52</v>
      </c>
      <c r="P680" s="1">
        <v>11</v>
      </c>
      <c r="Q680" s="1">
        <v>280</v>
      </c>
      <c r="R680" s="1">
        <v>336</v>
      </c>
      <c r="S680" s="1">
        <v>0.04</v>
      </c>
    </row>
    <row r="681" spans="1:19" x14ac:dyDescent="0.3">
      <c r="A681" s="1" t="s">
        <v>2226</v>
      </c>
      <c r="B681" s="1" t="s">
        <v>1762</v>
      </c>
      <c r="C681" s="1" t="s">
        <v>2227</v>
      </c>
      <c r="D681" s="1" t="s">
        <v>2228</v>
      </c>
      <c r="E681" s="1" t="s">
        <v>173</v>
      </c>
      <c r="F681" s="1">
        <v>45661</v>
      </c>
      <c r="G681" s="1">
        <v>45661</v>
      </c>
      <c r="H681" s="1">
        <v>45663</v>
      </c>
      <c r="I681" s="1" t="s">
        <v>72</v>
      </c>
      <c r="J681" s="1" t="s">
        <v>1</v>
      </c>
      <c r="K681" s="1" t="s">
        <v>19</v>
      </c>
      <c r="L681" s="1" t="s">
        <v>24</v>
      </c>
      <c r="M681" s="1" t="s">
        <v>48</v>
      </c>
      <c r="N681" s="1" t="s">
        <v>38</v>
      </c>
      <c r="O681" s="1" t="s">
        <v>41</v>
      </c>
      <c r="P681" s="1">
        <v>5</v>
      </c>
      <c r="Q681" s="1">
        <v>580</v>
      </c>
      <c r="R681" s="1">
        <v>667</v>
      </c>
      <c r="S681" s="1">
        <v>0.1</v>
      </c>
    </row>
    <row r="682" spans="1:19" x14ac:dyDescent="0.3">
      <c r="A682" s="1" t="s">
        <v>2229</v>
      </c>
      <c r="B682" s="1" t="s">
        <v>844</v>
      </c>
      <c r="C682" s="1" t="s">
        <v>2230</v>
      </c>
      <c r="D682" s="1" t="s">
        <v>875</v>
      </c>
      <c r="E682" s="1" t="s">
        <v>178</v>
      </c>
      <c r="F682" s="1">
        <v>45852</v>
      </c>
      <c r="G682" s="1">
        <v>45853</v>
      </c>
      <c r="H682" s="1">
        <v>45857</v>
      </c>
      <c r="I682" s="1" t="s">
        <v>82</v>
      </c>
      <c r="J682" s="1" t="s">
        <v>16</v>
      </c>
      <c r="K682" s="1" t="s">
        <v>20</v>
      </c>
      <c r="L682" s="1" t="s">
        <v>23</v>
      </c>
      <c r="M682" s="1" t="s">
        <v>47</v>
      </c>
      <c r="N682" s="1" t="s">
        <v>38</v>
      </c>
      <c r="O682" s="1" t="s">
        <v>39</v>
      </c>
      <c r="P682" s="1">
        <v>2</v>
      </c>
      <c r="Q682" s="1">
        <v>390</v>
      </c>
      <c r="R682" s="1">
        <v>468</v>
      </c>
      <c r="S682" s="1">
        <v>0</v>
      </c>
    </row>
    <row r="683" spans="1:19" x14ac:dyDescent="0.3">
      <c r="A683" s="1" t="s">
        <v>2231</v>
      </c>
      <c r="B683" s="1" t="s">
        <v>311</v>
      </c>
      <c r="C683" s="1" t="s">
        <v>2232</v>
      </c>
      <c r="D683" s="1" t="s">
        <v>224</v>
      </c>
      <c r="E683" s="1" t="s">
        <v>71</v>
      </c>
      <c r="F683" s="1">
        <v>45641</v>
      </c>
      <c r="G683" s="1">
        <v>45642</v>
      </c>
      <c r="H683" s="1">
        <v>45644</v>
      </c>
      <c r="I683" s="1" t="s">
        <v>72</v>
      </c>
      <c r="J683" s="1" t="s">
        <v>17</v>
      </c>
      <c r="K683" s="1" t="s">
        <v>21</v>
      </c>
      <c r="L683" s="1" t="s">
        <v>25</v>
      </c>
      <c r="M683" s="1" t="s">
        <v>32</v>
      </c>
      <c r="N683" s="1" t="s">
        <v>33</v>
      </c>
      <c r="O683" s="1" t="s">
        <v>34</v>
      </c>
      <c r="P683" s="1">
        <v>15</v>
      </c>
      <c r="Q683" s="1">
        <v>730</v>
      </c>
      <c r="R683" s="1">
        <v>824.9</v>
      </c>
      <c r="S683" s="1">
        <v>0.04</v>
      </c>
    </row>
    <row r="684" spans="1:19" x14ac:dyDescent="0.3">
      <c r="A684" s="1" t="s">
        <v>2233</v>
      </c>
      <c r="B684" s="1" t="s">
        <v>929</v>
      </c>
      <c r="C684" s="1" t="s">
        <v>2234</v>
      </c>
      <c r="D684" s="1" t="s">
        <v>2235</v>
      </c>
      <c r="E684" s="1" t="s">
        <v>164</v>
      </c>
      <c r="F684" s="1">
        <v>45810</v>
      </c>
      <c r="G684" s="1">
        <v>45810</v>
      </c>
      <c r="H684" s="1">
        <v>45813</v>
      </c>
      <c r="I684" s="1" t="s">
        <v>72</v>
      </c>
      <c r="J684" s="1" t="s">
        <v>16</v>
      </c>
      <c r="K684" s="1" t="s">
        <v>21</v>
      </c>
      <c r="L684" s="1" t="s">
        <v>23</v>
      </c>
      <c r="M684" s="1" t="s">
        <v>43</v>
      </c>
      <c r="N684" s="1" t="s">
        <v>27</v>
      </c>
      <c r="O684" s="1" t="s">
        <v>31</v>
      </c>
      <c r="P684" s="1">
        <v>9</v>
      </c>
      <c r="Q684" s="1">
        <v>1630</v>
      </c>
      <c r="R684" s="1">
        <v>1744.1000000000001</v>
      </c>
      <c r="S684" s="1">
        <v>0.06</v>
      </c>
    </row>
    <row r="685" spans="1:19" x14ac:dyDescent="0.3">
      <c r="A685" s="1" t="s">
        <v>2236</v>
      </c>
      <c r="B685" s="1" t="s">
        <v>97</v>
      </c>
      <c r="C685" s="1" t="s">
        <v>2237</v>
      </c>
      <c r="D685" s="1" t="s">
        <v>2238</v>
      </c>
      <c r="E685" s="1" t="s">
        <v>187</v>
      </c>
      <c r="F685" s="1">
        <v>46028</v>
      </c>
      <c r="G685" s="1">
        <v>46029</v>
      </c>
      <c r="H685" s="1">
        <v>46031</v>
      </c>
      <c r="I685" s="1" t="s">
        <v>72</v>
      </c>
      <c r="J685" s="1" t="s">
        <v>1</v>
      </c>
      <c r="K685" s="1" t="s">
        <v>21</v>
      </c>
      <c r="L685" s="1" t="s">
        <v>22</v>
      </c>
      <c r="M685" s="1" t="s">
        <v>40</v>
      </c>
      <c r="N685" s="1" t="s">
        <v>38</v>
      </c>
      <c r="O685" s="1" t="s">
        <v>41</v>
      </c>
      <c r="P685" s="1">
        <v>5</v>
      </c>
      <c r="Q685" s="1">
        <v>170</v>
      </c>
      <c r="R685" s="1">
        <v>188.70000000000002</v>
      </c>
      <c r="S685" s="1">
        <v>0.04</v>
      </c>
    </row>
    <row r="686" spans="1:19" x14ac:dyDescent="0.3">
      <c r="A686" s="1" t="s">
        <v>2239</v>
      </c>
      <c r="B686" s="1" t="s">
        <v>1131</v>
      </c>
      <c r="C686" s="1" t="s">
        <v>2240</v>
      </c>
      <c r="D686" s="1" t="s">
        <v>2241</v>
      </c>
      <c r="E686" s="1" t="s">
        <v>109</v>
      </c>
      <c r="F686" s="1">
        <v>45874</v>
      </c>
      <c r="G686" s="1">
        <v>45875</v>
      </c>
      <c r="H686" s="1">
        <v>45877</v>
      </c>
      <c r="I686" s="1" t="s">
        <v>72</v>
      </c>
      <c r="J686" s="1" t="s">
        <v>16</v>
      </c>
      <c r="K686" s="1" t="s">
        <v>21</v>
      </c>
      <c r="L686" s="1" t="s">
        <v>23</v>
      </c>
      <c r="M686" s="1" t="s">
        <v>55</v>
      </c>
      <c r="N686" s="1" t="s">
        <v>27</v>
      </c>
      <c r="O686" s="1" t="s">
        <v>56</v>
      </c>
      <c r="P686" s="1">
        <v>11</v>
      </c>
      <c r="Q686" s="1">
        <v>650</v>
      </c>
      <c r="R686" s="1">
        <v>663</v>
      </c>
      <c r="S686" s="1">
        <v>0.02</v>
      </c>
    </row>
    <row r="687" spans="1:19" x14ac:dyDescent="0.3">
      <c r="A687" s="1" t="s">
        <v>2242</v>
      </c>
      <c r="B687" s="1" t="s">
        <v>971</v>
      </c>
      <c r="C687" s="1" t="s">
        <v>2243</v>
      </c>
      <c r="D687" s="1" t="s">
        <v>1401</v>
      </c>
      <c r="E687" s="1" t="s">
        <v>77</v>
      </c>
      <c r="F687" s="1">
        <v>45683</v>
      </c>
      <c r="G687" s="1">
        <v>45683</v>
      </c>
      <c r="H687" s="1">
        <v>45686</v>
      </c>
      <c r="I687" s="1" t="s">
        <v>72</v>
      </c>
      <c r="J687" s="1" t="s">
        <v>2</v>
      </c>
      <c r="K687" s="1" t="s">
        <v>21</v>
      </c>
      <c r="L687" s="1" t="s">
        <v>25</v>
      </c>
      <c r="M687" s="1" t="s">
        <v>44</v>
      </c>
      <c r="N687" s="1" t="s">
        <v>38</v>
      </c>
      <c r="O687" s="1" t="s">
        <v>45</v>
      </c>
      <c r="P687" s="1">
        <v>13</v>
      </c>
      <c r="Q687" s="1">
        <v>210</v>
      </c>
      <c r="R687" s="1">
        <v>222.60000000000002</v>
      </c>
      <c r="S687" s="1">
        <v>0.01</v>
      </c>
    </row>
    <row r="688" spans="1:19" x14ac:dyDescent="0.3">
      <c r="A688" s="1" t="s">
        <v>2244</v>
      </c>
      <c r="B688" s="1" t="s">
        <v>428</v>
      </c>
      <c r="C688" s="1" t="s">
        <v>2245</v>
      </c>
      <c r="D688" s="1" t="s">
        <v>2246</v>
      </c>
      <c r="E688" s="1" t="s">
        <v>164</v>
      </c>
      <c r="F688" s="1">
        <v>45437</v>
      </c>
      <c r="G688" s="1">
        <v>45437</v>
      </c>
      <c r="H688" s="1">
        <v>45442</v>
      </c>
      <c r="I688" s="1" t="s">
        <v>72</v>
      </c>
      <c r="J688" s="1" t="s">
        <v>18</v>
      </c>
      <c r="K688" s="1" t="s">
        <v>21</v>
      </c>
      <c r="L688" s="1" t="s">
        <v>24</v>
      </c>
      <c r="M688" s="1" t="s">
        <v>43</v>
      </c>
      <c r="N688" s="1" t="s">
        <v>27</v>
      </c>
      <c r="O688" s="1" t="s">
        <v>31</v>
      </c>
      <c r="P688" s="1">
        <v>8</v>
      </c>
      <c r="Q688" s="1">
        <v>1630</v>
      </c>
      <c r="R688" s="1">
        <v>1744.1000000000001</v>
      </c>
      <c r="S688" s="1">
        <v>0.04</v>
      </c>
    </row>
    <row r="689" spans="1:19" x14ac:dyDescent="0.3">
      <c r="A689" s="1" t="s">
        <v>2247</v>
      </c>
      <c r="B689" s="1" t="s">
        <v>1959</v>
      </c>
      <c r="C689" s="1" t="s">
        <v>2248</v>
      </c>
      <c r="D689" s="1" t="s">
        <v>2249</v>
      </c>
      <c r="E689" s="1" t="s">
        <v>95</v>
      </c>
      <c r="F689" s="1">
        <v>45480</v>
      </c>
      <c r="G689" s="1">
        <v>45481</v>
      </c>
      <c r="H689" s="1">
        <v>45484</v>
      </c>
      <c r="I689" s="1" t="s">
        <v>72</v>
      </c>
      <c r="J689" s="1" t="s">
        <v>17</v>
      </c>
      <c r="K689" s="1" t="s">
        <v>20</v>
      </c>
      <c r="L689" s="1" t="s">
        <v>24</v>
      </c>
      <c r="M689" s="1" t="s">
        <v>49</v>
      </c>
      <c r="N689" s="1" t="s">
        <v>33</v>
      </c>
      <c r="O689" s="1" t="s">
        <v>34</v>
      </c>
      <c r="P689" s="1">
        <v>6</v>
      </c>
      <c r="Q689" s="1">
        <v>1080</v>
      </c>
      <c r="R689" s="1">
        <v>1112.4000000000001</v>
      </c>
      <c r="S689" s="1">
        <v>0</v>
      </c>
    </row>
    <row r="690" spans="1:19" x14ac:dyDescent="0.3">
      <c r="A690" s="1" t="s">
        <v>2250</v>
      </c>
      <c r="B690" s="1" t="s">
        <v>1226</v>
      </c>
      <c r="C690" s="1" t="s">
        <v>2251</v>
      </c>
      <c r="D690" s="1" t="s">
        <v>2252</v>
      </c>
      <c r="E690" s="1" t="s">
        <v>71</v>
      </c>
      <c r="F690" s="1">
        <v>45341</v>
      </c>
      <c r="G690" s="1">
        <v>45342</v>
      </c>
      <c r="H690" s="1">
        <v>45344</v>
      </c>
      <c r="I690" s="1" t="s">
        <v>72</v>
      </c>
      <c r="J690" s="1" t="s">
        <v>2</v>
      </c>
      <c r="K690" s="1" t="s">
        <v>20</v>
      </c>
      <c r="L690" s="1" t="s">
        <v>61</v>
      </c>
      <c r="M690" s="1" t="s">
        <v>32</v>
      </c>
      <c r="N690" s="1" t="s">
        <v>33</v>
      </c>
      <c r="O690" s="1" t="s">
        <v>34</v>
      </c>
      <c r="P690" s="1">
        <v>10</v>
      </c>
      <c r="Q690" s="1">
        <v>730</v>
      </c>
      <c r="R690" s="1">
        <v>824.9</v>
      </c>
      <c r="S690" s="1">
        <v>0.06</v>
      </c>
    </row>
    <row r="691" spans="1:19" x14ac:dyDescent="0.3">
      <c r="A691" s="1" t="s">
        <v>2253</v>
      </c>
      <c r="B691" s="1" t="s">
        <v>1108</v>
      </c>
      <c r="C691" s="1" t="s">
        <v>2254</v>
      </c>
      <c r="D691" s="1" t="s">
        <v>2255</v>
      </c>
      <c r="E691" s="1" t="s">
        <v>71</v>
      </c>
      <c r="F691" s="1">
        <v>45941</v>
      </c>
      <c r="G691" s="1">
        <v>45941</v>
      </c>
      <c r="H691" s="1">
        <v>45944</v>
      </c>
      <c r="I691" s="1" t="s">
        <v>72</v>
      </c>
      <c r="J691" s="1" t="s">
        <v>18</v>
      </c>
      <c r="K691" s="1" t="s">
        <v>21</v>
      </c>
      <c r="L691" s="1" t="s">
        <v>61</v>
      </c>
      <c r="M691" s="1" t="s">
        <v>32</v>
      </c>
      <c r="N691" s="1" t="s">
        <v>33</v>
      </c>
      <c r="O691" s="1" t="s">
        <v>34</v>
      </c>
      <c r="P691" s="1">
        <v>13</v>
      </c>
      <c r="Q691" s="1">
        <v>730</v>
      </c>
      <c r="R691" s="1">
        <v>824.9</v>
      </c>
      <c r="S691" s="1">
        <v>0.1</v>
      </c>
    </row>
    <row r="692" spans="1:19" x14ac:dyDescent="0.3">
      <c r="A692" s="1" t="s">
        <v>2256</v>
      </c>
      <c r="B692" s="1" t="s">
        <v>442</v>
      </c>
      <c r="C692" s="1" t="s">
        <v>2257</v>
      </c>
      <c r="D692" s="1" t="s">
        <v>1567</v>
      </c>
      <c r="E692" s="1" t="s">
        <v>132</v>
      </c>
      <c r="F692" s="1">
        <v>45617</v>
      </c>
      <c r="G692" s="1">
        <v>45617</v>
      </c>
      <c r="H692" s="1">
        <v>45620</v>
      </c>
      <c r="I692" s="1" t="s">
        <v>82</v>
      </c>
      <c r="J692" s="1" t="s">
        <v>16</v>
      </c>
      <c r="K692" s="1" t="s">
        <v>19</v>
      </c>
      <c r="L692" s="1" t="s">
        <v>24</v>
      </c>
      <c r="M692" s="1" t="s">
        <v>53</v>
      </c>
      <c r="N692" s="1" t="s">
        <v>27</v>
      </c>
      <c r="O692" s="1" t="s">
        <v>54</v>
      </c>
      <c r="P692" s="1">
        <v>4</v>
      </c>
      <c r="Q692" s="1">
        <v>430</v>
      </c>
      <c r="R692" s="1">
        <v>455.8</v>
      </c>
      <c r="S692" s="1">
        <v>0.09</v>
      </c>
    </row>
    <row r="693" spans="1:19" x14ac:dyDescent="0.3">
      <c r="A693" s="1" t="s">
        <v>2258</v>
      </c>
      <c r="B693" s="1" t="s">
        <v>828</v>
      </c>
      <c r="C693" s="1" t="s">
        <v>2259</v>
      </c>
      <c r="D693" s="1" t="s">
        <v>2260</v>
      </c>
      <c r="E693" s="1" t="s">
        <v>114</v>
      </c>
      <c r="F693" s="1">
        <v>45865</v>
      </c>
      <c r="G693" s="1">
        <v>45865</v>
      </c>
      <c r="H693" s="1">
        <v>45870</v>
      </c>
      <c r="I693" s="1" t="s">
        <v>82</v>
      </c>
      <c r="J693" s="1" t="s">
        <v>2</v>
      </c>
      <c r="K693" s="1" t="s">
        <v>20</v>
      </c>
      <c r="L693" s="1" t="s">
        <v>24</v>
      </c>
      <c r="M693" s="1" t="s">
        <v>51</v>
      </c>
      <c r="N693" s="1" t="s">
        <v>33</v>
      </c>
      <c r="O693" s="1" t="s">
        <v>52</v>
      </c>
      <c r="P693" s="1">
        <v>4</v>
      </c>
      <c r="Q693" s="1">
        <v>280</v>
      </c>
      <c r="R693" s="1">
        <v>336</v>
      </c>
      <c r="S693" s="1">
        <v>7.0000000000000007E-2</v>
      </c>
    </row>
    <row r="694" spans="1:19" x14ac:dyDescent="0.3">
      <c r="A694" s="1" t="s">
        <v>2261</v>
      </c>
      <c r="B694" s="1" t="s">
        <v>1002</v>
      </c>
      <c r="C694" s="1" t="s">
        <v>2262</v>
      </c>
      <c r="D694" s="1" t="s">
        <v>2263</v>
      </c>
      <c r="E694" s="1" t="s">
        <v>164</v>
      </c>
      <c r="F694" s="1">
        <v>45406</v>
      </c>
      <c r="G694" s="1">
        <v>45406</v>
      </c>
      <c r="H694" s="1">
        <v>45410</v>
      </c>
      <c r="I694" s="1" t="s">
        <v>72</v>
      </c>
      <c r="J694" s="1" t="s">
        <v>17</v>
      </c>
      <c r="K694" s="1" t="s">
        <v>20</v>
      </c>
      <c r="L694" s="1" t="s">
        <v>24</v>
      </c>
      <c r="M694" s="1" t="s">
        <v>43</v>
      </c>
      <c r="N694" s="1" t="s">
        <v>27</v>
      </c>
      <c r="O694" s="1" t="s">
        <v>31</v>
      </c>
      <c r="P694" s="1">
        <v>5</v>
      </c>
      <c r="Q694" s="1">
        <v>1630</v>
      </c>
      <c r="R694" s="1">
        <v>1744.1000000000001</v>
      </c>
      <c r="S694" s="1">
        <v>0.05</v>
      </c>
    </row>
    <row r="695" spans="1:19" x14ac:dyDescent="0.3">
      <c r="A695" s="1" t="s">
        <v>2264</v>
      </c>
      <c r="B695" s="1" t="s">
        <v>482</v>
      </c>
      <c r="C695" s="1" t="s">
        <v>2265</v>
      </c>
      <c r="D695" s="1" t="s">
        <v>1333</v>
      </c>
      <c r="E695" s="1" t="s">
        <v>114</v>
      </c>
      <c r="F695" s="1">
        <v>45689</v>
      </c>
      <c r="G695" s="1">
        <v>45689</v>
      </c>
      <c r="H695" s="1">
        <v>45694</v>
      </c>
      <c r="I695" s="1" t="s">
        <v>72</v>
      </c>
      <c r="J695" s="1" t="s">
        <v>16</v>
      </c>
      <c r="K695" s="1" t="s">
        <v>20</v>
      </c>
      <c r="L695" s="1" t="s">
        <v>24</v>
      </c>
      <c r="M695" s="1" t="s">
        <v>51</v>
      </c>
      <c r="N695" s="1" t="s">
        <v>33</v>
      </c>
      <c r="O695" s="1" t="s">
        <v>52</v>
      </c>
      <c r="P695" s="1">
        <v>7</v>
      </c>
      <c r="Q695" s="1">
        <v>280</v>
      </c>
      <c r="R695" s="1">
        <v>336</v>
      </c>
      <c r="S695" s="1">
        <v>0.04</v>
      </c>
    </row>
    <row r="696" spans="1:19" x14ac:dyDescent="0.3">
      <c r="A696" s="1" t="s">
        <v>2266</v>
      </c>
      <c r="B696" s="1" t="s">
        <v>1053</v>
      </c>
      <c r="C696" s="1" t="s">
        <v>2267</v>
      </c>
      <c r="D696" s="1" t="s">
        <v>941</v>
      </c>
      <c r="E696" s="1" t="s">
        <v>95</v>
      </c>
      <c r="F696" s="1">
        <v>45742</v>
      </c>
      <c r="G696" s="1">
        <v>45743</v>
      </c>
      <c r="H696" s="1">
        <v>45745</v>
      </c>
      <c r="I696" s="1" t="s">
        <v>72</v>
      </c>
      <c r="J696" s="1" t="s">
        <v>2</v>
      </c>
      <c r="K696" s="1" t="s">
        <v>19</v>
      </c>
      <c r="L696" s="1" t="s">
        <v>23</v>
      </c>
      <c r="M696" s="1" t="s">
        <v>49</v>
      </c>
      <c r="N696" s="1" t="s">
        <v>33</v>
      </c>
      <c r="O696" s="1" t="s">
        <v>34</v>
      </c>
      <c r="P696" s="1">
        <v>9</v>
      </c>
      <c r="Q696" s="1">
        <v>1080</v>
      </c>
      <c r="R696" s="1">
        <v>1112.4000000000001</v>
      </c>
      <c r="S696" s="1">
        <v>0.05</v>
      </c>
    </row>
    <row r="697" spans="1:19" x14ac:dyDescent="0.3">
      <c r="A697" s="1" t="s">
        <v>2268</v>
      </c>
      <c r="B697" s="1" t="s">
        <v>877</v>
      </c>
      <c r="C697" s="1" t="s">
        <v>2269</v>
      </c>
      <c r="D697" s="1" t="s">
        <v>464</v>
      </c>
      <c r="E697" s="1" t="s">
        <v>141</v>
      </c>
      <c r="F697" s="1">
        <v>46157</v>
      </c>
      <c r="G697" s="1">
        <v>46158</v>
      </c>
      <c r="H697" s="1">
        <v>46159</v>
      </c>
      <c r="I697" s="1" t="s">
        <v>72</v>
      </c>
      <c r="J697" s="1" t="s">
        <v>17</v>
      </c>
      <c r="K697" s="1" t="s">
        <v>19</v>
      </c>
      <c r="L697" s="1" t="s">
        <v>25</v>
      </c>
      <c r="M697" s="1" t="s">
        <v>35</v>
      </c>
      <c r="N697" s="1" t="s">
        <v>33</v>
      </c>
      <c r="O697" s="1" t="s">
        <v>36</v>
      </c>
      <c r="P697" s="1">
        <v>9</v>
      </c>
      <c r="Q697" s="1">
        <v>1530</v>
      </c>
      <c r="R697" s="1">
        <v>1790.1</v>
      </c>
      <c r="S697" s="1">
        <v>0</v>
      </c>
    </row>
    <row r="698" spans="1:19" x14ac:dyDescent="0.3">
      <c r="A698" s="1" t="s">
        <v>2270</v>
      </c>
      <c r="B698" s="1" t="s">
        <v>400</v>
      </c>
      <c r="C698" s="1" t="s">
        <v>2271</v>
      </c>
      <c r="D698" s="1" t="s">
        <v>707</v>
      </c>
      <c r="E698" s="1" t="s">
        <v>217</v>
      </c>
      <c r="F698" s="1">
        <v>45614</v>
      </c>
      <c r="G698" s="1">
        <v>45614</v>
      </c>
      <c r="H698" s="1">
        <v>45617</v>
      </c>
      <c r="I698" s="1" t="s">
        <v>82</v>
      </c>
      <c r="J698" s="1" t="s">
        <v>17</v>
      </c>
      <c r="K698" s="1" t="s">
        <v>20</v>
      </c>
      <c r="L698" s="1" t="s">
        <v>22</v>
      </c>
      <c r="M698" s="1" t="s">
        <v>29</v>
      </c>
      <c r="N698" s="1" t="s">
        <v>27</v>
      </c>
      <c r="O698" s="1" t="s">
        <v>28</v>
      </c>
      <c r="P698" s="1">
        <v>4</v>
      </c>
      <c r="Q698" s="1">
        <v>3930</v>
      </c>
      <c r="R698" s="1">
        <v>4362.3</v>
      </c>
      <c r="S698" s="1">
        <v>0.05</v>
      </c>
    </row>
    <row r="699" spans="1:19" x14ac:dyDescent="0.3">
      <c r="A699" s="1" t="s">
        <v>2272</v>
      </c>
      <c r="B699" s="1" t="s">
        <v>184</v>
      </c>
      <c r="C699" s="1" t="s">
        <v>2273</v>
      </c>
      <c r="D699" s="1" t="s">
        <v>2274</v>
      </c>
      <c r="E699" s="1" t="s">
        <v>114</v>
      </c>
      <c r="F699" s="1">
        <v>45305</v>
      </c>
      <c r="G699" s="1">
        <v>45306</v>
      </c>
      <c r="H699" s="1">
        <v>45308</v>
      </c>
      <c r="I699" s="1" t="s">
        <v>72</v>
      </c>
      <c r="J699" s="1" t="s">
        <v>1</v>
      </c>
      <c r="K699" s="1" t="s">
        <v>21</v>
      </c>
      <c r="L699" s="1" t="s">
        <v>61</v>
      </c>
      <c r="M699" s="1" t="s">
        <v>51</v>
      </c>
      <c r="N699" s="1" t="s">
        <v>33</v>
      </c>
      <c r="O699" s="1" t="s">
        <v>52</v>
      </c>
      <c r="P699" s="1">
        <v>12</v>
      </c>
      <c r="Q699" s="1">
        <v>280</v>
      </c>
      <c r="R699" s="1">
        <v>336</v>
      </c>
      <c r="S699" s="1">
        <v>0.01</v>
      </c>
    </row>
    <row r="700" spans="1:19" x14ac:dyDescent="0.3">
      <c r="A700" s="1" t="s">
        <v>2275</v>
      </c>
      <c r="B700" s="1" t="s">
        <v>79</v>
      </c>
      <c r="C700" s="1" t="s">
        <v>2276</v>
      </c>
      <c r="D700" s="1" t="s">
        <v>2277</v>
      </c>
      <c r="E700" s="1" t="s">
        <v>81</v>
      </c>
      <c r="F700" s="1">
        <v>46024</v>
      </c>
      <c r="G700" s="1">
        <v>46025</v>
      </c>
      <c r="H700" s="1">
        <v>46028</v>
      </c>
      <c r="I700" s="1" t="s">
        <v>72</v>
      </c>
      <c r="J700" s="1" t="s">
        <v>17</v>
      </c>
      <c r="K700" s="1" t="s">
        <v>19</v>
      </c>
      <c r="L700" s="1" t="s">
        <v>22</v>
      </c>
      <c r="M700" s="1" t="s">
        <v>59</v>
      </c>
      <c r="N700" s="1" t="s">
        <v>27</v>
      </c>
      <c r="O700" s="1" t="s">
        <v>60</v>
      </c>
      <c r="P700" s="1">
        <v>10</v>
      </c>
      <c r="Q700" s="1">
        <v>1230</v>
      </c>
      <c r="R700" s="1">
        <v>1328.4</v>
      </c>
      <c r="S700" s="1">
        <v>7.0000000000000007E-2</v>
      </c>
    </row>
    <row r="701" spans="1:19" x14ac:dyDescent="0.3">
      <c r="A701" s="1" t="s">
        <v>2278</v>
      </c>
      <c r="B701" s="1" t="s">
        <v>689</v>
      </c>
      <c r="C701" s="1" t="s">
        <v>2279</v>
      </c>
      <c r="D701" s="1" t="s">
        <v>2280</v>
      </c>
      <c r="E701" s="1" t="s">
        <v>100</v>
      </c>
      <c r="F701" s="1">
        <v>45434</v>
      </c>
      <c r="G701" s="1">
        <v>45434</v>
      </c>
      <c r="H701" s="1">
        <v>45439</v>
      </c>
      <c r="I701" s="1" t="s">
        <v>72</v>
      </c>
      <c r="J701" s="1" t="s">
        <v>1</v>
      </c>
      <c r="K701" s="1" t="s">
        <v>19</v>
      </c>
      <c r="L701" s="1" t="s">
        <v>22</v>
      </c>
      <c r="M701" s="1" t="s">
        <v>42</v>
      </c>
      <c r="N701" s="1" t="s">
        <v>27</v>
      </c>
      <c r="O701" s="1" t="s">
        <v>28</v>
      </c>
      <c r="P701" s="1">
        <v>10</v>
      </c>
      <c r="Q701" s="1">
        <v>3030</v>
      </c>
      <c r="R701" s="1">
        <v>3211.8</v>
      </c>
      <c r="S701" s="1">
        <v>0.08</v>
      </c>
    </row>
    <row r="702" spans="1:19" x14ac:dyDescent="0.3">
      <c r="A702" s="1" t="s">
        <v>2281</v>
      </c>
      <c r="B702" s="1" t="s">
        <v>2282</v>
      </c>
      <c r="C702" s="1" t="s">
        <v>2283</v>
      </c>
      <c r="D702" s="1" t="s">
        <v>2284</v>
      </c>
      <c r="E702" s="1" t="s">
        <v>119</v>
      </c>
      <c r="F702" s="1">
        <v>45306</v>
      </c>
      <c r="G702" s="1">
        <v>45306</v>
      </c>
      <c r="H702" s="1">
        <v>45309</v>
      </c>
      <c r="I702" s="1" t="s">
        <v>82</v>
      </c>
      <c r="J702" s="1" t="s">
        <v>1</v>
      </c>
      <c r="K702" s="1" t="s">
        <v>19</v>
      </c>
      <c r="L702" s="1" t="s">
        <v>22</v>
      </c>
      <c r="M702" s="1" t="s">
        <v>37</v>
      </c>
      <c r="N702" s="1" t="s">
        <v>38</v>
      </c>
      <c r="O702" s="1" t="s">
        <v>39</v>
      </c>
      <c r="P702" s="1">
        <v>3</v>
      </c>
      <c r="Q702" s="1">
        <v>250</v>
      </c>
      <c r="R702" s="1">
        <v>270</v>
      </c>
      <c r="S702" s="1">
        <v>0.05</v>
      </c>
    </row>
    <row r="703" spans="1:19" x14ac:dyDescent="0.3">
      <c r="A703" s="1" t="s">
        <v>2285</v>
      </c>
      <c r="B703" s="1" t="s">
        <v>184</v>
      </c>
      <c r="C703" s="1" t="s">
        <v>2286</v>
      </c>
      <c r="D703" s="1" t="s">
        <v>2287</v>
      </c>
      <c r="E703" s="1" t="s">
        <v>322</v>
      </c>
      <c r="F703" s="1">
        <v>45588</v>
      </c>
      <c r="G703" s="1">
        <v>45588</v>
      </c>
      <c r="H703" s="1">
        <v>45591</v>
      </c>
      <c r="I703" s="1" t="s">
        <v>72</v>
      </c>
      <c r="J703" s="1" t="s">
        <v>17</v>
      </c>
      <c r="K703" s="1" t="s">
        <v>19</v>
      </c>
      <c r="L703" s="1" t="s">
        <v>61</v>
      </c>
      <c r="M703" s="1" t="s">
        <v>26</v>
      </c>
      <c r="N703" s="1" t="s">
        <v>27</v>
      </c>
      <c r="O703" s="1" t="s">
        <v>28</v>
      </c>
      <c r="P703" s="1">
        <v>8</v>
      </c>
      <c r="Q703" s="1">
        <v>3330</v>
      </c>
      <c r="R703" s="1" t="s">
        <v>2329</v>
      </c>
      <c r="S703" s="1">
        <v>0.05</v>
      </c>
    </row>
    <row r="704" spans="1:19" x14ac:dyDescent="0.3">
      <c r="A704" s="1" t="s">
        <v>2288</v>
      </c>
      <c r="B704" s="1" t="s">
        <v>393</v>
      </c>
      <c r="C704" s="1" t="s">
        <v>2289</v>
      </c>
      <c r="D704" s="1" t="s">
        <v>2290</v>
      </c>
      <c r="E704" s="1" t="s">
        <v>217</v>
      </c>
      <c r="F704" s="1">
        <v>45951</v>
      </c>
      <c r="G704" s="1">
        <v>45951</v>
      </c>
      <c r="H704" s="1">
        <v>45955</v>
      </c>
      <c r="I704" s="1" t="s">
        <v>72</v>
      </c>
      <c r="J704" s="1" t="s">
        <v>17</v>
      </c>
      <c r="K704" s="1" t="s">
        <v>21</v>
      </c>
      <c r="L704" s="1" t="s">
        <v>22</v>
      </c>
      <c r="M704" s="1" t="s">
        <v>29</v>
      </c>
      <c r="N704" s="1" t="s">
        <v>27</v>
      </c>
      <c r="O704" s="1" t="s">
        <v>28</v>
      </c>
      <c r="P704" s="1">
        <v>15</v>
      </c>
      <c r="Q704" s="1">
        <v>3930</v>
      </c>
      <c r="R704" s="1">
        <v>4362.3</v>
      </c>
      <c r="S704" s="1">
        <v>0.1</v>
      </c>
    </row>
    <row r="705" spans="1:19" x14ac:dyDescent="0.3">
      <c r="A705" s="1" t="s">
        <v>2291</v>
      </c>
      <c r="B705" s="1" t="s">
        <v>490</v>
      </c>
      <c r="C705" s="1" t="s">
        <v>2292</v>
      </c>
      <c r="D705" s="1" t="s">
        <v>224</v>
      </c>
      <c r="E705" s="1" t="s">
        <v>114</v>
      </c>
      <c r="F705" s="1">
        <v>45786</v>
      </c>
      <c r="G705" s="1">
        <v>45786</v>
      </c>
      <c r="H705" s="1">
        <v>45791</v>
      </c>
      <c r="I705" s="1" t="s">
        <v>72</v>
      </c>
      <c r="J705" s="1" t="s">
        <v>17</v>
      </c>
      <c r="K705" s="1" t="s">
        <v>21</v>
      </c>
      <c r="L705" s="1" t="s">
        <v>22</v>
      </c>
      <c r="M705" s="1" t="s">
        <v>51</v>
      </c>
      <c r="N705" s="1" t="s">
        <v>33</v>
      </c>
      <c r="O705" s="1" t="s">
        <v>52</v>
      </c>
      <c r="P705" s="1">
        <v>9</v>
      </c>
      <c r="Q705" s="1">
        <v>280</v>
      </c>
      <c r="R705" s="1">
        <v>336</v>
      </c>
      <c r="S705" s="1">
        <v>0.08</v>
      </c>
    </row>
    <row r="706" spans="1:19" x14ac:dyDescent="0.3">
      <c r="A706" s="1" t="s">
        <v>2293</v>
      </c>
      <c r="B706" s="1" t="s">
        <v>1009</v>
      </c>
      <c r="C706" s="1" t="s">
        <v>2294</v>
      </c>
      <c r="D706" s="1" t="s">
        <v>379</v>
      </c>
      <c r="E706" s="1" t="s">
        <v>77</v>
      </c>
      <c r="F706" s="1">
        <v>45744</v>
      </c>
      <c r="G706" s="1">
        <v>45744</v>
      </c>
      <c r="H706" s="1">
        <v>45748</v>
      </c>
      <c r="I706" s="1" t="s">
        <v>72</v>
      </c>
      <c r="J706" s="1" t="s">
        <v>2</v>
      </c>
      <c r="K706" s="1" t="s">
        <v>19</v>
      </c>
      <c r="L706" s="1" t="s">
        <v>23</v>
      </c>
      <c r="M706" s="1" t="s">
        <v>44</v>
      </c>
      <c r="N706" s="1" t="s">
        <v>38</v>
      </c>
      <c r="O706" s="1" t="s">
        <v>45</v>
      </c>
      <c r="P706" s="1">
        <v>10</v>
      </c>
      <c r="Q706" s="1">
        <v>210</v>
      </c>
      <c r="R706" s="1">
        <v>222.60000000000002</v>
      </c>
      <c r="S706" s="1">
        <v>0.08</v>
      </c>
    </row>
    <row r="707" spans="1:19" x14ac:dyDescent="0.3">
      <c r="A707" s="1" t="s">
        <v>2295</v>
      </c>
      <c r="B707" s="1" t="s">
        <v>2094</v>
      </c>
      <c r="C707" s="1" t="s">
        <v>2296</v>
      </c>
      <c r="D707" s="1" t="s">
        <v>2297</v>
      </c>
      <c r="E707" s="1" t="s">
        <v>109</v>
      </c>
      <c r="F707" s="1">
        <v>45444</v>
      </c>
      <c r="G707" s="1">
        <v>45445</v>
      </c>
      <c r="H707" s="1">
        <v>45448</v>
      </c>
      <c r="I707" s="1" t="s">
        <v>72</v>
      </c>
      <c r="J707" s="1" t="s">
        <v>1</v>
      </c>
      <c r="K707" s="1" t="s">
        <v>19</v>
      </c>
      <c r="L707" s="1" t="s">
        <v>22</v>
      </c>
      <c r="M707" s="1" t="s">
        <v>55</v>
      </c>
      <c r="N707" s="1" t="s">
        <v>27</v>
      </c>
      <c r="O707" s="1" t="s">
        <v>56</v>
      </c>
      <c r="P707" s="1">
        <v>8</v>
      </c>
      <c r="Q707" s="1">
        <v>650</v>
      </c>
      <c r="R707" s="1">
        <v>663</v>
      </c>
      <c r="S707" s="1">
        <v>7.0000000000000007E-2</v>
      </c>
    </row>
    <row r="708" spans="1:19" x14ac:dyDescent="0.3">
      <c r="A708" s="1" t="s">
        <v>2298</v>
      </c>
      <c r="B708" s="1" t="s">
        <v>2090</v>
      </c>
      <c r="C708" s="1" t="s">
        <v>2299</v>
      </c>
      <c r="D708" s="1" t="s">
        <v>2300</v>
      </c>
      <c r="E708" s="1" t="s">
        <v>173</v>
      </c>
      <c r="F708" s="1">
        <v>45293</v>
      </c>
      <c r="G708" s="1">
        <v>45293</v>
      </c>
      <c r="H708" s="1">
        <v>45295</v>
      </c>
      <c r="I708" s="1" t="s">
        <v>72</v>
      </c>
      <c r="J708" s="1" t="s">
        <v>2</v>
      </c>
      <c r="K708" s="1" t="s">
        <v>20</v>
      </c>
      <c r="L708" s="1" t="s">
        <v>22</v>
      </c>
      <c r="M708" s="1" t="s">
        <v>48</v>
      </c>
      <c r="N708" s="1" t="s">
        <v>38</v>
      </c>
      <c r="O708" s="1" t="s">
        <v>41</v>
      </c>
      <c r="P708" s="1">
        <v>6</v>
      </c>
      <c r="Q708" s="1">
        <v>580</v>
      </c>
      <c r="R708" s="1">
        <v>667</v>
      </c>
      <c r="S708" s="1">
        <v>0.05</v>
      </c>
    </row>
    <row r="709" spans="1:19" x14ac:dyDescent="0.3">
      <c r="A709" s="1" t="s">
        <v>2301</v>
      </c>
      <c r="B709" s="1" t="s">
        <v>600</v>
      </c>
      <c r="C709" s="1" t="s">
        <v>2302</v>
      </c>
      <c r="D709" s="1" t="s">
        <v>547</v>
      </c>
      <c r="E709" s="1" t="s">
        <v>114</v>
      </c>
      <c r="F709" s="1">
        <v>45485</v>
      </c>
      <c r="G709" s="1">
        <v>45485</v>
      </c>
      <c r="H709" s="1">
        <v>45487</v>
      </c>
      <c r="I709" s="1" t="s">
        <v>82</v>
      </c>
      <c r="J709" s="1" t="s">
        <v>16</v>
      </c>
      <c r="K709" s="1" t="s">
        <v>19</v>
      </c>
      <c r="L709" s="1" t="s">
        <v>61</v>
      </c>
      <c r="M709" s="1" t="s">
        <v>51</v>
      </c>
      <c r="N709" s="1" t="s">
        <v>33</v>
      </c>
      <c r="O709" s="1" t="s">
        <v>52</v>
      </c>
      <c r="P709" s="1">
        <v>3</v>
      </c>
      <c r="Q709" s="1">
        <v>280</v>
      </c>
      <c r="R709" s="1">
        <v>336</v>
      </c>
      <c r="S709" s="1">
        <v>0.05</v>
      </c>
    </row>
    <row r="710" spans="1:19" x14ac:dyDescent="0.3">
      <c r="A710" s="1" t="s">
        <v>2303</v>
      </c>
      <c r="B710" s="1" t="s">
        <v>408</v>
      </c>
      <c r="C710" s="1" t="s">
        <v>2304</v>
      </c>
      <c r="D710" s="1" t="s">
        <v>2305</v>
      </c>
      <c r="E710" s="1" t="s">
        <v>71</v>
      </c>
      <c r="F710" s="1">
        <v>45779</v>
      </c>
      <c r="G710" s="1">
        <v>45779</v>
      </c>
      <c r="H710" s="1">
        <v>45782</v>
      </c>
      <c r="I710" s="1" t="s">
        <v>72</v>
      </c>
      <c r="J710" s="1" t="s">
        <v>16</v>
      </c>
      <c r="K710" s="1" t="s">
        <v>21</v>
      </c>
      <c r="L710" s="1" t="s">
        <v>61</v>
      </c>
      <c r="M710" s="1" t="s">
        <v>32</v>
      </c>
      <c r="N710" s="1" t="s">
        <v>33</v>
      </c>
      <c r="O710" s="1" t="s">
        <v>34</v>
      </c>
      <c r="P710" s="1">
        <v>6</v>
      </c>
      <c r="Q710" s="1">
        <v>730</v>
      </c>
      <c r="R710" s="1">
        <v>824.9</v>
      </c>
      <c r="S710" s="1">
        <v>0.03</v>
      </c>
    </row>
    <row r="711" spans="1:19" x14ac:dyDescent="0.3">
      <c r="A711" s="1" t="s">
        <v>2306</v>
      </c>
      <c r="B711" s="1" t="s">
        <v>1167</v>
      </c>
      <c r="C711" s="1" t="s">
        <v>2307</v>
      </c>
      <c r="D711" s="1" t="s">
        <v>2287</v>
      </c>
      <c r="E711" s="1" t="s">
        <v>322</v>
      </c>
      <c r="F711" s="1">
        <v>45470</v>
      </c>
      <c r="G711" s="1">
        <v>45470</v>
      </c>
      <c r="H711" s="1">
        <v>45475</v>
      </c>
      <c r="I711" s="1" t="s">
        <v>72</v>
      </c>
      <c r="J711" s="1" t="s">
        <v>2</v>
      </c>
      <c r="K711" s="1" t="s">
        <v>19</v>
      </c>
      <c r="L711" s="1" t="s">
        <v>23</v>
      </c>
      <c r="M711" s="1" t="s">
        <v>26</v>
      </c>
      <c r="N711" s="1" t="s">
        <v>27</v>
      </c>
      <c r="O711" s="1" t="s">
        <v>28</v>
      </c>
      <c r="P711" s="1">
        <v>5</v>
      </c>
      <c r="Q711" s="1">
        <v>3330</v>
      </c>
      <c r="R711" s="1">
        <v>3629.7000000000003</v>
      </c>
      <c r="S711" s="1">
        <v>0.09</v>
      </c>
    </row>
    <row r="712" spans="1:19" x14ac:dyDescent="0.3">
      <c r="A712" s="1" t="s">
        <v>2308</v>
      </c>
      <c r="B712" s="1" t="s">
        <v>346</v>
      </c>
      <c r="C712" s="1" t="s">
        <v>2309</v>
      </c>
      <c r="D712" s="1" t="s">
        <v>1076</v>
      </c>
      <c r="E712" s="1" t="s">
        <v>77</v>
      </c>
      <c r="F712" s="1">
        <v>45425</v>
      </c>
      <c r="G712" s="1">
        <v>45426</v>
      </c>
      <c r="H712" s="1">
        <v>45428</v>
      </c>
      <c r="I712" s="1" t="s">
        <v>72</v>
      </c>
      <c r="J712" s="1" t="s">
        <v>17</v>
      </c>
      <c r="K712" s="1" t="s">
        <v>20</v>
      </c>
      <c r="L712" s="1" t="s">
        <v>61</v>
      </c>
      <c r="M712" s="1" t="s">
        <v>44</v>
      </c>
      <c r="N712" s="1" t="s">
        <v>38</v>
      </c>
      <c r="O712" s="1" t="s">
        <v>45</v>
      </c>
      <c r="P712" s="1">
        <v>10</v>
      </c>
      <c r="Q712" s="1">
        <v>210</v>
      </c>
      <c r="R712" s="1">
        <v>222.60000000000002</v>
      </c>
      <c r="S712" s="1">
        <v>0.08</v>
      </c>
    </row>
    <row r="713" spans="1:19" x14ac:dyDescent="0.3">
      <c r="A713" s="1" t="s">
        <v>2310</v>
      </c>
      <c r="B713" s="1" t="s">
        <v>702</v>
      </c>
      <c r="C713" s="1" t="s">
        <v>2311</v>
      </c>
      <c r="D713" s="1" t="s">
        <v>86</v>
      </c>
      <c r="E713" s="1" t="s">
        <v>173</v>
      </c>
      <c r="F713" s="1">
        <v>45743</v>
      </c>
      <c r="G713" s="1">
        <v>45744</v>
      </c>
      <c r="H713" s="1">
        <v>45745</v>
      </c>
      <c r="I713" s="1" t="s">
        <v>72</v>
      </c>
      <c r="J713" s="1" t="s">
        <v>17</v>
      </c>
      <c r="K713" s="1" t="s">
        <v>21</v>
      </c>
      <c r="L713" s="1" t="s">
        <v>22</v>
      </c>
      <c r="M713" s="1" t="s">
        <v>48</v>
      </c>
      <c r="N713" s="1" t="s">
        <v>38</v>
      </c>
      <c r="O713" s="1" t="s">
        <v>41</v>
      </c>
      <c r="P713" s="1">
        <v>10</v>
      </c>
      <c r="Q713" s="1">
        <v>580</v>
      </c>
      <c r="R713" s="1">
        <v>667</v>
      </c>
      <c r="S713" s="1">
        <v>0.01</v>
      </c>
    </row>
    <row r="714" spans="1:19" x14ac:dyDescent="0.3">
      <c r="A714" s="1" t="s">
        <v>2310</v>
      </c>
      <c r="B714" s="1" t="s">
        <v>702</v>
      </c>
      <c r="C714" s="1" t="s">
        <v>2311</v>
      </c>
      <c r="D714" s="1" t="s">
        <v>86</v>
      </c>
      <c r="E714" s="1" t="s">
        <v>173</v>
      </c>
      <c r="F714" s="1">
        <v>45743</v>
      </c>
      <c r="G714" s="1">
        <v>45744</v>
      </c>
      <c r="H714" s="1">
        <v>45745</v>
      </c>
      <c r="I714" s="1" t="s">
        <v>72</v>
      </c>
      <c r="J714" s="1" t="s">
        <v>17</v>
      </c>
      <c r="K714" s="1" t="s">
        <v>21</v>
      </c>
      <c r="L714" s="1" t="s">
        <v>22</v>
      </c>
      <c r="M714" s="1" t="s">
        <v>48</v>
      </c>
      <c r="N714" s="1" t="s">
        <v>38</v>
      </c>
      <c r="O714" s="1" t="s">
        <v>41</v>
      </c>
      <c r="P714" s="1">
        <v>10</v>
      </c>
      <c r="Q714" s="1">
        <v>580</v>
      </c>
      <c r="R714" s="1">
        <v>667</v>
      </c>
      <c r="S714" s="1">
        <v>0.01</v>
      </c>
    </row>
    <row r="717" spans="1:19" x14ac:dyDescent="0.3">
      <c r="A717" s="1" t="s">
        <v>2312</v>
      </c>
      <c r="B717" s="1" t="s">
        <v>263</v>
      </c>
      <c r="C717" s="1" t="s">
        <v>2313</v>
      </c>
      <c r="D717" s="1" t="s">
        <v>2314</v>
      </c>
      <c r="E717" s="1" t="s">
        <v>77</v>
      </c>
      <c r="F717" s="1">
        <v>46126</v>
      </c>
      <c r="G717" s="1">
        <v>46126</v>
      </c>
      <c r="H717" s="1">
        <v>46129</v>
      </c>
      <c r="I717" s="1" t="s">
        <v>72</v>
      </c>
      <c r="J717" s="1" t="s">
        <v>16</v>
      </c>
      <c r="K717" s="1" t="s">
        <v>19</v>
      </c>
      <c r="L717" s="1" t="s">
        <v>25</v>
      </c>
      <c r="M717" s="1" t="s">
        <v>44</v>
      </c>
      <c r="N717" s="1" t="s">
        <v>38</v>
      </c>
      <c r="O717" s="1" t="s">
        <v>45</v>
      </c>
      <c r="P717" s="1">
        <v>10</v>
      </c>
      <c r="Q717" s="1">
        <v>210</v>
      </c>
      <c r="R717" s="1">
        <v>222.60000000000002</v>
      </c>
      <c r="S717" s="1">
        <v>0.06</v>
      </c>
    </row>
    <row r="718" spans="1:19" x14ac:dyDescent="0.3">
      <c r="A718" s="1" t="s">
        <v>2315</v>
      </c>
      <c r="B718" s="1" t="s">
        <v>155</v>
      </c>
      <c r="C718" s="1" t="s">
        <v>2316</v>
      </c>
      <c r="D718" s="1" t="s">
        <v>1964</v>
      </c>
      <c r="E718" s="1" t="s">
        <v>178</v>
      </c>
      <c r="F718" s="1">
        <v>45822</v>
      </c>
      <c r="G718" s="1">
        <v>45822</v>
      </c>
      <c r="H718" s="1">
        <v>45826</v>
      </c>
      <c r="I718" s="1" t="s">
        <v>72</v>
      </c>
      <c r="J718" s="1" t="s">
        <v>17</v>
      </c>
      <c r="K718" s="1" t="s">
        <v>19</v>
      </c>
      <c r="L718" s="1" t="s">
        <v>24</v>
      </c>
      <c r="M718" s="1" t="s">
        <v>47</v>
      </c>
      <c r="N718" s="1" t="s">
        <v>38</v>
      </c>
      <c r="O718" s="1" t="s">
        <v>39</v>
      </c>
      <c r="P718" s="1">
        <v>6</v>
      </c>
      <c r="Q718" s="1">
        <v>390</v>
      </c>
      <c r="R718" s="1">
        <v>468</v>
      </c>
      <c r="S718" s="1">
        <v>0.04</v>
      </c>
    </row>
    <row r="719" spans="1:19" x14ac:dyDescent="0.3">
      <c r="A719" s="1" t="s">
        <v>2317</v>
      </c>
      <c r="B719" s="1" t="s">
        <v>596</v>
      </c>
      <c r="C719" s="1" t="s">
        <v>2318</v>
      </c>
      <c r="D719" s="1" t="s">
        <v>2319</v>
      </c>
      <c r="E719" s="1" t="s">
        <v>164</v>
      </c>
      <c r="F719" s="1">
        <v>45488</v>
      </c>
      <c r="G719" s="1">
        <v>45489</v>
      </c>
      <c r="H719" s="1">
        <v>45491</v>
      </c>
      <c r="I719" s="1" t="s">
        <v>82</v>
      </c>
      <c r="J719" s="1" t="s">
        <v>1</v>
      </c>
      <c r="K719" s="1" t="s">
        <v>19</v>
      </c>
      <c r="L719" s="1" t="s">
        <v>23</v>
      </c>
      <c r="M719" s="1" t="s">
        <v>43</v>
      </c>
      <c r="N719" s="1" t="s">
        <v>27</v>
      </c>
      <c r="O719" s="1" t="s">
        <v>31</v>
      </c>
      <c r="P719" s="1">
        <v>3</v>
      </c>
      <c r="Q719" s="1">
        <v>1630</v>
      </c>
      <c r="R719" s="1">
        <v>1744.1000000000001</v>
      </c>
      <c r="S719" s="1">
        <v>0.06</v>
      </c>
    </row>
    <row r="720" spans="1:19" x14ac:dyDescent="0.3">
      <c r="A720" s="1" t="s">
        <v>2320</v>
      </c>
      <c r="B720" s="1" t="s">
        <v>244</v>
      </c>
      <c r="C720" s="1" t="s">
        <v>2321</v>
      </c>
      <c r="D720" s="1" t="s">
        <v>2322</v>
      </c>
      <c r="E720" s="1" t="s">
        <v>109</v>
      </c>
      <c r="F720" s="1">
        <v>45728</v>
      </c>
      <c r="G720" s="1">
        <v>45729</v>
      </c>
      <c r="H720" s="1">
        <v>45732</v>
      </c>
      <c r="I720" s="1" t="s">
        <v>82</v>
      </c>
      <c r="J720" s="1" t="s">
        <v>2</v>
      </c>
      <c r="K720" s="1" t="s">
        <v>20</v>
      </c>
      <c r="L720" s="1" t="s">
        <v>61</v>
      </c>
      <c r="M720" s="1" t="s">
        <v>55</v>
      </c>
      <c r="N720" s="1" t="s">
        <v>27</v>
      </c>
      <c r="O720" s="1" t="s">
        <v>56</v>
      </c>
      <c r="P720" s="1">
        <v>1</v>
      </c>
      <c r="Q720" s="1">
        <v>650</v>
      </c>
      <c r="R720" s="1">
        <v>663</v>
      </c>
      <c r="S720" s="1">
        <v>0.04</v>
      </c>
    </row>
    <row r="721" spans="1:19" x14ac:dyDescent="0.3">
      <c r="A721" s="1" t="s">
        <v>2323</v>
      </c>
      <c r="B721" s="1" t="s">
        <v>275</v>
      </c>
      <c r="C721" s="1" t="s">
        <v>2324</v>
      </c>
      <c r="D721" s="1" t="s">
        <v>2325</v>
      </c>
      <c r="E721" s="1" t="s">
        <v>291</v>
      </c>
      <c r="F721" s="1">
        <v>45582</v>
      </c>
      <c r="G721" s="1">
        <v>45582</v>
      </c>
      <c r="H721" s="1">
        <v>45584</v>
      </c>
      <c r="I721" s="1" t="s">
        <v>72</v>
      </c>
      <c r="J721" s="1" t="s">
        <v>16</v>
      </c>
      <c r="K721" s="1" t="s">
        <v>21</v>
      </c>
      <c r="L721" s="1" t="s">
        <v>61</v>
      </c>
      <c r="M721" s="1" t="s">
        <v>57</v>
      </c>
      <c r="N721" s="1" t="s">
        <v>27</v>
      </c>
      <c r="O721" s="1" t="s">
        <v>58</v>
      </c>
      <c r="P721" s="1">
        <v>15</v>
      </c>
      <c r="Q721" s="1">
        <v>480</v>
      </c>
      <c r="R721" s="1">
        <v>513.6</v>
      </c>
      <c r="S721" s="1">
        <v>0.04</v>
      </c>
    </row>
    <row r="722" spans="1:19" x14ac:dyDescent="0.3">
      <c r="A722" s="1" t="s">
        <v>2326</v>
      </c>
      <c r="B722" s="1" t="s">
        <v>462</v>
      </c>
      <c r="C722" s="1" t="s">
        <v>2327</v>
      </c>
      <c r="D722" s="1" t="s">
        <v>2328</v>
      </c>
      <c r="E722" s="1" t="s">
        <v>322</v>
      </c>
      <c r="F722" s="1">
        <v>46024</v>
      </c>
      <c r="G722" s="1">
        <v>46025</v>
      </c>
      <c r="H722" s="1">
        <v>46028</v>
      </c>
      <c r="I722" s="1" t="s">
        <v>72</v>
      </c>
      <c r="J722" s="1" t="s">
        <v>17</v>
      </c>
      <c r="K722" s="1" t="s">
        <v>20</v>
      </c>
      <c r="L722" s="1" t="s">
        <v>61</v>
      </c>
      <c r="M722" s="1" t="s">
        <v>26</v>
      </c>
      <c r="N722" s="1" t="s">
        <v>27</v>
      </c>
      <c r="O722" s="1" t="s">
        <v>28</v>
      </c>
      <c r="P722" s="1">
        <v>8</v>
      </c>
      <c r="Q722" s="1">
        <v>3330</v>
      </c>
      <c r="R722" s="1">
        <v>3629.7000000000003</v>
      </c>
      <c r="S722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B5CD-8D80-453E-9730-52C539C249C4}">
  <dimension ref="A1:W701"/>
  <sheetViews>
    <sheetView workbookViewId="0">
      <selection activeCell="F44" sqref="F44"/>
    </sheetView>
  </sheetViews>
  <sheetFormatPr defaultRowHeight="14.4" x14ac:dyDescent="0.3"/>
  <cols>
    <col min="1" max="1" width="15.5546875" bestFit="1" customWidth="1"/>
    <col min="2" max="2" width="11.21875" bestFit="1" customWidth="1"/>
    <col min="3" max="3" width="14.88671875" bestFit="1" customWidth="1"/>
    <col min="4" max="4" width="10.77734375" bestFit="1" customWidth="1"/>
    <col min="5" max="5" width="13.5546875" bestFit="1" customWidth="1"/>
    <col min="6" max="6" width="13.77734375" bestFit="1" customWidth="1"/>
    <col min="7" max="7" width="11.6640625" bestFit="1" customWidth="1"/>
    <col min="8" max="8" width="14.88671875" bestFit="1" customWidth="1"/>
    <col min="9" max="9" width="21.44140625" bestFit="1" customWidth="1"/>
    <col min="10" max="10" width="9.77734375" bestFit="1" customWidth="1"/>
    <col min="11" max="11" width="16.5546875" bestFit="1" customWidth="1"/>
    <col min="12" max="12" width="13.21875" bestFit="1" customWidth="1"/>
    <col min="13" max="13" width="18.6640625" bestFit="1" customWidth="1"/>
    <col min="14" max="14" width="12.109375" bestFit="1" customWidth="1"/>
    <col min="15" max="15" width="15.5546875" bestFit="1" customWidth="1"/>
    <col min="16" max="16" width="11.88671875" bestFit="1" customWidth="1"/>
    <col min="17" max="17" width="13.5546875" style="6" bestFit="1" customWidth="1"/>
    <col min="18" max="18" width="14" style="6" bestFit="1" customWidth="1"/>
    <col min="19" max="19" width="13.44140625" style="2" bestFit="1" customWidth="1"/>
    <col min="20" max="20" width="12.44140625" style="6" bestFit="1" customWidth="1"/>
    <col min="21" max="21" width="11.88671875" style="6" bestFit="1" customWidth="1"/>
    <col min="22" max="22" width="10.88671875" style="6" bestFit="1" customWidth="1"/>
    <col min="23" max="23" width="11.6640625" style="2" bestFit="1" customWidth="1"/>
  </cols>
  <sheetData>
    <row r="1" spans="1:23" x14ac:dyDescent="0.3">
      <c r="A1" s="3" t="s">
        <v>63</v>
      </c>
      <c r="B1" s="3" t="s">
        <v>12</v>
      </c>
      <c r="C1" s="3" t="s">
        <v>5</v>
      </c>
      <c r="D1" s="3" t="s">
        <v>6</v>
      </c>
      <c r="E1" s="3" t="s">
        <v>13</v>
      </c>
      <c r="F1" s="3" t="s">
        <v>64</v>
      </c>
      <c r="G1" s="3" t="s">
        <v>65</v>
      </c>
      <c r="H1" s="3" t="s">
        <v>66</v>
      </c>
      <c r="I1" s="3" t="s">
        <v>62</v>
      </c>
      <c r="J1" s="3" t="s">
        <v>0</v>
      </c>
      <c r="K1" s="3" t="s">
        <v>3</v>
      </c>
      <c r="L1" s="3" t="s">
        <v>4</v>
      </c>
      <c r="M1" s="3" t="s">
        <v>7</v>
      </c>
      <c r="N1" s="3" t="s">
        <v>14</v>
      </c>
      <c r="O1" s="3" t="s">
        <v>15</v>
      </c>
      <c r="P1" s="3" t="s">
        <v>9</v>
      </c>
      <c r="Q1" s="5" t="s">
        <v>10</v>
      </c>
      <c r="R1" s="5" t="s">
        <v>11</v>
      </c>
      <c r="S1" s="4" t="s">
        <v>8</v>
      </c>
      <c r="T1" s="5" t="s">
        <v>2355</v>
      </c>
      <c r="U1" s="5" t="s">
        <v>2354</v>
      </c>
      <c r="V1" s="5" t="s">
        <v>2356</v>
      </c>
      <c r="W1" s="4" t="s">
        <v>2357</v>
      </c>
    </row>
    <row r="2" spans="1:23" x14ac:dyDescent="0.3">
      <c r="A2" s="11" t="s">
        <v>67</v>
      </c>
      <c r="B2" s="11" t="s">
        <v>68</v>
      </c>
      <c r="C2" s="11" t="s">
        <v>69</v>
      </c>
      <c r="D2" s="11" t="s">
        <v>70</v>
      </c>
      <c r="E2" s="11" t="s">
        <v>71</v>
      </c>
      <c r="F2" s="13">
        <v>46000</v>
      </c>
      <c r="G2" s="13">
        <v>46000</v>
      </c>
      <c r="H2" s="13">
        <v>46003</v>
      </c>
      <c r="I2" s="11" t="s">
        <v>72</v>
      </c>
      <c r="J2" s="11" t="s">
        <v>1</v>
      </c>
      <c r="K2" s="11" t="s">
        <v>20</v>
      </c>
      <c r="L2" s="11" t="s">
        <v>61</v>
      </c>
      <c r="M2" s="11" t="s">
        <v>32</v>
      </c>
      <c r="N2" s="11" t="s">
        <v>33</v>
      </c>
      <c r="O2" s="11" t="s">
        <v>34</v>
      </c>
      <c r="P2" s="11">
        <v>5</v>
      </c>
      <c r="Q2" s="15">
        <v>730</v>
      </c>
      <c r="R2" s="15">
        <v>824.9</v>
      </c>
      <c r="S2" s="17">
        <v>0.09</v>
      </c>
      <c r="T2" s="15">
        <v>3753.2950000000001</v>
      </c>
      <c r="U2" s="15">
        <v>3650</v>
      </c>
      <c r="V2" s="15">
        <v>103.295</v>
      </c>
      <c r="W2" s="17">
        <v>2.7521151414956702E-2</v>
      </c>
    </row>
    <row r="3" spans="1:23" x14ac:dyDescent="0.3">
      <c r="A3" s="7" t="s">
        <v>73</v>
      </c>
      <c r="B3" s="7" t="s">
        <v>74</v>
      </c>
      <c r="C3" s="7" t="s">
        <v>75</v>
      </c>
      <c r="D3" s="7" t="s">
        <v>76</v>
      </c>
      <c r="E3" s="7" t="s">
        <v>77</v>
      </c>
      <c r="F3" s="8">
        <v>46185</v>
      </c>
      <c r="G3" s="8">
        <v>46185</v>
      </c>
      <c r="H3" s="8">
        <v>46187</v>
      </c>
      <c r="I3" s="7" t="s">
        <v>72</v>
      </c>
      <c r="J3" s="7" t="s">
        <v>2362</v>
      </c>
      <c r="K3" s="7" t="s">
        <v>20</v>
      </c>
      <c r="L3" s="7" t="s">
        <v>24</v>
      </c>
      <c r="M3" s="7" t="s">
        <v>44</v>
      </c>
      <c r="N3" s="7" t="s">
        <v>38</v>
      </c>
      <c r="O3" s="7" t="s">
        <v>45</v>
      </c>
      <c r="P3" s="7">
        <v>9</v>
      </c>
      <c r="Q3" s="9">
        <v>210</v>
      </c>
      <c r="R3" s="9">
        <v>222.6</v>
      </c>
      <c r="S3" s="10">
        <v>0.06</v>
      </c>
      <c r="T3" s="9">
        <v>1883.1959999999999</v>
      </c>
      <c r="U3" s="9">
        <v>1890</v>
      </c>
      <c r="V3" s="9">
        <v>-6.8040000000000003</v>
      </c>
      <c r="W3" s="10">
        <v>-3.6130068245684502E-3</v>
      </c>
    </row>
    <row r="4" spans="1:23" x14ac:dyDescent="0.3">
      <c r="A4" s="7" t="s">
        <v>78</v>
      </c>
      <c r="B4" s="7" t="s">
        <v>79</v>
      </c>
      <c r="C4" s="7" t="s">
        <v>80</v>
      </c>
      <c r="D4" s="7" t="s">
        <v>2358</v>
      </c>
      <c r="E4" s="7" t="s">
        <v>81</v>
      </c>
      <c r="F4" s="8">
        <v>45471</v>
      </c>
      <c r="G4" s="8">
        <v>45471</v>
      </c>
      <c r="H4" s="8">
        <v>45475</v>
      </c>
      <c r="I4" s="7" t="s">
        <v>82</v>
      </c>
      <c r="J4" s="7" t="s">
        <v>2363</v>
      </c>
      <c r="K4" s="7" t="s">
        <v>20</v>
      </c>
      <c r="L4" s="7" t="s">
        <v>23</v>
      </c>
      <c r="M4" s="7" t="s">
        <v>59</v>
      </c>
      <c r="N4" s="7" t="s">
        <v>27</v>
      </c>
      <c r="O4" s="7" t="s">
        <v>60</v>
      </c>
      <c r="P4" s="7">
        <v>2</v>
      </c>
      <c r="Q4" s="9">
        <v>1230</v>
      </c>
      <c r="R4" s="9">
        <v>1328.4</v>
      </c>
      <c r="S4" s="10">
        <v>0</v>
      </c>
      <c r="T4" s="9">
        <v>2656.8</v>
      </c>
      <c r="U4" s="9">
        <v>2460</v>
      </c>
      <c r="V4" s="9">
        <v>196.8</v>
      </c>
      <c r="W4" s="10">
        <v>7.4074074074074098E-2</v>
      </c>
    </row>
    <row r="5" spans="1:23" x14ac:dyDescent="0.3">
      <c r="A5" s="7" t="s">
        <v>83</v>
      </c>
      <c r="B5" s="7" t="s">
        <v>84</v>
      </c>
      <c r="C5" s="7" t="s">
        <v>85</v>
      </c>
      <c r="D5" s="7" t="s">
        <v>86</v>
      </c>
      <c r="E5" s="7" t="s">
        <v>87</v>
      </c>
      <c r="F5" s="8">
        <v>45629</v>
      </c>
      <c r="G5" s="8">
        <v>45630</v>
      </c>
      <c r="H5" s="8">
        <v>45634</v>
      </c>
      <c r="I5" s="7" t="s">
        <v>72</v>
      </c>
      <c r="J5" s="7" t="s">
        <v>2</v>
      </c>
      <c r="K5" s="7" t="s">
        <v>21</v>
      </c>
      <c r="L5" s="7" t="s">
        <v>61</v>
      </c>
      <c r="M5" s="7" t="s">
        <v>30</v>
      </c>
      <c r="N5" s="7" t="s">
        <v>27</v>
      </c>
      <c r="O5" s="7" t="s">
        <v>31</v>
      </c>
      <c r="P5" s="7">
        <v>13</v>
      </c>
      <c r="Q5" s="9">
        <v>1030</v>
      </c>
      <c r="R5" s="9">
        <v>1174.2</v>
      </c>
      <c r="S5" s="10">
        <v>0.02</v>
      </c>
      <c r="T5" s="9">
        <v>14959.308000000001</v>
      </c>
      <c r="U5" s="9">
        <v>13390</v>
      </c>
      <c r="V5" s="9">
        <v>1569.308</v>
      </c>
      <c r="W5" s="10">
        <v>0.104905119942714</v>
      </c>
    </row>
    <row r="6" spans="1:23" x14ac:dyDescent="0.3">
      <c r="A6" s="7" t="s">
        <v>88</v>
      </c>
      <c r="B6" s="7" t="s">
        <v>89</v>
      </c>
      <c r="C6" s="7" t="s">
        <v>90</v>
      </c>
      <c r="D6" s="7" t="s">
        <v>2359</v>
      </c>
      <c r="E6" s="7" t="s">
        <v>77</v>
      </c>
      <c r="F6" s="8">
        <v>45965</v>
      </c>
      <c r="G6" s="8">
        <v>45965</v>
      </c>
      <c r="H6" s="8">
        <v>45970</v>
      </c>
      <c r="I6" s="7" t="s">
        <v>72</v>
      </c>
      <c r="J6" s="7" t="s">
        <v>1</v>
      </c>
      <c r="K6" s="7" t="s">
        <v>21</v>
      </c>
      <c r="L6" s="7" t="s">
        <v>24</v>
      </c>
      <c r="M6" s="7" t="s">
        <v>44</v>
      </c>
      <c r="N6" s="7" t="s">
        <v>38</v>
      </c>
      <c r="O6" s="7" t="s">
        <v>45</v>
      </c>
      <c r="P6" s="7">
        <v>11</v>
      </c>
      <c r="Q6" s="9">
        <v>210</v>
      </c>
      <c r="R6" s="9">
        <v>222.6</v>
      </c>
      <c r="S6" s="10">
        <v>0.06</v>
      </c>
      <c r="T6" s="9">
        <v>2301.6840000000002</v>
      </c>
      <c r="U6" s="9">
        <v>2310</v>
      </c>
      <c r="V6" s="9">
        <v>-8.3160000000000007</v>
      </c>
      <c r="W6" s="10">
        <v>-3.6130068245684502E-3</v>
      </c>
    </row>
    <row r="7" spans="1:23" x14ac:dyDescent="0.3">
      <c r="A7" s="7" t="s">
        <v>91</v>
      </c>
      <c r="B7" s="7" t="s">
        <v>92</v>
      </c>
      <c r="C7" s="7" t="s">
        <v>93</v>
      </c>
      <c r="D7" s="7" t="s">
        <v>94</v>
      </c>
      <c r="E7" s="7" t="s">
        <v>95</v>
      </c>
      <c r="F7" s="8">
        <v>45631</v>
      </c>
      <c r="G7" s="8">
        <v>45632</v>
      </c>
      <c r="H7" s="8">
        <v>45633</v>
      </c>
      <c r="I7" s="7" t="s">
        <v>72</v>
      </c>
      <c r="J7" s="7" t="s">
        <v>2364</v>
      </c>
      <c r="K7" s="7" t="s">
        <v>20</v>
      </c>
      <c r="L7" s="7" t="s">
        <v>61</v>
      </c>
      <c r="M7" s="7" t="s">
        <v>49</v>
      </c>
      <c r="N7" s="7" t="s">
        <v>33</v>
      </c>
      <c r="O7" s="7" t="s">
        <v>34</v>
      </c>
      <c r="P7" s="7">
        <v>5</v>
      </c>
      <c r="Q7" s="9">
        <v>1080</v>
      </c>
      <c r="R7" s="9">
        <v>1112.4000000000001</v>
      </c>
      <c r="S7" s="10">
        <v>0.09</v>
      </c>
      <c r="T7" s="9">
        <v>5061.42</v>
      </c>
      <c r="U7" s="9">
        <v>5400</v>
      </c>
      <c r="V7" s="9">
        <v>-338.58</v>
      </c>
      <c r="W7" s="10">
        <v>-6.6894270777765899E-2</v>
      </c>
    </row>
    <row r="8" spans="1:23" x14ac:dyDescent="0.3">
      <c r="A8" s="7" t="s">
        <v>96</v>
      </c>
      <c r="B8" s="7" t="s">
        <v>97</v>
      </c>
      <c r="C8" s="7" t="s">
        <v>98</v>
      </c>
      <c r="D8" s="7" t="s">
        <v>99</v>
      </c>
      <c r="E8" s="7" t="s">
        <v>100</v>
      </c>
      <c r="F8" s="8">
        <v>46127</v>
      </c>
      <c r="G8" s="8">
        <v>46127</v>
      </c>
      <c r="H8" s="8">
        <v>46132</v>
      </c>
      <c r="I8" s="7" t="s">
        <v>72</v>
      </c>
      <c r="J8" s="7" t="s">
        <v>2</v>
      </c>
      <c r="K8" s="7" t="s">
        <v>21</v>
      </c>
      <c r="L8" s="7" t="s">
        <v>25</v>
      </c>
      <c r="M8" s="7" t="s">
        <v>42</v>
      </c>
      <c r="N8" s="7" t="s">
        <v>27</v>
      </c>
      <c r="O8" s="7" t="s">
        <v>28</v>
      </c>
      <c r="P8" s="7">
        <v>7</v>
      </c>
      <c r="Q8" s="9">
        <v>3030</v>
      </c>
      <c r="R8" s="9">
        <v>3211.8</v>
      </c>
      <c r="S8" s="10">
        <v>7.0000000000000007E-2</v>
      </c>
      <c r="T8" s="9">
        <v>20908.817999999999</v>
      </c>
      <c r="U8" s="9">
        <v>21210</v>
      </c>
      <c r="V8" s="9">
        <v>-301.18200000000002</v>
      </c>
      <c r="W8" s="10">
        <v>-1.44045445323595E-2</v>
      </c>
    </row>
    <row r="9" spans="1:23" x14ac:dyDescent="0.3">
      <c r="A9" s="7" t="s">
        <v>146</v>
      </c>
      <c r="B9" s="7" t="s">
        <v>147</v>
      </c>
      <c r="C9" s="7" t="s">
        <v>148</v>
      </c>
      <c r="D9" s="7" t="s">
        <v>149</v>
      </c>
      <c r="E9" s="7" t="s">
        <v>119</v>
      </c>
      <c r="F9" s="8">
        <v>45673</v>
      </c>
      <c r="G9" s="8">
        <v>45674</v>
      </c>
      <c r="H9" s="8">
        <v>45678</v>
      </c>
      <c r="I9" s="7" t="s">
        <v>72</v>
      </c>
      <c r="J9" s="7" t="s">
        <v>2364</v>
      </c>
      <c r="K9" s="7" t="s">
        <v>20</v>
      </c>
      <c r="L9" s="7" t="s">
        <v>25</v>
      </c>
      <c r="M9" s="7" t="s">
        <v>37</v>
      </c>
      <c r="N9" s="7" t="s">
        <v>38</v>
      </c>
      <c r="O9" s="7" t="s">
        <v>39</v>
      </c>
      <c r="P9" s="7">
        <v>9</v>
      </c>
      <c r="Q9" s="9">
        <v>250</v>
      </c>
      <c r="R9" s="9">
        <v>270</v>
      </c>
      <c r="S9" s="10">
        <v>0.06</v>
      </c>
      <c r="T9" s="9">
        <v>2284.1999999999998</v>
      </c>
      <c r="U9" s="9">
        <v>2250</v>
      </c>
      <c r="V9" s="9">
        <v>34.200000000000003</v>
      </c>
      <c r="W9" s="10">
        <v>1.49724192277384E-2</v>
      </c>
    </row>
    <row r="10" spans="1:23" x14ac:dyDescent="0.3">
      <c r="A10" s="7" t="s">
        <v>101</v>
      </c>
      <c r="B10" s="7" t="s">
        <v>102</v>
      </c>
      <c r="C10" s="7" t="s">
        <v>103</v>
      </c>
      <c r="D10" s="7" t="s">
        <v>104</v>
      </c>
      <c r="E10" s="7" t="s">
        <v>95</v>
      </c>
      <c r="F10" s="8">
        <v>45878</v>
      </c>
      <c r="G10" s="8">
        <v>45879</v>
      </c>
      <c r="H10" s="8">
        <v>45881</v>
      </c>
      <c r="I10" s="7" t="s">
        <v>72</v>
      </c>
      <c r="J10" s="7" t="s">
        <v>1</v>
      </c>
      <c r="K10" s="7" t="s">
        <v>21</v>
      </c>
      <c r="L10" s="7" t="s">
        <v>22</v>
      </c>
      <c r="M10" s="7" t="s">
        <v>49</v>
      </c>
      <c r="N10" s="7" t="s">
        <v>33</v>
      </c>
      <c r="O10" s="7" t="s">
        <v>34</v>
      </c>
      <c r="P10" s="7">
        <v>8</v>
      </c>
      <c r="Q10" s="9">
        <v>1080</v>
      </c>
      <c r="R10" s="9">
        <v>1112.4000000000001</v>
      </c>
      <c r="S10" s="10">
        <v>0.03</v>
      </c>
      <c r="T10" s="9">
        <v>8632.2240000000002</v>
      </c>
      <c r="U10" s="9">
        <v>8640</v>
      </c>
      <c r="V10" s="9">
        <v>-7.7759999999999998</v>
      </c>
      <c r="W10" s="10">
        <v>-9.0081072965669101E-4</v>
      </c>
    </row>
    <row r="11" spans="1:23" x14ac:dyDescent="0.3">
      <c r="A11" s="7" t="s">
        <v>105</v>
      </c>
      <c r="B11" s="7" t="s">
        <v>106</v>
      </c>
      <c r="C11" s="7" t="s">
        <v>107</v>
      </c>
      <c r="D11" s="7" t="s">
        <v>108</v>
      </c>
      <c r="E11" s="7" t="s">
        <v>109</v>
      </c>
      <c r="F11" s="8">
        <v>45612</v>
      </c>
      <c r="G11" s="8">
        <v>45613</v>
      </c>
      <c r="H11" s="8">
        <v>45617</v>
      </c>
      <c r="I11" s="7" t="s">
        <v>82</v>
      </c>
      <c r="J11" s="7" t="s">
        <v>2363</v>
      </c>
      <c r="K11" s="7" t="s">
        <v>20</v>
      </c>
      <c r="L11" s="7" t="s">
        <v>24</v>
      </c>
      <c r="M11" s="7" t="s">
        <v>2365</v>
      </c>
      <c r="N11" s="7" t="s">
        <v>27</v>
      </c>
      <c r="O11" s="7" t="s">
        <v>56</v>
      </c>
      <c r="P11" s="7">
        <v>2</v>
      </c>
      <c r="Q11" s="9">
        <v>650</v>
      </c>
      <c r="R11" s="9">
        <v>663</v>
      </c>
      <c r="S11" s="10">
        <v>0.05</v>
      </c>
      <c r="T11" s="9">
        <v>1259.7</v>
      </c>
      <c r="U11" s="9">
        <v>1300</v>
      </c>
      <c r="V11" s="9">
        <v>-40.299999999999997</v>
      </c>
      <c r="W11" s="10">
        <v>-3.1991744066047503E-2</v>
      </c>
    </row>
    <row r="12" spans="1:23" x14ac:dyDescent="0.3">
      <c r="A12" s="7" t="s">
        <v>110</v>
      </c>
      <c r="B12" s="7" t="s">
        <v>111</v>
      </c>
      <c r="C12" s="7" t="s">
        <v>112</v>
      </c>
      <c r="D12" s="7" t="s">
        <v>113</v>
      </c>
      <c r="E12" s="7" t="s">
        <v>114</v>
      </c>
      <c r="F12" s="8">
        <v>45341</v>
      </c>
      <c r="G12" s="8">
        <v>45342</v>
      </c>
      <c r="H12" s="8">
        <v>45344</v>
      </c>
      <c r="I12" s="7" t="s">
        <v>82</v>
      </c>
      <c r="J12" s="7" t="s">
        <v>2362</v>
      </c>
      <c r="K12" s="7" t="s">
        <v>20</v>
      </c>
      <c r="L12" s="7" t="s">
        <v>25</v>
      </c>
      <c r="M12" s="7" t="s">
        <v>51</v>
      </c>
      <c r="N12" s="7" t="s">
        <v>33</v>
      </c>
      <c r="O12" s="7" t="s">
        <v>52</v>
      </c>
      <c r="P12" s="7">
        <v>4</v>
      </c>
      <c r="Q12" s="9">
        <v>280</v>
      </c>
      <c r="R12" s="9">
        <v>336</v>
      </c>
      <c r="S12" s="10">
        <v>0.09</v>
      </c>
      <c r="T12" s="9">
        <v>1223.04</v>
      </c>
      <c r="U12" s="9">
        <v>1120</v>
      </c>
      <c r="V12" s="9">
        <v>103.04</v>
      </c>
      <c r="W12" s="10">
        <v>8.42490842490842E-2</v>
      </c>
    </row>
    <row r="13" spans="1:23" x14ac:dyDescent="0.3">
      <c r="A13" s="7" t="s">
        <v>115</v>
      </c>
      <c r="B13" s="7" t="s">
        <v>116</v>
      </c>
      <c r="C13" s="7" t="s">
        <v>117</v>
      </c>
      <c r="D13" s="7" t="s">
        <v>118</v>
      </c>
      <c r="E13" s="7" t="s">
        <v>119</v>
      </c>
      <c r="F13" s="8">
        <v>45491</v>
      </c>
      <c r="G13" s="8">
        <v>45492</v>
      </c>
      <c r="H13" s="8">
        <v>45493</v>
      </c>
      <c r="I13" s="7" t="s">
        <v>72</v>
      </c>
      <c r="J13" s="7" t="s">
        <v>2362</v>
      </c>
      <c r="K13" s="7" t="s">
        <v>21</v>
      </c>
      <c r="L13" s="7" t="s">
        <v>24</v>
      </c>
      <c r="M13" s="7" t="s">
        <v>37</v>
      </c>
      <c r="N13" s="7" t="s">
        <v>38</v>
      </c>
      <c r="O13" s="7" t="s">
        <v>39</v>
      </c>
      <c r="P13" s="7">
        <v>5</v>
      </c>
      <c r="Q13" s="9">
        <v>250</v>
      </c>
      <c r="R13" s="9">
        <v>270</v>
      </c>
      <c r="S13" s="10">
        <v>0</v>
      </c>
      <c r="T13" s="9">
        <v>1350</v>
      </c>
      <c r="U13" s="9">
        <v>1250</v>
      </c>
      <c r="V13" s="9">
        <v>100</v>
      </c>
      <c r="W13" s="10">
        <v>7.4074074074074098E-2</v>
      </c>
    </row>
    <row r="14" spans="1:23" x14ac:dyDescent="0.3">
      <c r="A14" s="7" t="s">
        <v>120</v>
      </c>
      <c r="B14" s="7" t="s">
        <v>121</v>
      </c>
      <c r="C14" s="7" t="s">
        <v>122</v>
      </c>
      <c r="D14" s="7" t="s">
        <v>123</v>
      </c>
      <c r="E14" s="7" t="s">
        <v>77</v>
      </c>
      <c r="F14" s="8">
        <v>46002</v>
      </c>
      <c r="G14" s="8">
        <v>46003</v>
      </c>
      <c r="H14" s="8">
        <v>46004</v>
      </c>
      <c r="I14" s="7" t="s">
        <v>72</v>
      </c>
      <c r="J14" s="7" t="s">
        <v>1</v>
      </c>
      <c r="K14" s="7" t="s">
        <v>20</v>
      </c>
      <c r="L14" s="7" t="s">
        <v>61</v>
      </c>
      <c r="M14" s="7" t="s">
        <v>44</v>
      </c>
      <c r="N14" s="7" t="s">
        <v>38</v>
      </c>
      <c r="O14" s="7" t="s">
        <v>45</v>
      </c>
      <c r="P14" s="7">
        <v>7</v>
      </c>
      <c r="Q14" s="9">
        <v>210</v>
      </c>
      <c r="R14" s="9">
        <v>222.6</v>
      </c>
      <c r="S14" s="10">
        <v>0</v>
      </c>
      <c r="T14" s="9">
        <v>1558.2</v>
      </c>
      <c r="U14" s="9">
        <v>1470</v>
      </c>
      <c r="V14" s="9">
        <v>88.2</v>
      </c>
      <c r="W14" s="10">
        <v>5.6603773584905703E-2</v>
      </c>
    </row>
    <row r="15" spans="1:23" x14ac:dyDescent="0.3">
      <c r="A15" s="7" t="s">
        <v>124</v>
      </c>
      <c r="B15" s="7" t="s">
        <v>125</v>
      </c>
      <c r="C15" s="7" t="s">
        <v>126</v>
      </c>
      <c r="D15" s="7" t="s">
        <v>127</v>
      </c>
      <c r="E15" s="7" t="s">
        <v>109</v>
      </c>
      <c r="F15" s="8">
        <v>45895</v>
      </c>
      <c r="G15" s="8">
        <v>45896</v>
      </c>
      <c r="H15" s="8">
        <v>45900</v>
      </c>
      <c r="I15" s="7" t="s">
        <v>72</v>
      </c>
      <c r="J15" s="7" t="s">
        <v>2364</v>
      </c>
      <c r="K15" s="7" t="s">
        <v>19</v>
      </c>
      <c r="L15" s="7" t="s">
        <v>24</v>
      </c>
      <c r="M15" s="7" t="s">
        <v>2365</v>
      </c>
      <c r="N15" s="7" t="s">
        <v>27</v>
      </c>
      <c r="O15" s="7" t="s">
        <v>56</v>
      </c>
      <c r="P15" s="7">
        <v>10</v>
      </c>
      <c r="Q15" s="9">
        <v>650</v>
      </c>
      <c r="R15" s="9">
        <v>663</v>
      </c>
      <c r="S15" s="10">
        <v>0.01</v>
      </c>
      <c r="T15" s="9">
        <v>6563.7</v>
      </c>
      <c r="U15" s="9">
        <v>6500</v>
      </c>
      <c r="V15" s="9">
        <v>63.7</v>
      </c>
      <c r="W15" s="10">
        <v>9.7048920578332396E-3</v>
      </c>
    </row>
    <row r="16" spans="1:23" x14ac:dyDescent="0.3">
      <c r="A16" s="7" t="s">
        <v>128</v>
      </c>
      <c r="B16" s="7" t="s">
        <v>129</v>
      </c>
      <c r="C16" s="7" t="s">
        <v>130</v>
      </c>
      <c r="D16" s="7" t="s">
        <v>131</v>
      </c>
      <c r="E16" s="7" t="s">
        <v>132</v>
      </c>
      <c r="F16" s="8">
        <v>45749</v>
      </c>
      <c r="G16" s="8">
        <v>45750</v>
      </c>
      <c r="H16" s="8">
        <v>45753</v>
      </c>
      <c r="I16" s="7" t="s">
        <v>72</v>
      </c>
      <c r="J16" s="7" t="s">
        <v>2363</v>
      </c>
      <c r="K16" s="7" t="s">
        <v>21</v>
      </c>
      <c r="L16" s="7" t="s">
        <v>25</v>
      </c>
      <c r="M16" s="7" t="s">
        <v>2366</v>
      </c>
      <c r="N16" s="7" t="s">
        <v>27</v>
      </c>
      <c r="O16" s="7" t="s">
        <v>54</v>
      </c>
      <c r="P16" s="7">
        <v>13</v>
      </c>
      <c r="Q16" s="9">
        <v>430</v>
      </c>
      <c r="R16" s="9">
        <v>455.8</v>
      </c>
      <c r="S16" s="10">
        <v>0.01</v>
      </c>
      <c r="T16" s="9">
        <v>5866.1459999999997</v>
      </c>
      <c r="U16" s="9">
        <v>5590</v>
      </c>
      <c r="V16" s="9">
        <v>276.14600000000002</v>
      </c>
      <c r="W16" s="10">
        <v>4.7074518772632003E-2</v>
      </c>
    </row>
    <row r="17" spans="1:23" x14ac:dyDescent="0.3">
      <c r="A17" s="7" t="s">
        <v>133</v>
      </c>
      <c r="B17" s="7" t="s">
        <v>134</v>
      </c>
      <c r="C17" s="7" t="s">
        <v>135</v>
      </c>
      <c r="D17" s="7" t="s">
        <v>136</v>
      </c>
      <c r="E17" s="7" t="s">
        <v>100</v>
      </c>
      <c r="F17" s="8">
        <v>45835</v>
      </c>
      <c r="G17" s="8">
        <v>45835</v>
      </c>
      <c r="H17" s="8">
        <v>45839</v>
      </c>
      <c r="I17" s="7" t="s">
        <v>72</v>
      </c>
      <c r="J17" s="7" t="s">
        <v>2</v>
      </c>
      <c r="K17" s="7" t="s">
        <v>21</v>
      </c>
      <c r="L17" s="7" t="s">
        <v>25</v>
      </c>
      <c r="M17" s="7" t="s">
        <v>42</v>
      </c>
      <c r="N17" s="7" t="s">
        <v>27</v>
      </c>
      <c r="O17" s="7" t="s">
        <v>28</v>
      </c>
      <c r="P17" s="7">
        <v>6</v>
      </c>
      <c r="Q17" s="9">
        <v>3030</v>
      </c>
      <c r="R17" s="9">
        <v>3211.8</v>
      </c>
      <c r="S17" s="10">
        <v>0.04</v>
      </c>
      <c r="T17" s="9">
        <v>18499.968000000001</v>
      </c>
      <c r="U17" s="9">
        <v>18180</v>
      </c>
      <c r="V17" s="9">
        <v>319.96800000000002</v>
      </c>
      <c r="W17" s="10">
        <v>1.7295597484276701E-2</v>
      </c>
    </row>
    <row r="18" spans="1:23" x14ac:dyDescent="0.3">
      <c r="A18" s="7" t="s">
        <v>137</v>
      </c>
      <c r="B18" s="7" t="s">
        <v>138</v>
      </c>
      <c r="C18" s="7" t="s">
        <v>139</v>
      </c>
      <c r="D18" s="7" t="s">
        <v>140</v>
      </c>
      <c r="E18" s="7" t="s">
        <v>141</v>
      </c>
      <c r="F18" s="8">
        <v>46159</v>
      </c>
      <c r="G18" s="8">
        <v>46160</v>
      </c>
      <c r="H18" s="8">
        <v>46163</v>
      </c>
      <c r="I18" s="7" t="s">
        <v>72</v>
      </c>
      <c r="J18" s="7" t="s">
        <v>2363</v>
      </c>
      <c r="K18" s="7" t="s">
        <v>19</v>
      </c>
      <c r="L18" s="7" t="s">
        <v>24</v>
      </c>
      <c r="M18" s="7" t="s">
        <v>35</v>
      </c>
      <c r="N18" s="7" t="s">
        <v>33</v>
      </c>
      <c r="O18" s="7" t="s">
        <v>36</v>
      </c>
      <c r="P18" s="7">
        <v>8</v>
      </c>
      <c r="Q18" s="9">
        <v>1530</v>
      </c>
      <c r="R18" s="9">
        <v>1790.1</v>
      </c>
      <c r="S18" s="10">
        <v>0.05</v>
      </c>
      <c r="T18" s="9">
        <v>13604.76</v>
      </c>
      <c r="U18" s="9">
        <v>12240</v>
      </c>
      <c r="V18" s="9">
        <v>1364.76</v>
      </c>
      <c r="W18" s="10">
        <v>0.100314889788574</v>
      </c>
    </row>
    <row r="19" spans="1:23" x14ac:dyDescent="0.3">
      <c r="A19" s="7" t="s">
        <v>142</v>
      </c>
      <c r="B19" s="7" t="s">
        <v>143</v>
      </c>
      <c r="C19" s="7" t="s">
        <v>144</v>
      </c>
      <c r="D19" s="7" t="s">
        <v>145</v>
      </c>
      <c r="E19" s="7" t="s">
        <v>109</v>
      </c>
      <c r="F19" s="8">
        <v>46049</v>
      </c>
      <c r="G19" s="8">
        <v>46050</v>
      </c>
      <c r="H19" s="8">
        <v>46051</v>
      </c>
      <c r="I19" s="7" t="s">
        <v>72</v>
      </c>
      <c r="J19" s="7" t="s">
        <v>1</v>
      </c>
      <c r="K19" s="7" t="s">
        <v>21</v>
      </c>
      <c r="L19" s="7" t="s">
        <v>23</v>
      </c>
      <c r="M19" s="7" t="s">
        <v>2365</v>
      </c>
      <c r="N19" s="7" t="s">
        <v>27</v>
      </c>
      <c r="O19" s="7" t="s">
        <v>56</v>
      </c>
      <c r="P19" s="7">
        <v>11</v>
      </c>
      <c r="Q19" s="9">
        <v>650</v>
      </c>
      <c r="R19" s="9">
        <v>663</v>
      </c>
      <c r="S19" s="10">
        <v>0.09</v>
      </c>
      <c r="T19" s="9">
        <v>6636.63</v>
      </c>
      <c r="U19" s="9">
        <v>7150</v>
      </c>
      <c r="V19" s="9">
        <v>-513.37</v>
      </c>
      <c r="W19" s="10">
        <v>-7.7354018530489094E-2</v>
      </c>
    </row>
    <row r="20" spans="1:23" x14ac:dyDescent="0.3">
      <c r="A20" s="7" t="s">
        <v>150</v>
      </c>
      <c r="B20" s="7" t="s">
        <v>151</v>
      </c>
      <c r="C20" s="7" t="s">
        <v>152</v>
      </c>
      <c r="D20" s="7" t="s">
        <v>153</v>
      </c>
      <c r="E20" s="7" t="s">
        <v>95</v>
      </c>
      <c r="F20" s="8">
        <v>45626</v>
      </c>
      <c r="G20" s="8">
        <v>45627</v>
      </c>
      <c r="H20" s="8">
        <v>45630</v>
      </c>
      <c r="I20" s="7" t="s">
        <v>82</v>
      </c>
      <c r="J20" s="7" t="s">
        <v>2364</v>
      </c>
      <c r="K20" s="7" t="s">
        <v>19</v>
      </c>
      <c r="L20" s="7" t="s">
        <v>22</v>
      </c>
      <c r="M20" s="7" t="s">
        <v>49</v>
      </c>
      <c r="N20" s="7" t="s">
        <v>33</v>
      </c>
      <c r="O20" s="7" t="s">
        <v>34</v>
      </c>
      <c r="P20" s="7">
        <v>2</v>
      </c>
      <c r="Q20" s="9">
        <v>1080</v>
      </c>
      <c r="R20" s="9">
        <v>1112.4000000000001</v>
      </c>
      <c r="S20" s="10">
        <v>0.02</v>
      </c>
      <c r="T20" s="9">
        <v>2180.3040000000001</v>
      </c>
      <c r="U20" s="9">
        <v>2160</v>
      </c>
      <c r="V20" s="9">
        <v>20.303999999999998</v>
      </c>
      <c r="W20" s="10">
        <v>9.3124628492173601E-3</v>
      </c>
    </row>
    <row r="21" spans="1:23" x14ac:dyDescent="0.3">
      <c r="A21" s="7" t="s">
        <v>154</v>
      </c>
      <c r="B21" s="7" t="s">
        <v>155</v>
      </c>
      <c r="C21" s="7" t="s">
        <v>156</v>
      </c>
      <c r="D21" s="7" t="s">
        <v>2360</v>
      </c>
      <c r="E21" s="7" t="s">
        <v>114</v>
      </c>
      <c r="F21" s="8">
        <v>45981</v>
      </c>
      <c r="G21" s="8">
        <v>45982</v>
      </c>
      <c r="H21" s="8">
        <v>45986</v>
      </c>
      <c r="I21" s="7" t="s">
        <v>82</v>
      </c>
      <c r="J21" s="7" t="s">
        <v>2364</v>
      </c>
      <c r="K21" s="7" t="s">
        <v>20</v>
      </c>
      <c r="L21" s="7" t="s">
        <v>23</v>
      </c>
      <c r="M21" s="7" t="s">
        <v>51</v>
      </c>
      <c r="N21" s="7" t="s">
        <v>33</v>
      </c>
      <c r="O21" s="7" t="s">
        <v>52</v>
      </c>
      <c r="P21" s="7">
        <v>2</v>
      </c>
      <c r="Q21" s="9">
        <v>280</v>
      </c>
      <c r="R21" s="9">
        <v>336</v>
      </c>
      <c r="S21" s="10">
        <v>0.05</v>
      </c>
      <c r="T21" s="9">
        <v>638.4</v>
      </c>
      <c r="U21" s="9">
        <v>560</v>
      </c>
      <c r="V21" s="9">
        <v>78.400000000000006</v>
      </c>
      <c r="W21" s="10">
        <v>0.12280701754386</v>
      </c>
    </row>
    <row r="22" spans="1:23" x14ac:dyDescent="0.3">
      <c r="A22" s="7" t="s">
        <v>157</v>
      </c>
      <c r="B22" s="7" t="s">
        <v>158</v>
      </c>
      <c r="C22" s="7" t="s">
        <v>159</v>
      </c>
      <c r="D22" s="7" t="s">
        <v>2361</v>
      </c>
      <c r="E22" s="7" t="s">
        <v>87</v>
      </c>
      <c r="F22" s="8">
        <v>46033</v>
      </c>
      <c r="G22" s="8">
        <v>46033</v>
      </c>
      <c r="H22" s="8">
        <v>46035</v>
      </c>
      <c r="I22" s="7" t="s">
        <v>72</v>
      </c>
      <c r="J22" s="7" t="s">
        <v>1</v>
      </c>
      <c r="K22" s="7" t="s">
        <v>21</v>
      </c>
      <c r="L22" s="7" t="s">
        <v>61</v>
      </c>
      <c r="M22" s="7" t="s">
        <v>30</v>
      </c>
      <c r="N22" s="7" t="s">
        <v>27</v>
      </c>
      <c r="O22" s="7" t="s">
        <v>31</v>
      </c>
      <c r="P22" s="7">
        <v>13</v>
      </c>
      <c r="Q22" s="9">
        <v>1030</v>
      </c>
      <c r="R22" s="9">
        <v>1174.2</v>
      </c>
      <c r="S22" s="10">
        <v>0</v>
      </c>
      <c r="T22" s="9">
        <v>15264.6</v>
      </c>
      <c r="U22" s="9">
        <v>13390</v>
      </c>
      <c r="V22" s="9">
        <v>1874.6</v>
      </c>
      <c r="W22" s="10">
        <v>0.12280701754386</v>
      </c>
    </row>
    <row r="23" spans="1:23" x14ac:dyDescent="0.3">
      <c r="A23" s="7" t="s">
        <v>160</v>
      </c>
      <c r="B23" s="7" t="s">
        <v>161</v>
      </c>
      <c r="C23" s="7" t="s">
        <v>162</v>
      </c>
      <c r="D23" s="7" t="s">
        <v>163</v>
      </c>
      <c r="E23" s="7" t="s">
        <v>164</v>
      </c>
      <c r="F23" s="8">
        <v>45810</v>
      </c>
      <c r="G23" s="8">
        <v>45811</v>
      </c>
      <c r="H23" s="8">
        <v>45815</v>
      </c>
      <c r="I23" s="7" t="s">
        <v>82</v>
      </c>
      <c r="J23" s="7" t="s">
        <v>2</v>
      </c>
      <c r="K23" s="7" t="s">
        <v>20</v>
      </c>
      <c r="L23" s="7" t="s">
        <v>61</v>
      </c>
      <c r="M23" s="7" t="s">
        <v>43</v>
      </c>
      <c r="N23" s="7" t="s">
        <v>27</v>
      </c>
      <c r="O23" s="7" t="s">
        <v>31</v>
      </c>
      <c r="P23" s="7">
        <v>1</v>
      </c>
      <c r="Q23" s="9">
        <v>1630</v>
      </c>
      <c r="R23" s="9">
        <v>1744.1</v>
      </c>
      <c r="S23" s="10">
        <v>0.09</v>
      </c>
      <c r="T23" s="9">
        <v>1587.1310000000001</v>
      </c>
      <c r="U23" s="9">
        <v>1630</v>
      </c>
      <c r="V23" s="9">
        <v>-42.869</v>
      </c>
      <c r="W23" s="10">
        <v>-2.7010372804765301E-2</v>
      </c>
    </row>
    <row r="24" spans="1:23" x14ac:dyDescent="0.3">
      <c r="A24" s="7" t="s">
        <v>165</v>
      </c>
      <c r="B24" s="7" t="s">
        <v>166</v>
      </c>
      <c r="C24" s="7" t="s">
        <v>167</v>
      </c>
      <c r="D24" s="7" t="s">
        <v>168</v>
      </c>
      <c r="E24" s="7" t="s">
        <v>77</v>
      </c>
      <c r="F24" s="8">
        <v>46131</v>
      </c>
      <c r="G24" s="8">
        <v>46132</v>
      </c>
      <c r="H24" s="8">
        <v>46133</v>
      </c>
      <c r="I24" s="7" t="s">
        <v>82</v>
      </c>
      <c r="J24" s="7" t="s">
        <v>2362</v>
      </c>
      <c r="K24" s="7" t="s">
        <v>20</v>
      </c>
      <c r="L24" s="7" t="s">
        <v>23</v>
      </c>
      <c r="M24" s="7" t="s">
        <v>44</v>
      </c>
      <c r="N24" s="7" t="s">
        <v>38</v>
      </c>
      <c r="O24" s="7" t="s">
        <v>45</v>
      </c>
      <c r="P24" s="7">
        <v>2</v>
      </c>
      <c r="Q24" s="9">
        <v>210</v>
      </c>
      <c r="R24" s="9">
        <v>222.6</v>
      </c>
      <c r="S24" s="10">
        <v>0.05</v>
      </c>
      <c r="T24" s="9">
        <v>422.94</v>
      </c>
      <c r="U24" s="9">
        <v>420</v>
      </c>
      <c r="V24" s="9">
        <v>2.94</v>
      </c>
      <c r="W24" s="10">
        <v>6.9513406156901702E-3</v>
      </c>
    </row>
    <row r="25" spans="1:23" x14ac:dyDescent="0.3">
      <c r="A25" s="7" t="s">
        <v>169</v>
      </c>
      <c r="B25" s="7" t="s">
        <v>170</v>
      </c>
      <c r="C25" s="7" t="s">
        <v>171</v>
      </c>
      <c r="D25" s="7" t="s">
        <v>172</v>
      </c>
      <c r="E25" s="7" t="s">
        <v>173</v>
      </c>
      <c r="F25" s="8">
        <v>45629</v>
      </c>
      <c r="G25" s="8">
        <v>45630</v>
      </c>
      <c r="H25" s="8">
        <v>45631</v>
      </c>
      <c r="I25" s="7" t="s">
        <v>72</v>
      </c>
      <c r="J25" s="7" t="s">
        <v>1</v>
      </c>
      <c r="K25" s="7" t="s">
        <v>20</v>
      </c>
      <c r="L25" s="7" t="s">
        <v>24</v>
      </c>
      <c r="M25" s="7" t="s">
        <v>48</v>
      </c>
      <c r="N25" s="7" t="s">
        <v>38</v>
      </c>
      <c r="O25" s="7" t="s">
        <v>41</v>
      </c>
      <c r="P25" s="7">
        <v>5</v>
      </c>
      <c r="Q25" s="9">
        <v>580</v>
      </c>
      <c r="R25" s="9">
        <v>667</v>
      </c>
      <c r="S25" s="10">
        <v>0</v>
      </c>
      <c r="T25" s="9">
        <v>3335</v>
      </c>
      <c r="U25" s="9">
        <v>2900</v>
      </c>
      <c r="V25" s="9">
        <v>435</v>
      </c>
      <c r="W25" s="10">
        <v>0.13043478260869601</v>
      </c>
    </row>
    <row r="26" spans="1:23" x14ac:dyDescent="0.3">
      <c r="A26" s="7" t="s">
        <v>174</v>
      </c>
      <c r="B26" s="7" t="s">
        <v>175</v>
      </c>
      <c r="C26" s="7" t="s">
        <v>176</v>
      </c>
      <c r="D26" s="7" t="s">
        <v>177</v>
      </c>
      <c r="E26" s="7" t="s">
        <v>178</v>
      </c>
      <c r="F26" s="8">
        <v>45680</v>
      </c>
      <c r="G26" s="8">
        <v>45680</v>
      </c>
      <c r="H26" s="8">
        <v>45684</v>
      </c>
      <c r="I26" s="7" t="s">
        <v>72</v>
      </c>
      <c r="J26" s="7" t="s">
        <v>2364</v>
      </c>
      <c r="K26" s="7" t="s">
        <v>21</v>
      </c>
      <c r="L26" s="7" t="s">
        <v>22</v>
      </c>
      <c r="M26" s="7" t="s">
        <v>47</v>
      </c>
      <c r="N26" s="7" t="s">
        <v>38</v>
      </c>
      <c r="O26" s="7" t="s">
        <v>39</v>
      </c>
      <c r="P26" s="7">
        <v>8</v>
      </c>
      <c r="Q26" s="9">
        <v>390</v>
      </c>
      <c r="R26" s="9">
        <v>468</v>
      </c>
      <c r="S26" s="10">
        <v>0.01</v>
      </c>
      <c r="T26" s="9">
        <v>3706.56</v>
      </c>
      <c r="U26" s="9">
        <v>3120</v>
      </c>
      <c r="V26" s="9">
        <v>586.55999999999995</v>
      </c>
      <c r="W26" s="10">
        <v>0.158249158249158</v>
      </c>
    </row>
    <row r="27" spans="1:23" x14ac:dyDescent="0.3">
      <c r="A27" s="7" t="s">
        <v>179</v>
      </c>
      <c r="B27" s="7" t="s">
        <v>180</v>
      </c>
      <c r="C27" s="7" t="s">
        <v>181</v>
      </c>
      <c r="D27" s="7" t="s">
        <v>182</v>
      </c>
      <c r="E27" s="7" t="s">
        <v>178</v>
      </c>
      <c r="F27" s="8">
        <v>46048</v>
      </c>
      <c r="G27" s="8">
        <v>46048</v>
      </c>
      <c r="H27" s="8">
        <v>46051</v>
      </c>
      <c r="I27" s="7" t="s">
        <v>72</v>
      </c>
      <c r="J27" s="7" t="s">
        <v>2364</v>
      </c>
      <c r="K27" s="7" t="s">
        <v>20</v>
      </c>
      <c r="L27" s="7" t="s">
        <v>23</v>
      </c>
      <c r="M27" s="7" t="s">
        <v>47</v>
      </c>
      <c r="N27" s="7" t="s">
        <v>38</v>
      </c>
      <c r="O27" s="7" t="s">
        <v>39</v>
      </c>
      <c r="P27" s="7">
        <v>5</v>
      </c>
      <c r="Q27" s="9">
        <v>390</v>
      </c>
      <c r="R27" s="9">
        <v>468</v>
      </c>
      <c r="S27" s="10">
        <v>0.08</v>
      </c>
      <c r="T27" s="9">
        <v>2152.8000000000002</v>
      </c>
      <c r="U27" s="9">
        <v>1950</v>
      </c>
      <c r="V27" s="9">
        <v>202.8</v>
      </c>
      <c r="W27" s="10">
        <v>9.4202898550724598E-2</v>
      </c>
    </row>
    <row r="28" spans="1:23" x14ac:dyDescent="0.3">
      <c r="A28" s="7" t="s">
        <v>183</v>
      </c>
      <c r="B28" s="7" t="s">
        <v>184</v>
      </c>
      <c r="C28" s="7" t="s">
        <v>185</v>
      </c>
      <c r="D28" s="7" t="s">
        <v>186</v>
      </c>
      <c r="E28" s="7" t="s">
        <v>187</v>
      </c>
      <c r="F28" s="8">
        <v>46153</v>
      </c>
      <c r="G28" s="8">
        <v>46153</v>
      </c>
      <c r="H28" s="8">
        <v>46158</v>
      </c>
      <c r="I28" s="7" t="s">
        <v>72</v>
      </c>
      <c r="J28" s="7" t="s">
        <v>1</v>
      </c>
      <c r="K28" s="7" t="s">
        <v>21</v>
      </c>
      <c r="L28" s="7" t="s">
        <v>22</v>
      </c>
      <c r="M28" s="7" t="s">
        <v>2367</v>
      </c>
      <c r="N28" s="7" t="s">
        <v>38</v>
      </c>
      <c r="O28" s="7" t="s">
        <v>41</v>
      </c>
      <c r="P28" s="7">
        <v>15</v>
      </c>
      <c r="Q28" s="9">
        <v>170</v>
      </c>
      <c r="R28" s="9">
        <v>188.7</v>
      </c>
      <c r="S28" s="10">
        <v>0.05</v>
      </c>
      <c r="T28" s="9">
        <v>2688.9749999999999</v>
      </c>
      <c r="U28" s="9">
        <v>2550</v>
      </c>
      <c r="V28" s="9">
        <v>138.97499999999999</v>
      </c>
      <c r="W28" s="10">
        <v>5.1683262209578001E-2</v>
      </c>
    </row>
    <row r="29" spans="1:23" x14ac:dyDescent="0.3">
      <c r="A29" s="7" t="s">
        <v>188</v>
      </c>
      <c r="B29" s="7" t="s">
        <v>189</v>
      </c>
      <c r="C29" s="7" t="s">
        <v>190</v>
      </c>
      <c r="D29" s="7" t="s">
        <v>191</v>
      </c>
      <c r="E29" s="7" t="s">
        <v>192</v>
      </c>
      <c r="F29" s="8">
        <v>45665</v>
      </c>
      <c r="G29" s="8">
        <v>45666</v>
      </c>
      <c r="H29" s="8">
        <v>45669</v>
      </c>
      <c r="I29" s="7" t="s">
        <v>72</v>
      </c>
      <c r="J29" s="7" t="s">
        <v>2364</v>
      </c>
      <c r="K29" s="7" t="s">
        <v>20</v>
      </c>
      <c r="L29" s="7" t="s">
        <v>61</v>
      </c>
      <c r="M29" s="7" t="s">
        <v>46</v>
      </c>
      <c r="N29" s="7" t="s">
        <v>38</v>
      </c>
      <c r="O29" s="7" t="s">
        <v>45</v>
      </c>
      <c r="P29" s="7">
        <v>7</v>
      </c>
      <c r="Q29" s="9">
        <v>350</v>
      </c>
      <c r="R29" s="9">
        <v>364</v>
      </c>
      <c r="S29" s="10">
        <v>0.04</v>
      </c>
      <c r="T29" s="9">
        <v>2446.08</v>
      </c>
      <c r="U29" s="9">
        <v>2450</v>
      </c>
      <c r="V29" s="9">
        <v>-3.92</v>
      </c>
      <c r="W29" s="10">
        <v>-1.6025641025640999E-3</v>
      </c>
    </row>
    <row r="30" spans="1:23" x14ac:dyDescent="0.3">
      <c r="A30" s="7" t="s">
        <v>193</v>
      </c>
      <c r="B30" s="7" t="s">
        <v>97</v>
      </c>
      <c r="C30" s="7" t="s">
        <v>194</v>
      </c>
      <c r="D30" s="7" t="s">
        <v>195</v>
      </c>
      <c r="E30" s="7" t="s">
        <v>87</v>
      </c>
      <c r="F30" s="8">
        <v>46141</v>
      </c>
      <c r="G30" s="8">
        <v>46142</v>
      </c>
      <c r="H30" s="8">
        <v>46143</v>
      </c>
      <c r="I30" s="7" t="s">
        <v>72</v>
      </c>
      <c r="J30" s="7" t="s">
        <v>2362</v>
      </c>
      <c r="K30" s="7" t="s">
        <v>19</v>
      </c>
      <c r="L30" s="7" t="s">
        <v>22</v>
      </c>
      <c r="M30" s="7" t="s">
        <v>30</v>
      </c>
      <c r="N30" s="7" t="s">
        <v>27</v>
      </c>
      <c r="O30" s="7" t="s">
        <v>31</v>
      </c>
      <c r="P30" s="7">
        <v>8</v>
      </c>
      <c r="Q30" s="9">
        <v>1030</v>
      </c>
      <c r="R30" s="9">
        <v>1174.2</v>
      </c>
      <c r="S30" s="10">
        <v>0.04</v>
      </c>
      <c r="T30" s="9">
        <v>9017.8559999999998</v>
      </c>
      <c r="U30" s="9">
        <v>8240</v>
      </c>
      <c r="V30" s="9">
        <v>777.85599999999999</v>
      </c>
      <c r="W30" s="10">
        <v>8.6257309941520505E-2</v>
      </c>
    </row>
    <row r="31" spans="1:23" x14ac:dyDescent="0.3">
      <c r="A31" s="7" t="s">
        <v>196</v>
      </c>
      <c r="B31" s="7" t="s">
        <v>197</v>
      </c>
      <c r="C31" s="7" t="s">
        <v>198</v>
      </c>
      <c r="D31" s="7" t="s">
        <v>199</v>
      </c>
      <c r="E31" s="7" t="s">
        <v>95</v>
      </c>
      <c r="F31" s="8">
        <v>46007</v>
      </c>
      <c r="G31" s="8">
        <v>46007</v>
      </c>
      <c r="H31" s="8">
        <v>46010</v>
      </c>
      <c r="I31" s="7" t="s">
        <v>72</v>
      </c>
      <c r="J31" s="7" t="s">
        <v>2362</v>
      </c>
      <c r="K31" s="7" t="s">
        <v>21</v>
      </c>
      <c r="L31" s="7" t="s">
        <v>24</v>
      </c>
      <c r="M31" s="7" t="s">
        <v>49</v>
      </c>
      <c r="N31" s="7" t="s">
        <v>33</v>
      </c>
      <c r="O31" s="7" t="s">
        <v>34</v>
      </c>
      <c r="P31" s="7">
        <v>11</v>
      </c>
      <c r="Q31" s="9">
        <v>1080</v>
      </c>
      <c r="R31" s="9">
        <v>1112.4000000000001</v>
      </c>
      <c r="S31" s="10">
        <v>0.08</v>
      </c>
      <c r="T31" s="9">
        <v>11257.487999999999</v>
      </c>
      <c r="U31" s="9">
        <v>11880</v>
      </c>
      <c r="V31" s="9">
        <v>-622.51199999999994</v>
      </c>
      <c r="W31" s="10">
        <v>-5.5297593921485901E-2</v>
      </c>
    </row>
    <row r="32" spans="1:23" x14ac:dyDescent="0.3">
      <c r="A32" s="7" t="s">
        <v>200</v>
      </c>
      <c r="B32" s="7" t="s">
        <v>201</v>
      </c>
      <c r="C32" s="7" t="s">
        <v>202</v>
      </c>
      <c r="D32" s="7" t="s">
        <v>203</v>
      </c>
      <c r="E32" s="7" t="s">
        <v>100</v>
      </c>
      <c r="F32" s="8">
        <v>45431</v>
      </c>
      <c r="G32" s="8">
        <v>45432</v>
      </c>
      <c r="H32" s="8">
        <v>45433</v>
      </c>
      <c r="I32" s="7" t="s">
        <v>72</v>
      </c>
      <c r="J32" s="7" t="s">
        <v>2363</v>
      </c>
      <c r="K32" s="7" t="s">
        <v>21</v>
      </c>
      <c r="L32" s="7" t="s">
        <v>24</v>
      </c>
      <c r="M32" s="7" t="s">
        <v>42</v>
      </c>
      <c r="N32" s="7" t="s">
        <v>27</v>
      </c>
      <c r="O32" s="7" t="s">
        <v>28</v>
      </c>
      <c r="P32" s="7">
        <v>13</v>
      </c>
      <c r="Q32" s="9">
        <v>3030</v>
      </c>
      <c r="R32" s="9">
        <v>3211.8</v>
      </c>
      <c r="S32" s="10">
        <v>0.1</v>
      </c>
      <c r="T32" s="9">
        <v>37578.06</v>
      </c>
      <c r="U32" s="9">
        <v>39390</v>
      </c>
      <c r="V32" s="9">
        <v>-1811.94</v>
      </c>
      <c r="W32" s="10">
        <v>-4.8218029350104802E-2</v>
      </c>
    </row>
    <row r="33" spans="1:23" x14ac:dyDescent="0.3">
      <c r="A33" s="7" t="s">
        <v>204</v>
      </c>
      <c r="B33" s="7" t="s">
        <v>205</v>
      </c>
      <c r="C33" s="7" t="s">
        <v>206</v>
      </c>
      <c r="D33" s="7" t="s">
        <v>207</v>
      </c>
      <c r="E33" s="7" t="s">
        <v>208</v>
      </c>
      <c r="F33" s="8">
        <v>45885</v>
      </c>
      <c r="G33" s="8">
        <v>45886</v>
      </c>
      <c r="H33" s="8">
        <v>45889</v>
      </c>
      <c r="I33" s="7" t="s">
        <v>82</v>
      </c>
      <c r="J33" s="7" t="s">
        <v>2363</v>
      </c>
      <c r="K33" s="7" t="s">
        <v>19</v>
      </c>
      <c r="L33" s="7" t="s">
        <v>24</v>
      </c>
      <c r="M33" s="7" t="s">
        <v>50</v>
      </c>
      <c r="N33" s="7" t="s">
        <v>33</v>
      </c>
      <c r="O33" s="7" t="s">
        <v>36</v>
      </c>
      <c r="P33" s="7">
        <v>4</v>
      </c>
      <c r="Q33" s="9">
        <v>930</v>
      </c>
      <c r="R33" s="9">
        <v>1078.8</v>
      </c>
      <c r="S33" s="10">
        <v>0.08</v>
      </c>
      <c r="T33" s="9">
        <v>3969.9839999999999</v>
      </c>
      <c r="U33" s="9">
        <v>3720</v>
      </c>
      <c r="V33" s="9">
        <v>249.98400000000001</v>
      </c>
      <c r="W33" s="10">
        <v>6.2968515742129E-2</v>
      </c>
    </row>
    <row r="34" spans="1:23" x14ac:dyDescent="0.3">
      <c r="A34" s="7" t="s">
        <v>209</v>
      </c>
      <c r="B34" s="7" t="s">
        <v>210</v>
      </c>
      <c r="C34" s="7" t="s">
        <v>211</v>
      </c>
      <c r="D34" s="7" t="s">
        <v>212</v>
      </c>
      <c r="E34" s="7" t="s">
        <v>81</v>
      </c>
      <c r="F34" s="8">
        <v>46072</v>
      </c>
      <c r="G34" s="8">
        <v>46073</v>
      </c>
      <c r="H34" s="8">
        <v>46076</v>
      </c>
      <c r="I34" s="7" t="s">
        <v>72</v>
      </c>
      <c r="J34" s="7" t="s">
        <v>2363</v>
      </c>
      <c r="K34" s="7" t="s">
        <v>21</v>
      </c>
      <c r="L34" s="7" t="s">
        <v>22</v>
      </c>
      <c r="M34" s="7" t="s">
        <v>59</v>
      </c>
      <c r="N34" s="7" t="s">
        <v>27</v>
      </c>
      <c r="O34" s="7" t="s">
        <v>60</v>
      </c>
      <c r="P34" s="7">
        <v>8</v>
      </c>
      <c r="Q34" s="9">
        <v>1230</v>
      </c>
      <c r="R34" s="9">
        <v>1328.4</v>
      </c>
      <c r="S34" s="10">
        <v>0.01</v>
      </c>
      <c r="T34" s="9">
        <v>10520.928</v>
      </c>
      <c r="U34" s="9">
        <v>9840</v>
      </c>
      <c r="V34" s="9">
        <v>680.928</v>
      </c>
      <c r="W34" s="10">
        <v>6.4721286943509204E-2</v>
      </c>
    </row>
    <row r="35" spans="1:23" x14ac:dyDescent="0.3">
      <c r="A35" s="7" t="s">
        <v>213</v>
      </c>
      <c r="B35" s="7" t="s">
        <v>214</v>
      </c>
      <c r="C35" s="7" t="s">
        <v>215</v>
      </c>
      <c r="D35" s="7" t="s">
        <v>216</v>
      </c>
      <c r="E35" s="7" t="s">
        <v>217</v>
      </c>
      <c r="F35" s="8">
        <v>46062</v>
      </c>
      <c r="G35" s="8">
        <v>46063</v>
      </c>
      <c r="H35" s="8">
        <v>46066</v>
      </c>
      <c r="I35" s="7" t="s">
        <v>72</v>
      </c>
      <c r="J35" s="7" t="s">
        <v>2362</v>
      </c>
      <c r="K35" s="7" t="s">
        <v>21</v>
      </c>
      <c r="L35" s="7" t="s">
        <v>25</v>
      </c>
      <c r="M35" s="7" t="s">
        <v>29</v>
      </c>
      <c r="N35" s="7" t="s">
        <v>27</v>
      </c>
      <c r="O35" s="7" t="s">
        <v>28</v>
      </c>
      <c r="P35" s="7">
        <v>8</v>
      </c>
      <c r="Q35" s="9">
        <v>3930</v>
      </c>
      <c r="R35" s="9">
        <v>4362.3</v>
      </c>
      <c r="S35" s="10">
        <v>0.1</v>
      </c>
      <c r="T35" s="9">
        <v>31408.560000000001</v>
      </c>
      <c r="U35" s="9">
        <v>31440</v>
      </c>
      <c r="V35" s="9">
        <v>-31.44</v>
      </c>
      <c r="W35" s="10">
        <v>-1.0010010010009999E-3</v>
      </c>
    </row>
    <row r="36" spans="1:23" x14ac:dyDescent="0.3">
      <c r="A36" s="7" t="s">
        <v>218</v>
      </c>
      <c r="B36" s="7" t="s">
        <v>158</v>
      </c>
      <c r="C36" s="7" t="s">
        <v>219</v>
      </c>
      <c r="D36" s="7" t="s">
        <v>220</v>
      </c>
      <c r="E36" s="7" t="s">
        <v>178</v>
      </c>
      <c r="F36" s="8">
        <v>46062</v>
      </c>
      <c r="G36" s="8">
        <v>46063</v>
      </c>
      <c r="H36" s="8">
        <v>46065</v>
      </c>
      <c r="I36" s="7" t="s">
        <v>72</v>
      </c>
      <c r="J36" s="7" t="s">
        <v>1</v>
      </c>
      <c r="K36" s="7" t="s">
        <v>19</v>
      </c>
      <c r="L36" s="7" t="s">
        <v>22</v>
      </c>
      <c r="M36" s="7" t="s">
        <v>47</v>
      </c>
      <c r="N36" s="7" t="s">
        <v>38</v>
      </c>
      <c r="O36" s="7" t="s">
        <v>39</v>
      </c>
      <c r="P36" s="7">
        <v>5</v>
      </c>
      <c r="Q36" s="9">
        <v>390</v>
      </c>
      <c r="R36" s="9">
        <v>468</v>
      </c>
      <c r="S36" s="10">
        <v>7.0000000000000007E-2</v>
      </c>
      <c r="T36" s="9">
        <v>2176.1999999999998</v>
      </c>
      <c r="U36" s="9">
        <v>1950</v>
      </c>
      <c r="V36" s="9">
        <v>226.2</v>
      </c>
      <c r="W36" s="10">
        <v>0.103942652329749</v>
      </c>
    </row>
    <row r="37" spans="1:23" x14ac:dyDescent="0.3">
      <c r="A37" s="7" t="s">
        <v>221</v>
      </c>
      <c r="B37" s="7" t="s">
        <v>222</v>
      </c>
      <c r="C37" s="7" t="s">
        <v>223</v>
      </c>
      <c r="D37" s="7" t="s">
        <v>224</v>
      </c>
      <c r="E37" s="7" t="s">
        <v>81</v>
      </c>
      <c r="F37" s="8">
        <v>45901</v>
      </c>
      <c r="G37" s="8">
        <v>45901</v>
      </c>
      <c r="H37" s="8">
        <v>45906</v>
      </c>
      <c r="I37" s="7" t="s">
        <v>72</v>
      </c>
      <c r="J37" s="7" t="s">
        <v>2362</v>
      </c>
      <c r="K37" s="7" t="s">
        <v>21</v>
      </c>
      <c r="L37" s="7" t="s">
        <v>25</v>
      </c>
      <c r="M37" s="7" t="s">
        <v>59</v>
      </c>
      <c r="N37" s="7" t="s">
        <v>27</v>
      </c>
      <c r="O37" s="7" t="s">
        <v>60</v>
      </c>
      <c r="P37" s="7">
        <v>11</v>
      </c>
      <c r="Q37" s="9">
        <v>1230</v>
      </c>
      <c r="R37" s="9">
        <v>1328.4</v>
      </c>
      <c r="S37" s="10">
        <v>0.09</v>
      </c>
      <c r="T37" s="9">
        <v>13297.284</v>
      </c>
      <c r="U37" s="9">
        <v>13530</v>
      </c>
      <c r="V37" s="9">
        <v>-232.71600000000001</v>
      </c>
      <c r="W37" s="10">
        <v>-1.7501017501017499E-2</v>
      </c>
    </row>
    <row r="38" spans="1:23" x14ac:dyDescent="0.3">
      <c r="A38" s="7" t="s">
        <v>225</v>
      </c>
      <c r="B38" s="7" t="s">
        <v>226</v>
      </c>
      <c r="C38" s="7" t="s">
        <v>227</v>
      </c>
      <c r="D38" s="7" t="s">
        <v>228</v>
      </c>
      <c r="E38" s="7" t="s">
        <v>208</v>
      </c>
      <c r="F38" s="8">
        <v>45844</v>
      </c>
      <c r="G38" s="8">
        <v>45845</v>
      </c>
      <c r="H38" s="8">
        <v>45849</v>
      </c>
      <c r="I38" s="7" t="s">
        <v>72</v>
      </c>
      <c r="J38" s="7" t="s">
        <v>2364</v>
      </c>
      <c r="K38" s="7" t="s">
        <v>20</v>
      </c>
      <c r="L38" s="7" t="s">
        <v>22</v>
      </c>
      <c r="M38" s="7" t="s">
        <v>50</v>
      </c>
      <c r="N38" s="7" t="s">
        <v>33</v>
      </c>
      <c r="O38" s="7" t="s">
        <v>36</v>
      </c>
      <c r="P38" s="7">
        <v>6</v>
      </c>
      <c r="Q38" s="9">
        <v>930</v>
      </c>
      <c r="R38" s="9">
        <v>1078.8</v>
      </c>
      <c r="S38" s="10">
        <v>0.03</v>
      </c>
      <c r="T38" s="9">
        <v>6278.616</v>
      </c>
      <c r="U38" s="9">
        <v>5580</v>
      </c>
      <c r="V38" s="9">
        <v>698.61599999999999</v>
      </c>
      <c r="W38" s="10">
        <v>0.111269107714184</v>
      </c>
    </row>
    <row r="39" spans="1:23" x14ac:dyDescent="0.3">
      <c r="A39" s="7" t="s">
        <v>229</v>
      </c>
      <c r="B39" s="7" t="s">
        <v>230</v>
      </c>
      <c r="C39" s="7" t="s">
        <v>231</v>
      </c>
      <c r="D39" s="7" t="s">
        <v>232</v>
      </c>
      <c r="E39" s="7" t="s">
        <v>132</v>
      </c>
      <c r="F39" s="8">
        <v>45624</v>
      </c>
      <c r="G39" s="8">
        <v>45624</v>
      </c>
      <c r="H39" s="8">
        <v>45627</v>
      </c>
      <c r="I39" s="7" t="s">
        <v>72</v>
      </c>
      <c r="J39" s="7" t="s">
        <v>2362</v>
      </c>
      <c r="K39" s="7" t="s">
        <v>21</v>
      </c>
      <c r="L39" s="7" t="s">
        <v>61</v>
      </c>
      <c r="M39" s="7" t="s">
        <v>2366</v>
      </c>
      <c r="N39" s="7" t="s">
        <v>27</v>
      </c>
      <c r="O39" s="7" t="s">
        <v>54</v>
      </c>
      <c r="P39" s="7">
        <v>8</v>
      </c>
      <c r="Q39" s="9">
        <v>430</v>
      </c>
      <c r="R39" s="9">
        <v>455.8</v>
      </c>
      <c r="S39" s="10">
        <v>0.05</v>
      </c>
      <c r="T39" s="9">
        <v>3464.08</v>
      </c>
      <c r="U39" s="9">
        <v>3440</v>
      </c>
      <c r="V39" s="9">
        <v>24.08</v>
      </c>
      <c r="W39" s="10">
        <v>6.9513406156901702E-3</v>
      </c>
    </row>
    <row r="40" spans="1:23" x14ac:dyDescent="0.3">
      <c r="A40" s="7" t="s">
        <v>233</v>
      </c>
      <c r="B40" s="7" t="s">
        <v>84</v>
      </c>
      <c r="C40" s="7" t="s">
        <v>234</v>
      </c>
      <c r="D40" s="7" t="s">
        <v>235</v>
      </c>
      <c r="E40" s="7" t="s">
        <v>114</v>
      </c>
      <c r="F40" s="8">
        <v>45466</v>
      </c>
      <c r="G40" s="8">
        <v>45466</v>
      </c>
      <c r="H40" s="8">
        <v>45469</v>
      </c>
      <c r="I40" s="7" t="s">
        <v>82</v>
      </c>
      <c r="J40" s="7" t="s">
        <v>2363</v>
      </c>
      <c r="K40" s="7" t="s">
        <v>19</v>
      </c>
      <c r="L40" s="7" t="s">
        <v>22</v>
      </c>
      <c r="M40" s="7" t="s">
        <v>51</v>
      </c>
      <c r="N40" s="7" t="s">
        <v>33</v>
      </c>
      <c r="O40" s="7" t="s">
        <v>52</v>
      </c>
      <c r="P40" s="7">
        <v>1</v>
      </c>
      <c r="Q40" s="9">
        <v>280</v>
      </c>
      <c r="R40" s="9">
        <v>336</v>
      </c>
      <c r="S40" s="10">
        <v>0.1</v>
      </c>
      <c r="T40" s="9">
        <v>302.39999999999998</v>
      </c>
      <c r="U40" s="9">
        <v>280</v>
      </c>
      <c r="V40" s="9">
        <v>22.4</v>
      </c>
      <c r="W40" s="10">
        <v>7.4074074074074098E-2</v>
      </c>
    </row>
    <row r="41" spans="1:23" x14ac:dyDescent="0.3">
      <c r="A41" s="7" t="s">
        <v>236</v>
      </c>
      <c r="B41" s="7" t="s">
        <v>116</v>
      </c>
      <c r="C41" s="7" t="s">
        <v>237</v>
      </c>
      <c r="D41" s="7" t="s">
        <v>238</v>
      </c>
      <c r="E41" s="7" t="s">
        <v>100</v>
      </c>
      <c r="F41" s="8">
        <v>45979</v>
      </c>
      <c r="G41" s="8">
        <v>45980</v>
      </c>
      <c r="H41" s="8">
        <v>45984</v>
      </c>
      <c r="I41" s="7" t="s">
        <v>72</v>
      </c>
      <c r="J41" s="7" t="s">
        <v>2363</v>
      </c>
      <c r="K41" s="7" t="s">
        <v>21</v>
      </c>
      <c r="L41" s="7" t="s">
        <v>24</v>
      </c>
      <c r="M41" s="7" t="s">
        <v>42</v>
      </c>
      <c r="N41" s="7" t="s">
        <v>27</v>
      </c>
      <c r="O41" s="7" t="s">
        <v>28</v>
      </c>
      <c r="P41" s="7">
        <v>9</v>
      </c>
      <c r="Q41" s="9">
        <v>3030</v>
      </c>
      <c r="R41" s="9">
        <v>3211.8</v>
      </c>
      <c r="S41" s="10">
        <v>0.01</v>
      </c>
      <c r="T41" s="9">
        <v>28617.137999999999</v>
      </c>
      <c r="U41" s="9">
        <v>27270</v>
      </c>
      <c r="V41" s="9">
        <v>1347.1379999999999</v>
      </c>
      <c r="W41" s="10">
        <v>4.7074518772632003E-2</v>
      </c>
    </row>
    <row r="42" spans="1:23" x14ac:dyDescent="0.3">
      <c r="A42" s="7" t="s">
        <v>239</v>
      </c>
      <c r="B42" s="7" t="s">
        <v>240</v>
      </c>
      <c r="C42" s="7" t="s">
        <v>241</v>
      </c>
      <c r="D42" s="7" t="s">
        <v>242</v>
      </c>
      <c r="E42" s="7" t="s">
        <v>178</v>
      </c>
      <c r="F42" s="8">
        <v>45763</v>
      </c>
      <c r="G42" s="8">
        <v>45763</v>
      </c>
      <c r="H42" s="8">
        <v>45767</v>
      </c>
      <c r="I42" s="7" t="s">
        <v>72</v>
      </c>
      <c r="J42" s="7" t="s">
        <v>1</v>
      </c>
      <c r="K42" s="7" t="s">
        <v>19</v>
      </c>
      <c r="L42" s="7" t="s">
        <v>23</v>
      </c>
      <c r="M42" s="7" t="s">
        <v>47</v>
      </c>
      <c r="N42" s="7" t="s">
        <v>38</v>
      </c>
      <c r="O42" s="7" t="s">
        <v>39</v>
      </c>
      <c r="P42" s="7">
        <v>9</v>
      </c>
      <c r="Q42" s="9">
        <v>390</v>
      </c>
      <c r="R42" s="9">
        <v>468</v>
      </c>
      <c r="S42" s="10">
        <v>0.02</v>
      </c>
      <c r="T42" s="9">
        <v>4127.76</v>
      </c>
      <c r="U42" s="9">
        <v>3510</v>
      </c>
      <c r="V42" s="9">
        <v>617.76</v>
      </c>
      <c r="W42" s="10">
        <v>0.14965986394557801</v>
      </c>
    </row>
    <row r="43" spans="1:23" x14ac:dyDescent="0.3">
      <c r="A43" s="7" t="s">
        <v>243</v>
      </c>
      <c r="B43" s="7" t="s">
        <v>244</v>
      </c>
      <c r="C43" s="7" t="s">
        <v>245</v>
      </c>
      <c r="D43" s="7" t="s">
        <v>246</v>
      </c>
      <c r="E43" s="7" t="s">
        <v>77</v>
      </c>
      <c r="F43" s="8">
        <v>45424</v>
      </c>
      <c r="G43" s="8">
        <v>45425</v>
      </c>
      <c r="H43" s="8">
        <v>45429</v>
      </c>
      <c r="I43" s="7" t="s">
        <v>82</v>
      </c>
      <c r="J43" s="7" t="s">
        <v>2363</v>
      </c>
      <c r="K43" s="7" t="s">
        <v>19</v>
      </c>
      <c r="L43" s="7" t="s">
        <v>61</v>
      </c>
      <c r="M43" s="7" t="s">
        <v>44</v>
      </c>
      <c r="N43" s="7" t="s">
        <v>38</v>
      </c>
      <c r="O43" s="7" t="s">
        <v>45</v>
      </c>
      <c r="P43" s="7">
        <v>1</v>
      </c>
      <c r="Q43" s="9">
        <v>210</v>
      </c>
      <c r="R43" s="9">
        <v>222.6</v>
      </c>
      <c r="S43" s="10">
        <v>0.09</v>
      </c>
      <c r="T43" s="9">
        <v>202.566</v>
      </c>
      <c r="U43" s="9">
        <v>210</v>
      </c>
      <c r="V43" s="9">
        <v>-7.4340000000000002</v>
      </c>
      <c r="W43" s="10">
        <v>-3.66991499066971E-2</v>
      </c>
    </row>
    <row r="44" spans="1:23" x14ac:dyDescent="0.3">
      <c r="A44" s="7" t="s">
        <v>247</v>
      </c>
      <c r="B44" s="7" t="s">
        <v>248</v>
      </c>
      <c r="C44" s="7" t="s">
        <v>249</v>
      </c>
      <c r="D44" s="7" t="s">
        <v>250</v>
      </c>
      <c r="E44" s="7" t="s">
        <v>77</v>
      </c>
      <c r="F44" s="8">
        <v>45727</v>
      </c>
      <c r="G44" s="8">
        <v>45728</v>
      </c>
      <c r="H44" s="8">
        <v>45732</v>
      </c>
      <c r="I44" s="7" t="s">
        <v>72</v>
      </c>
      <c r="J44" s="7" t="s">
        <v>2363</v>
      </c>
      <c r="K44" s="7" t="s">
        <v>21</v>
      </c>
      <c r="L44" s="7" t="s">
        <v>61</v>
      </c>
      <c r="M44" s="7" t="s">
        <v>44</v>
      </c>
      <c r="N44" s="7" t="s">
        <v>38</v>
      </c>
      <c r="O44" s="7" t="s">
        <v>45</v>
      </c>
      <c r="P44" s="7">
        <v>11</v>
      </c>
      <c r="Q44" s="9">
        <v>210</v>
      </c>
      <c r="R44" s="9">
        <v>222.6</v>
      </c>
      <c r="S44" s="10">
        <v>0.1</v>
      </c>
      <c r="T44" s="9">
        <v>2203.7399999999998</v>
      </c>
      <c r="U44" s="9">
        <v>2310</v>
      </c>
      <c r="V44" s="9">
        <v>-106.26</v>
      </c>
      <c r="W44" s="10">
        <v>-4.8218029350104802E-2</v>
      </c>
    </row>
    <row r="45" spans="1:23" x14ac:dyDescent="0.3">
      <c r="A45" s="7" t="s">
        <v>251</v>
      </c>
      <c r="B45" s="7" t="s">
        <v>252</v>
      </c>
      <c r="C45" s="7" t="s">
        <v>253</v>
      </c>
      <c r="D45" s="7" t="s">
        <v>254</v>
      </c>
      <c r="E45" s="7" t="s">
        <v>132</v>
      </c>
      <c r="F45" s="8">
        <v>45428</v>
      </c>
      <c r="G45" s="8">
        <v>45428</v>
      </c>
      <c r="H45" s="8">
        <v>45431</v>
      </c>
      <c r="I45" s="7" t="s">
        <v>72</v>
      </c>
      <c r="J45" s="7" t="s">
        <v>1</v>
      </c>
      <c r="K45" s="7" t="s">
        <v>19</v>
      </c>
      <c r="L45" s="7" t="s">
        <v>61</v>
      </c>
      <c r="M45" s="7" t="s">
        <v>2366</v>
      </c>
      <c r="N45" s="7" t="s">
        <v>27</v>
      </c>
      <c r="O45" s="7" t="s">
        <v>54</v>
      </c>
      <c r="P45" s="7">
        <v>7</v>
      </c>
      <c r="Q45" s="9">
        <v>430</v>
      </c>
      <c r="R45" s="9">
        <v>455.8</v>
      </c>
      <c r="S45" s="10">
        <v>0.06</v>
      </c>
      <c r="T45" s="9">
        <v>2999.1640000000002</v>
      </c>
      <c r="U45" s="9">
        <v>3010</v>
      </c>
      <c r="V45" s="9">
        <v>-10.836</v>
      </c>
      <c r="W45" s="10">
        <v>-3.6130068245684502E-3</v>
      </c>
    </row>
    <row r="46" spans="1:23" x14ac:dyDescent="0.3">
      <c r="A46" s="7" t="s">
        <v>255</v>
      </c>
      <c r="B46" s="7" t="s">
        <v>248</v>
      </c>
      <c r="C46" s="7" t="s">
        <v>256</v>
      </c>
      <c r="D46" s="7" t="s">
        <v>257</v>
      </c>
      <c r="E46" s="7" t="s">
        <v>217</v>
      </c>
      <c r="F46" s="8">
        <v>45661</v>
      </c>
      <c r="G46" s="8">
        <v>45661</v>
      </c>
      <c r="H46" s="8">
        <v>45665</v>
      </c>
      <c r="I46" s="7" t="s">
        <v>72</v>
      </c>
      <c r="J46" s="7" t="s">
        <v>2</v>
      </c>
      <c r="K46" s="7" t="s">
        <v>19</v>
      </c>
      <c r="L46" s="7" t="s">
        <v>24</v>
      </c>
      <c r="M46" s="7" t="s">
        <v>29</v>
      </c>
      <c r="N46" s="7" t="s">
        <v>27</v>
      </c>
      <c r="O46" s="7" t="s">
        <v>28</v>
      </c>
      <c r="P46" s="7">
        <v>7</v>
      </c>
      <c r="Q46" s="9">
        <v>3930</v>
      </c>
      <c r="R46" s="9">
        <v>4362.3</v>
      </c>
      <c r="S46" s="10">
        <v>0.04</v>
      </c>
      <c r="T46" s="9">
        <v>29314.655999999999</v>
      </c>
      <c r="U46" s="9">
        <v>27510</v>
      </c>
      <c r="V46" s="9">
        <v>1804.6559999999999</v>
      </c>
      <c r="W46" s="10">
        <v>6.1561561561561597E-2</v>
      </c>
    </row>
    <row r="47" spans="1:23" x14ac:dyDescent="0.3">
      <c r="A47" s="7" t="s">
        <v>258</v>
      </c>
      <c r="B47" s="7" t="s">
        <v>259</v>
      </c>
      <c r="C47" s="7" t="s">
        <v>260</v>
      </c>
      <c r="D47" s="7" t="s">
        <v>261</v>
      </c>
      <c r="E47" s="7" t="s">
        <v>71</v>
      </c>
      <c r="F47" s="8">
        <v>46027</v>
      </c>
      <c r="G47" s="8">
        <v>46028</v>
      </c>
      <c r="H47" s="8">
        <v>46029</v>
      </c>
      <c r="I47" s="7" t="s">
        <v>82</v>
      </c>
      <c r="J47" s="7" t="s">
        <v>1</v>
      </c>
      <c r="K47" s="7" t="s">
        <v>20</v>
      </c>
      <c r="L47" s="7" t="s">
        <v>25</v>
      </c>
      <c r="M47" s="7" t="s">
        <v>32</v>
      </c>
      <c r="N47" s="7" t="s">
        <v>33</v>
      </c>
      <c r="O47" s="7" t="s">
        <v>34</v>
      </c>
      <c r="P47" s="7">
        <v>1</v>
      </c>
      <c r="Q47" s="9">
        <v>730</v>
      </c>
      <c r="R47" s="9">
        <v>824.9</v>
      </c>
      <c r="S47" s="10">
        <v>7.0000000000000007E-2</v>
      </c>
      <c r="T47" s="9">
        <v>767.15700000000004</v>
      </c>
      <c r="U47" s="9">
        <v>730</v>
      </c>
      <c r="V47" s="9">
        <v>37.156999999999996</v>
      </c>
      <c r="W47" s="10">
        <v>4.8434675040441501E-2</v>
      </c>
    </row>
    <row r="48" spans="1:23" x14ac:dyDescent="0.3">
      <c r="A48" s="7" t="s">
        <v>262</v>
      </c>
      <c r="B48" s="7" t="s">
        <v>263</v>
      </c>
      <c r="C48" s="7" t="s">
        <v>264</v>
      </c>
      <c r="D48" s="7" t="s">
        <v>265</v>
      </c>
      <c r="E48" s="7" t="s">
        <v>81</v>
      </c>
      <c r="F48" s="8">
        <v>45874</v>
      </c>
      <c r="G48" s="8">
        <v>45875</v>
      </c>
      <c r="H48" s="8">
        <v>45879</v>
      </c>
      <c r="I48" s="7" t="s">
        <v>72</v>
      </c>
      <c r="J48" s="7" t="s">
        <v>1</v>
      </c>
      <c r="K48" s="7" t="s">
        <v>19</v>
      </c>
      <c r="L48" s="7" t="s">
        <v>23</v>
      </c>
      <c r="M48" s="7" t="s">
        <v>59</v>
      </c>
      <c r="N48" s="7" t="s">
        <v>27</v>
      </c>
      <c r="O48" s="7" t="s">
        <v>60</v>
      </c>
      <c r="P48" s="7">
        <v>7</v>
      </c>
      <c r="Q48" s="9">
        <v>1230</v>
      </c>
      <c r="R48" s="9">
        <v>1328.4</v>
      </c>
      <c r="S48" s="10">
        <v>0.03</v>
      </c>
      <c r="T48" s="9">
        <v>9019.8359999999993</v>
      </c>
      <c r="U48" s="9">
        <v>8610</v>
      </c>
      <c r="V48" s="9">
        <v>409.83600000000001</v>
      </c>
      <c r="W48" s="10">
        <v>4.5437189767086703E-2</v>
      </c>
    </row>
    <row r="49" spans="1:23" x14ac:dyDescent="0.3">
      <c r="A49" s="7" t="s">
        <v>266</v>
      </c>
      <c r="B49" s="7" t="s">
        <v>267</v>
      </c>
      <c r="C49" s="7" t="s">
        <v>268</v>
      </c>
      <c r="D49" s="7" t="s">
        <v>269</v>
      </c>
      <c r="E49" s="7" t="s">
        <v>217</v>
      </c>
      <c r="F49" s="8">
        <v>45478</v>
      </c>
      <c r="G49" s="8">
        <v>45478</v>
      </c>
      <c r="H49" s="8">
        <v>45481</v>
      </c>
      <c r="I49" s="7" t="s">
        <v>82</v>
      </c>
      <c r="J49" s="7" t="s">
        <v>2362</v>
      </c>
      <c r="K49" s="7" t="s">
        <v>20</v>
      </c>
      <c r="L49" s="7" t="s">
        <v>22</v>
      </c>
      <c r="M49" s="7" t="s">
        <v>29</v>
      </c>
      <c r="N49" s="7" t="s">
        <v>27</v>
      </c>
      <c r="O49" s="7" t="s">
        <v>28</v>
      </c>
      <c r="P49" s="7">
        <v>4</v>
      </c>
      <c r="Q49" s="9">
        <v>3930</v>
      </c>
      <c r="R49" s="9">
        <v>4362.3</v>
      </c>
      <c r="S49" s="10">
        <v>0.06</v>
      </c>
      <c r="T49" s="9">
        <v>16402.248</v>
      </c>
      <c r="U49" s="9">
        <v>15720</v>
      </c>
      <c r="V49" s="9">
        <v>682.24800000000005</v>
      </c>
      <c r="W49" s="10">
        <v>4.1594786275637299E-2</v>
      </c>
    </row>
    <row r="50" spans="1:23" x14ac:dyDescent="0.3">
      <c r="A50" s="7" t="s">
        <v>270</v>
      </c>
      <c r="B50" s="7" t="s">
        <v>271</v>
      </c>
      <c r="C50" s="7" t="s">
        <v>272</v>
      </c>
      <c r="D50" s="7" t="s">
        <v>273</v>
      </c>
      <c r="E50" s="7" t="s">
        <v>114</v>
      </c>
      <c r="F50" s="8">
        <v>45767</v>
      </c>
      <c r="G50" s="8">
        <v>45767</v>
      </c>
      <c r="H50" s="8">
        <v>45770</v>
      </c>
      <c r="I50" s="7" t="s">
        <v>72</v>
      </c>
      <c r="J50" s="7" t="s">
        <v>2362</v>
      </c>
      <c r="K50" s="7" t="s">
        <v>20</v>
      </c>
      <c r="L50" s="7" t="s">
        <v>25</v>
      </c>
      <c r="M50" s="7" t="s">
        <v>51</v>
      </c>
      <c r="N50" s="7" t="s">
        <v>33</v>
      </c>
      <c r="O50" s="7" t="s">
        <v>52</v>
      </c>
      <c r="P50" s="7">
        <v>9</v>
      </c>
      <c r="Q50" s="9">
        <v>280</v>
      </c>
      <c r="R50" s="9">
        <v>336</v>
      </c>
      <c r="S50" s="10">
        <v>0.02</v>
      </c>
      <c r="T50" s="9">
        <v>2963.52</v>
      </c>
      <c r="U50" s="9">
        <v>2520</v>
      </c>
      <c r="V50" s="9">
        <v>443.52</v>
      </c>
      <c r="W50" s="10">
        <v>0.14965986394557801</v>
      </c>
    </row>
    <row r="51" spans="1:23" x14ac:dyDescent="0.3">
      <c r="A51" s="7" t="s">
        <v>274</v>
      </c>
      <c r="B51" s="7" t="s">
        <v>275</v>
      </c>
      <c r="C51" s="7" t="s">
        <v>276</v>
      </c>
      <c r="D51" s="7" t="s">
        <v>277</v>
      </c>
      <c r="E51" s="7" t="s">
        <v>141</v>
      </c>
      <c r="F51" s="8">
        <v>46012</v>
      </c>
      <c r="G51" s="8">
        <v>46012</v>
      </c>
      <c r="H51" s="8">
        <v>46015</v>
      </c>
      <c r="I51" s="7" t="s">
        <v>72</v>
      </c>
      <c r="J51" s="7" t="s">
        <v>2363</v>
      </c>
      <c r="K51" s="7" t="s">
        <v>21</v>
      </c>
      <c r="L51" s="7" t="s">
        <v>25</v>
      </c>
      <c r="M51" s="7" t="s">
        <v>35</v>
      </c>
      <c r="N51" s="7" t="s">
        <v>33</v>
      </c>
      <c r="O51" s="7" t="s">
        <v>36</v>
      </c>
      <c r="P51" s="7">
        <v>14</v>
      </c>
      <c r="Q51" s="9">
        <v>1530</v>
      </c>
      <c r="R51" s="9">
        <v>1790.1</v>
      </c>
      <c r="S51" s="10">
        <v>0.08</v>
      </c>
      <c r="T51" s="9">
        <v>23056.488000000001</v>
      </c>
      <c r="U51" s="9">
        <v>21420</v>
      </c>
      <c r="V51" s="9">
        <v>1636.4880000000001</v>
      </c>
      <c r="W51" s="10">
        <v>7.0977331846897099E-2</v>
      </c>
    </row>
    <row r="52" spans="1:23" x14ac:dyDescent="0.3">
      <c r="A52" s="7" t="s">
        <v>278</v>
      </c>
      <c r="B52" s="7" t="s">
        <v>205</v>
      </c>
      <c r="C52" s="7" t="s">
        <v>279</v>
      </c>
      <c r="D52" s="7" t="s">
        <v>280</v>
      </c>
      <c r="E52" s="7" t="s">
        <v>100</v>
      </c>
      <c r="F52" s="8">
        <v>45363</v>
      </c>
      <c r="G52" s="8">
        <v>45363</v>
      </c>
      <c r="H52" s="8">
        <v>45366</v>
      </c>
      <c r="I52" s="7" t="s">
        <v>72</v>
      </c>
      <c r="J52" s="7" t="s">
        <v>2</v>
      </c>
      <c r="K52" s="7" t="s">
        <v>20</v>
      </c>
      <c r="L52" s="7" t="s">
        <v>61</v>
      </c>
      <c r="M52" s="7" t="s">
        <v>42</v>
      </c>
      <c r="N52" s="7" t="s">
        <v>27</v>
      </c>
      <c r="O52" s="7" t="s">
        <v>28</v>
      </c>
      <c r="P52" s="7">
        <v>9</v>
      </c>
      <c r="Q52" s="9">
        <v>3030</v>
      </c>
      <c r="R52" s="9">
        <v>3211.8</v>
      </c>
      <c r="S52" s="10">
        <v>0.1</v>
      </c>
      <c r="T52" s="9">
        <v>26015.58</v>
      </c>
      <c r="U52" s="9">
        <v>27270</v>
      </c>
      <c r="V52" s="9">
        <v>-1254.42</v>
      </c>
      <c r="W52" s="10">
        <v>-4.8218029350104802E-2</v>
      </c>
    </row>
    <row r="53" spans="1:23" x14ac:dyDescent="0.3">
      <c r="A53" s="7" t="s">
        <v>281</v>
      </c>
      <c r="B53" s="7" t="s">
        <v>74</v>
      </c>
      <c r="C53" s="7" t="s">
        <v>282</v>
      </c>
      <c r="D53" s="7" t="s">
        <v>283</v>
      </c>
      <c r="E53" s="7" t="s">
        <v>109</v>
      </c>
      <c r="F53" s="8">
        <v>45594</v>
      </c>
      <c r="G53" s="8">
        <v>45594</v>
      </c>
      <c r="H53" s="8">
        <v>45599</v>
      </c>
      <c r="I53" s="7" t="s">
        <v>72</v>
      </c>
      <c r="J53" s="7" t="s">
        <v>2</v>
      </c>
      <c r="K53" s="7" t="s">
        <v>19</v>
      </c>
      <c r="L53" s="7" t="s">
        <v>61</v>
      </c>
      <c r="M53" s="7" t="s">
        <v>2365</v>
      </c>
      <c r="N53" s="7" t="s">
        <v>27</v>
      </c>
      <c r="O53" s="7" t="s">
        <v>56</v>
      </c>
      <c r="P53" s="7">
        <v>7</v>
      </c>
      <c r="Q53" s="9">
        <v>650</v>
      </c>
      <c r="R53" s="9">
        <v>663</v>
      </c>
      <c r="S53" s="10">
        <v>0.02</v>
      </c>
      <c r="T53" s="9">
        <v>4548.18</v>
      </c>
      <c r="U53" s="9">
        <v>4550</v>
      </c>
      <c r="V53" s="9">
        <v>-1.82</v>
      </c>
      <c r="W53" s="10">
        <v>-4.0016006402561E-4</v>
      </c>
    </row>
    <row r="54" spans="1:23" x14ac:dyDescent="0.3">
      <c r="A54" s="7" t="s">
        <v>284</v>
      </c>
      <c r="B54" s="7" t="s">
        <v>285</v>
      </c>
      <c r="C54" s="7" t="s">
        <v>286</v>
      </c>
      <c r="D54" s="7" t="s">
        <v>287</v>
      </c>
      <c r="E54" s="7" t="s">
        <v>187</v>
      </c>
      <c r="F54" s="8">
        <v>45857</v>
      </c>
      <c r="G54" s="8">
        <v>45857</v>
      </c>
      <c r="H54" s="8">
        <v>45862</v>
      </c>
      <c r="I54" s="7" t="s">
        <v>72</v>
      </c>
      <c r="J54" s="7" t="s">
        <v>2</v>
      </c>
      <c r="K54" s="7" t="s">
        <v>21</v>
      </c>
      <c r="L54" s="7" t="s">
        <v>22</v>
      </c>
      <c r="M54" s="7" t="s">
        <v>2367</v>
      </c>
      <c r="N54" s="7" t="s">
        <v>38</v>
      </c>
      <c r="O54" s="7" t="s">
        <v>41</v>
      </c>
      <c r="P54" s="7">
        <v>14</v>
      </c>
      <c r="Q54" s="9">
        <v>170</v>
      </c>
      <c r="R54" s="9">
        <v>188.7</v>
      </c>
      <c r="S54" s="10">
        <v>0.02</v>
      </c>
      <c r="T54" s="9">
        <v>2588.9639999999999</v>
      </c>
      <c r="U54" s="9">
        <v>2380</v>
      </c>
      <c r="V54" s="9">
        <v>208.964</v>
      </c>
      <c r="W54" s="10">
        <v>8.0713366427652103E-2</v>
      </c>
    </row>
    <row r="55" spans="1:23" x14ac:dyDescent="0.3">
      <c r="A55" s="7" t="s">
        <v>288</v>
      </c>
      <c r="B55" s="7" t="s">
        <v>271</v>
      </c>
      <c r="C55" s="7" t="s">
        <v>289</v>
      </c>
      <c r="D55" s="7" t="s">
        <v>290</v>
      </c>
      <c r="E55" s="7" t="s">
        <v>291</v>
      </c>
      <c r="F55" s="8">
        <v>45999</v>
      </c>
      <c r="G55" s="8">
        <v>45999</v>
      </c>
      <c r="H55" s="8">
        <v>46001</v>
      </c>
      <c r="I55" s="7" t="s">
        <v>72</v>
      </c>
      <c r="J55" s="7" t="s">
        <v>2364</v>
      </c>
      <c r="K55" s="7" t="s">
        <v>20</v>
      </c>
      <c r="L55" s="7" t="s">
        <v>25</v>
      </c>
      <c r="M55" s="7" t="s">
        <v>57</v>
      </c>
      <c r="N55" s="7" t="s">
        <v>27</v>
      </c>
      <c r="O55" s="7" t="s">
        <v>58</v>
      </c>
      <c r="P55" s="7">
        <v>8</v>
      </c>
      <c r="Q55" s="9">
        <v>480</v>
      </c>
      <c r="R55" s="9">
        <v>513.6</v>
      </c>
      <c r="S55" s="10">
        <v>0.03</v>
      </c>
      <c r="T55" s="9">
        <v>3985.5360000000001</v>
      </c>
      <c r="U55" s="9">
        <v>3840</v>
      </c>
      <c r="V55" s="9">
        <v>145.536</v>
      </c>
      <c r="W55" s="10">
        <v>3.6516042007900602E-2</v>
      </c>
    </row>
    <row r="56" spans="1:23" x14ac:dyDescent="0.3">
      <c r="A56" s="7" t="s">
        <v>292</v>
      </c>
      <c r="B56" s="7" t="s">
        <v>293</v>
      </c>
      <c r="C56" s="7" t="s">
        <v>294</v>
      </c>
      <c r="D56" s="7" t="s">
        <v>295</v>
      </c>
      <c r="E56" s="7" t="s">
        <v>71</v>
      </c>
      <c r="F56" s="8">
        <v>46073</v>
      </c>
      <c r="G56" s="8">
        <v>46074</v>
      </c>
      <c r="H56" s="8">
        <v>46077</v>
      </c>
      <c r="I56" s="7" t="s">
        <v>72</v>
      </c>
      <c r="J56" s="7" t="s">
        <v>2363</v>
      </c>
      <c r="K56" s="7" t="s">
        <v>21</v>
      </c>
      <c r="L56" s="7" t="s">
        <v>61</v>
      </c>
      <c r="M56" s="7" t="s">
        <v>32</v>
      </c>
      <c r="N56" s="7" t="s">
        <v>33</v>
      </c>
      <c r="O56" s="7" t="s">
        <v>34</v>
      </c>
      <c r="P56" s="7">
        <v>7</v>
      </c>
      <c r="Q56" s="9">
        <v>730</v>
      </c>
      <c r="R56" s="9">
        <v>824.9</v>
      </c>
      <c r="S56" s="10">
        <v>0.05</v>
      </c>
      <c r="T56" s="9">
        <v>5485.585</v>
      </c>
      <c r="U56" s="9">
        <v>5110</v>
      </c>
      <c r="V56" s="9">
        <v>375.58499999999998</v>
      </c>
      <c r="W56" s="10">
        <v>6.8467629250116402E-2</v>
      </c>
    </row>
    <row r="57" spans="1:23" x14ac:dyDescent="0.3">
      <c r="A57" s="7" t="s">
        <v>296</v>
      </c>
      <c r="B57" s="7" t="s">
        <v>297</v>
      </c>
      <c r="C57" s="7" t="s">
        <v>298</v>
      </c>
      <c r="D57" s="7" t="s">
        <v>299</v>
      </c>
      <c r="E57" s="7" t="s">
        <v>178</v>
      </c>
      <c r="F57" s="8">
        <v>45293</v>
      </c>
      <c r="G57" s="8">
        <v>45294</v>
      </c>
      <c r="H57" s="8">
        <v>45295</v>
      </c>
      <c r="I57" s="7" t="s">
        <v>72</v>
      </c>
      <c r="J57" s="7" t="s">
        <v>2362</v>
      </c>
      <c r="K57" s="7" t="s">
        <v>19</v>
      </c>
      <c r="L57" s="7" t="s">
        <v>25</v>
      </c>
      <c r="M57" s="7" t="s">
        <v>47</v>
      </c>
      <c r="N57" s="7" t="s">
        <v>38</v>
      </c>
      <c r="O57" s="7" t="s">
        <v>39</v>
      </c>
      <c r="P57" s="7">
        <v>6</v>
      </c>
      <c r="Q57" s="9">
        <v>390</v>
      </c>
      <c r="R57" s="9">
        <v>468</v>
      </c>
      <c r="S57" s="10">
        <v>0</v>
      </c>
      <c r="T57" s="9">
        <v>2808</v>
      </c>
      <c r="U57" s="9">
        <v>2340</v>
      </c>
      <c r="V57" s="9">
        <v>468</v>
      </c>
      <c r="W57" s="10">
        <v>0.16666666666666699</v>
      </c>
    </row>
    <row r="58" spans="1:23" x14ac:dyDescent="0.3">
      <c r="A58" s="7" t="s">
        <v>300</v>
      </c>
      <c r="B58" s="7" t="s">
        <v>175</v>
      </c>
      <c r="C58" s="7" t="s">
        <v>301</v>
      </c>
      <c r="D58" s="7" t="s">
        <v>302</v>
      </c>
      <c r="E58" s="7" t="s">
        <v>81</v>
      </c>
      <c r="F58" s="8">
        <v>45852</v>
      </c>
      <c r="G58" s="8">
        <v>45853</v>
      </c>
      <c r="H58" s="8">
        <v>45857</v>
      </c>
      <c r="I58" s="7" t="s">
        <v>82</v>
      </c>
      <c r="J58" s="7" t="s">
        <v>2362</v>
      </c>
      <c r="K58" s="7" t="s">
        <v>20</v>
      </c>
      <c r="L58" s="7" t="s">
        <v>61</v>
      </c>
      <c r="M58" s="7" t="s">
        <v>59</v>
      </c>
      <c r="N58" s="7" t="s">
        <v>27</v>
      </c>
      <c r="O58" s="7" t="s">
        <v>60</v>
      </c>
      <c r="P58" s="7">
        <v>3</v>
      </c>
      <c r="Q58" s="9">
        <v>1230</v>
      </c>
      <c r="R58" s="9">
        <v>1328.4</v>
      </c>
      <c r="S58" s="10">
        <v>0.08</v>
      </c>
      <c r="T58" s="9">
        <v>3666.384</v>
      </c>
      <c r="U58" s="9">
        <v>3690</v>
      </c>
      <c r="V58" s="9">
        <v>-23.616</v>
      </c>
      <c r="W58" s="10">
        <v>-6.4412238325281803E-3</v>
      </c>
    </row>
    <row r="59" spans="1:23" x14ac:dyDescent="0.3">
      <c r="A59" s="7" t="s">
        <v>303</v>
      </c>
      <c r="B59" s="7" t="s">
        <v>304</v>
      </c>
      <c r="C59" s="7" t="s">
        <v>305</v>
      </c>
      <c r="D59" s="7" t="s">
        <v>306</v>
      </c>
      <c r="E59" s="7" t="s">
        <v>87</v>
      </c>
      <c r="F59" s="8">
        <v>45972</v>
      </c>
      <c r="G59" s="8">
        <v>45972</v>
      </c>
      <c r="H59" s="8">
        <v>45975</v>
      </c>
      <c r="I59" s="7" t="s">
        <v>72</v>
      </c>
      <c r="J59" s="7" t="s">
        <v>2364</v>
      </c>
      <c r="K59" s="7" t="s">
        <v>20</v>
      </c>
      <c r="L59" s="7" t="s">
        <v>22</v>
      </c>
      <c r="M59" s="7" t="s">
        <v>30</v>
      </c>
      <c r="N59" s="7" t="s">
        <v>27</v>
      </c>
      <c r="O59" s="7" t="s">
        <v>31</v>
      </c>
      <c r="P59" s="7">
        <v>8</v>
      </c>
      <c r="Q59" s="9">
        <v>1030</v>
      </c>
      <c r="R59" s="9">
        <v>1174.2</v>
      </c>
      <c r="S59" s="10">
        <v>0.04</v>
      </c>
      <c r="T59" s="9">
        <v>9017.8559999999998</v>
      </c>
      <c r="U59" s="9">
        <v>8240</v>
      </c>
      <c r="V59" s="9">
        <v>777.85599999999999</v>
      </c>
      <c r="W59" s="10">
        <v>8.6257309941520505E-2</v>
      </c>
    </row>
    <row r="60" spans="1:23" x14ac:dyDescent="0.3">
      <c r="A60" s="7" t="s">
        <v>307</v>
      </c>
      <c r="B60" s="7" t="s">
        <v>267</v>
      </c>
      <c r="C60" s="7" t="s">
        <v>308</v>
      </c>
      <c r="D60" s="7" t="s">
        <v>309</v>
      </c>
      <c r="E60" s="7" t="s">
        <v>81</v>
      </c>
      <c r="F60" s="8">
        <v>45795</v>
      </c>
      <c r="G60" s="8">
        <v>45795</v>
      </c>
      <c r="H60" s="8">
        <v>45798</v>
      </c>
      <c r="I60" s="7" t="s">
        <v>82</v>
      </c>
      <c r="J60" s="7" t="s">
        <v>2362</v>
      </c>
      <c r="K60" s="7" t="s">
        <v>19</v>
      </c>
      <c r="L60" s="7" t="s">
        <v>22</v>
      </c>
      <c r="M60" s="7" t="s">
        <v>59</v>
      </c>
      <c r="N60" s="7" t="s">
        <v>27</v>
      </c>
      <c r="O60" s="7" t="s">
        <v>60</v>
      </c>
      <c r="P60" s="7">
        <v>4</v>
      </c>
      <c r="Q60" s="9">
        <v>1230</v>
      </c>
      <c r="R60" s="9">
        <v>1328.4</v>
      </c>
      <c r="S60" s="10">
        <v>0.1</v>
      </c>
      <c r="T60" s="9">
        <v>4782.24</v>
      </c>
      <c r="U60" s="9">
        <v>4920</v>
      </c>
      <c r="V60" s="9">
        <v>-137.76</v>
      </c>
      <c r="W60" s="10">
        <v>-2.8806584362139901E-2</v>
      </c>
    </row>
    <row r="61" spans="1:23" x14ac:dyDescent="0.3">
      <c r="A61" s="7" t="s">
        <v>310</v>
      </c>
      <c r="B61" s="7" t="s">
        <v>311</v>
      </c>
      <c r="C61" s="7" t="s">
        <v>312</v>
      </c>
      <c r="D61" s="7" t="s">
        <v>313</v>
      </c>
      <c r="E61" s="7" t="s">
        <v>173</v>
      </c>
      <c r="F61" s="8">
        <v>45506</v>
      </c>
      <c r="G61" s="8">
        <v>45506</v>
      </c>
      <c r="H61" s="8">
        <v>45509</v>
      </c>
      <c r="I61" s="7" t="s">
        <v>82</v>
      </c>
      <c r="J61" s="7" t="s">
        <v>2362</v>
      </c>
      <c r="K61" s="7" t="s">
        <v>19</v>
      </c>
      <c r="L61" s="7" t="s">
        <v>22</v>
      </c>
      <c r="M61" s="7" t="s">
        <v>48</v>
      </c>
      <c r="N61" s="7" t="s">
        <v>38</v>
      </c>
      <c r="O61" s="7" t="s">
        <v>41</v>
      </c>
      <c r="P61" s="7">
        <v>4</v>
      </c>
      <c r="Q61" s="9">
        <v>580</v>
      </c>
      <c r="R61" s="9">
        <v>667</v>
      </c>
      <c r="S61" s="10">
        <v>0.08</v>
      </c>
      <c r="T61" s="9">
        <v>2454.56</v>
      </c>
      <c r="U61" s="9">
        <v>2320</v>
      </c>
      <c r="V61" s="9">
        <v>134.56</v>
      </c>
      <c r="W61" s="10">
        <v>5.4820415879017002E-2</v>
      </c>
    </row>
    <row r="62" spans="1:23" x14ac:dyDescent="0.3">
      <c r="A62" s="7" t="s">
        <v>314</v>
      </c>
      <c r="B62" s="7" t="s">
        <v>315</v>
      </c>
      <c r="C62" s="7" t="s">
        <v>316</v>
      </c>
      <c r="D62" s="7" t="s">
        <v>317</v>
      </c>
      <c r="E62" s="7" t="s">
        <v>141</v>
      </c>
      <c r="F62" s="8">
        <v>45792</v>
      </c>
      <c r="G62" s="8">
        <v>45793</v>
      </c>
      <c r="H62" s="8">
        <v>45794</v>
      </c>
      <c r="I62" s="7" t="s">
        <v>82</v>
      </c>
      <c r="J62" s="7" t="s">
        <v>1</v>
      </c>
      <c r="K62" s="7" t="s">
        <v>20</v>
      </c>
      <c r="L62" s="7" t="s">
        <v>61</v>
      </c>
      <c r="M62" s="7" t="s">
        <v>35</v>
      </c>
      <c r="N62" s="7" t="s">
        <v>33</v>
      </c>
      <c r="O62" s="7" t="s">
        <v>36</v>
      </c>
      <c r="P62" s="7">
        <v>3</v>
      </c>
      <c r="Q62" s="9">
        <v>1530</v>
      </c>
      <c r="R62" s="9">
        <v>1790.1</v>
      </c>
      <c r="S62" s="10">
        <v>0</v>
      </c>
      <c r="T62" s="9">
        <v>5370.3</v>
      </c>
      <c r="U62" s="9">
        <v>4590</v>
      </c>
      <c r="V62" s="9">
        <v>780.3</v>
      </c>
      <c r="W62" s="10">
        <v>0.145299145299145</v>
      </c>
    </row>
    <row r="63" spans="1:23" x14ac:dyDescent="0.3">
      <c r="A63" s="7" t="s">
        <v>318</v>
      </c>
      <c r="B63" s="7" t="s">
        <v>319</v>
      </c>
      <c r="C63" s="7" t="s">
        <v>320</v>
      </c>
      <c r="D63" s="7" t="s">
        <v>321</v>
      </c>
      <c r="E63" s="7" t="s">
        <v>322</v>
      </c>
      <c r="F63" s="8">
        <v>45612</v>
      </c>
      <c r="G63" s="8">
        <v>45612</v>
      </c>
      <c r="H63" s="8">
        <v>45615</v>
      </c>
      <c r="I63" s="7" t="s">
        <v>72</v>
      </c>
      <c r="J63" s="7" t="s">
        <v>2</v>
      </c>
      <c r="K63" s="7" t="s">
        <v>21</v>
      </c>
      <c r="L63" s="7" t="s">
        <v>23</v>
      </c>
      <c r="M63" s="7" t="s">
        <v>26</v>
      </c>
      <c r="N63" s="7" t="s">
        <v>27</v>
      </c>
      <c r="O63" s="7" t="s">
        <v>28</v>
      </c>
      <c r="P63" s="7">
        <v>12</v>
      </c>
      <c r="Q63" s="9">
        <v>3330</v>
      </c>
      <c r="R63" s="9">
        <v>3629.7</v>
      </c>
      <c r="S63" s="10">
        <v>0.04</v>
      </c>
      <c r="T63" s="9">
        <v>41814.144</v>
      </c>
      <c r="U63" s="9">
        <v>39960</v>
      </c>
      <c r="V63" s="9">
        <v>1854.144</v>
      </c>
      <c r="W63" s="10">
        <v>4.4342507645259897E-2</v>
      </c>
    </row>
    <row r="64" spans="1:23" x14ac:dyDescent="0.3">
      <c r="A64" s="7" t="s">
        <v>323</v>
      </c>
      <c r="B64" s="7" t="s">
        <v>324</v>
      </c>
      <c r="C64" s="7" t="s">
        <v>325</v>
      </c>
      <c r="D64" s="7" t="s">
        <v>326</v>
      </c>
      <c r="E64" s="7" t="s">
        <v>81</v>
      </c>
      <c r="F64" s="8">
        <v>45994</v>
      </c>
      <c r="G64" s="8">
        <v>45994</v>
      </c>
      <c r="H64" s="8">
        <v>45999</v>
      </c>
      <c r="I64" s="7" t="s">
        <v>72</v>
      </c>
      <c r="J64" s="7" t="s">
        <v>2363</v>
      </c>
      <c r="K64" s="7" t="s">
        <v>21</v>
      </c>
      <c r="L64" s="7" t="s">
        <v>25</v>
      </c>
      <c r="M64" s="7" t="s">
        <v>59</v>
      </c>
      <c r="N64" s="7" t="s">
        <v>27</v>
      </c>
      <c r="O64" s="7" t="s">
        <v>60</v>
      </c>
      <c r="P64" s="7">
        <v>6</v>
      </c>
      <c r="Q64" s="9">
        <v>1230</v>
      </c>
      <c r="R64" s="9">
        <v>1328.4</v>
      </c>
      <c r="S64" s="10">
        <v>0.09</v>
      </c>
      <c r="T64" s="9">
        <v>7253.0640000000003</v>
      </c>
      <c r="U64" s="9">
        <v>7380</v>
      </c>
      <c r="V64" s="9">
        <v>-126.93600000000001</v>
      </c>
      <c r="W64" s="10">
        <v>-1.7501017501017499E-2</v>
      </c>
    </row>
    <row r="65" spans="1:23" x14ac:dyDescent="0.3">
      <c r="A65" s="7" t="s">
        <v>327</v>
      </c>
      <c r="B65" s="7" t="s">
        <v>275</v>
      </c>
      <c r="C65" s="7" t="s">
        <v>328</v>
      </c>
      <c r="D65" s="7" t="s">
        <v>329</v>
      </c>
      <c r="E65" s="7" t="s">
        <v>87</v>
      </c>
      <c r="F65" s="8">
        <v>45953</v>
      </c>
      <c r="G65" s="8">
        <v>45953</v>
      </c>
      <c r="H65" s="8">
        <v>45955</v>
      </c>
      <c r="I65" s="7" t="s">
        <v>82</v>
      </c>
      <c r="J65" s="7" t="s">
        <v>2364</v>
      </c>
      <c r="K65" s="7" t="s">
        <v>20</v>
      </c>
      <c r="L65" s="7" t="s">
        <v>25</v>
      </c>
      <c r="M65" s="7" t="s">
        <v>30</v>
      </c>
      <c r="N65" s="7" t="s">
        <v>27</v>
      </c>
      <c r="O65" s="7" t="s">
        <v>31</v>
      </c>
      <c r="P65" s="7">
        <v>3</v>
      </c>
      <c r="Q65" s="9">
        <v>1030</v>
      </c>
      <c r="R65" s="9">
        <v>1174.2</v>
      </c>
      <c r="S65" s="10">
        <v>0.09</v>
      </c>
      <c r="T65" s="9">
        <v>3205.5659999999998</v>
      </c>
      <c r="U65" s="9">
        <v>3090</v>
      </c>
      <c r="V65" s="9">
        <v>115.566</v>
      </c>
      <c r="W65" s="10">
        <v>3.6051667630615E-2</v>
      </c>
    </row>
    <row r="66" spans="1:23" x14ac:dyDescent="0.3">
      <c r="A66" s="7" t="s">
        <v>330</v>
      </c>
      <c r="B66" s="7" t="s">
        <v>331</v>
      </c>
      <c r="C66" s="7" t="s">
        <v>332</v>
      </c>
      <c r="D66" s="7" t="s">
        <v>333</v>
      </c>
      <c r="E66" s="7" t="s">
        <v>81</v>
      </c>
      <c r="F66" s="8">
        <v>45300</v>
      </c>
      <c r="G66" s="8">
        <v>45300</v>
      </c>
      <c r="H66" s="8">
        <v>45303</v>
      </c>
      <c r="I66" s="7" t="s">
        <v>82</v>
      </c>
      <c r="J66" s="7" t="s">
        <v>2</v>
      </c>
      <c r="K66" s="7" t="s">
        <v>19</v>
      </c>
      <c r="L66" s="7" t="s">
        <v>61</v>
      </c>
      <c r="M66" s="7" t="s">
        <v>59</v>
      </c>
      <c r="N66" s="7" t="s">
        <v>27</v>
      </c>
      <c r="O66" s="7" t="s">
        <v>60</v>
      </c>
      <c r="P66" s="7">
        <v>2</v>
      </c>
      <c r="Q66" s="9">
        <v>1230</v>
      </c>
      <c r="R66" s="9">
        <v>1328.4</v>
      </c>
      <c r="S66" s="10">
        <v>0.05</v>
      </c>
      <c r="T66" s="9">
        <v>2523.96</v>
      </c>
      <c r="U66" s="9">
        <v>2460</v>
      </c>
      <c r="V66" s="9">
        <v>63.96</v>
      </c>
      <c r="W66" s="10">
        <v>2.5341130604288501E-2</v>
      </c>
    </row>
    <row r="67" spans="1:23" x14ac:dyDescent="0.3">
      <c r="A67" s="7" t="s">
        <v>334</v>
      </c>
      <c r="B67" s="7" t="s">
        <v>335</v>
      </c>
      <c r="C67" s="7" t="s">
        <v>336</v>
      </c>
      <c r="D67" s="7" t="s">
        <v>337</v>
      </c>
      <c r="E67" s="7" t="s">
        <v>173</v>
      </c>
      <c r="F67" s="8">
        <v>45301</v>
      </c>
      <c r="G67" s="8">
        <v>45302</v>
      </c>
      <c r="H67" s="8">
        <v>45306</v>
      </c>
      <c r="I67" s="7" t="s">
        <v>72</v>
      </c>
      <c r="J67" s="7" t="s">
        <v>1</v>
      </c>
      <c r="K67" s="7" t="s">
        <v>21</v>
      </c>
      <c r="L67" s="7" t="s">
        <v>61</v>
      </c>
      <c r="M67" s="7" t="s">
        <v>48</v>
      </c>
      <c r="N67" s="7" t="s">
        <v>38</v>
      </c>
      <c r="O67" s="7" t="s">
        <v>41</v>
      </c>
      <c r="P67" s="7">
        <v>6</v>
      </c>
      <c r="Q67" s="9">
        <v>580</v>
      </c>
      <c r="R67" s="9">
        <v>667</v>
      </c>
      <c r="S67" s="10">
        <v>0.05</v>
      </c>
      <c r="T67" s="9">
        <v>3801.9</v>
      </c>
      <c r="U67" s="9">
        <v>3480</v>
      </c>
      <c r="V67" s="9">
        <v>321.89999999999998</v>
      </c>
      <c r="W67" s="10">
        <v>8.4668192219679597E-2</v>
      </c>
    </row>
    <row r="68" spans="1:23" x14ac:dyDescent="0.3">
      <c r="A68" s="7" t="s">
        <v>338</v>
      </c>
      <c r="B68" s="7" t="s">
        <v>339</v>
      </c>
      <c r="C68" s="7" t="s">
        <v>340</v>
      </c>
      <c r="D68" s="7" t="s">
        <v>341</v>
      </c>
      <c r="E68" s="7" t="s">
        <v>95</v>
      </c>
      <c r="F68" s="8">
        <v>46107</v>
      </c>
      <c r="G68" s="8">
        <v>46108</v>
      </c>
      <c r="H68" s="8">
        <v>46112</v>
      </c>
      <c r="I68" s="7" t="s">
        <v>72</v>
      </c>
      <c r="J68" s="7" t="s">
        <v>2363</v>
      </c>
      <c r="K68" s="7" t="s">
        <v>21</v>
      </c>
      <c r="L68" s="7" t="s">
        <v>22</v>
      </c>
      <c r="M68" s="7" t="s">
        <v>49</v>
      </c>
      <c r="N68" s="7" t="s">
        <v>33</v>
      </c>
      <c r="O68" s="7" t="s">
        <v>34</v>
      </c>
      <c r="P68" s="7">
        <v>14</v>
      </c>
      <c r="Q68" s="9">
        <v>1080</v>
      </c>
      <c r="R68" s="9">
        <v>1112.4000000000001</v>
      </c>
      <c r="S68" s="10">
        <v>0.09</v>
      </c>
      <c r="T68" s="9">
        <v>14171.976000000001</v>
      </c>
      <c r="U68" s="9">
        <v>15120</v>
      </c>
      <c r="V68" s="9">
        <v>-948.024</v>
      </c>
      <c r="W68" s="10">
        <v>-6.6894270777765899E-2</v>
      </c>
    </row>
    <row r="69" spans="1:23" x14ac:dyDescent="0.3">
      <c r="A69" s="7" t="s">
        <v>342</v>
      </c>
      <c r="B69" s="7" t="s">
        <v>252</v>
      </c>
      <c r="C69" s="7" t="s">
        <v>343</v>
      </c>
      <c r="D69" s="7" t="s">
        <v>344</v>
      </c>
      <c r="E69" s="7" t="s">
        <v>217</v>
      </c>
      <c r="F69" s="8">
        <v>45593</v>
      </c>
      <c r="G69" s="8">
        <v>45593</v>
      </c>
      <c r="H69" s="8">
        <v>45598</v>
      </c>
      <c r="I69" s="7" t="s">
        <v>82</v>
      </c>
      <c r="J69" s="7" t="s">
        <v>2</v>
      </c>
      <c r="K69" s="7" t="s">
        <v>19</v>
      </c>
      <c r="L69" s="7" t="s">
        <v>22</v>
      </c>
      <c r="M69" s="7" t="s">
        <v>29</v>
      </c>
      <c r="N69" s="7" t="s">
        <v>27</v>
      </c>
      <c r="O69" s="7" t="s">
        <v>28</v>
      </c>
      <c r="P69" s="7">
        <v>1</v>
      </c>
      <c r="Q69" s="9">
        <v>3930</v>
      </c>
      <c r="R69" s="9">
        <v>4362.3</v>
      </c>
      <c r="S69" s="10">
        <v>0.08</v>
      </c>
      <c r="T69" s="9">
        <v>4013.3159999999998</v>
      </c>
      <c r="U69" s="9">
        <v>3930</v>
      </c>
      <c r="V69" s="9">
        <v>83.316000000000003</v>
      </c>
      <c r="W69" s="10">
        <v>2.0759890325107701E-2</v>
      </c>
    </row>
    <row r="70" spans="1:23" x14ac:dyDescent="0.3">
      <c r="A70" s="7" t="s">
        <v>345</v>
      </c>
      <c r="B70" s="7" t="s">
        <v>346</v>
      </c>
      <c r="C70" s="7" t="s">
        <v>347</v>
      </c>
      <c r="D70" s="7" t="s">
        <v>348</v>
      </c>
      <c r="E70" s="7" t="s">
        <v>187</v>
      </c>
      <c r="F70" s="8">
        <v>45453</v>
      </c>
      <c r="G70" s="8">
        <v>45453</v>
      </c>
      <c r="H70" s="8">
        <v>45458</v>
      </c>
      <c r="I70" s="7" t="s">
        <v>72</v>
      </c>
      <c r="J70" s="7" t="s">
        <v>2362</v>
      </c>
      <c r="K70" s="7" t="s">
        <v>21</v>
      </c>
      <c r="L70" s="7" t="s">
        <v>61</v>
      </c>
      <c r="M70" s="7" t="s">
        <v>2367</v>
      </c>
      <c r="N70" s="7" t="s">
        <v>38</v>
      </c>
      <c r="O70" s="7" t="s">
        <v>41</v>
      </c>
      <c r="P70" s="7">
        <v>14</v>
      </c>
      <c r="Q70" s="9">
        <v>170</v>
      </c>
      <c r="R70" s="9">
        <v>188.7</v>
      </c>
      <c r="S70" s="10">
        <v>0.04</v>
      </c>
      <c r="T70" s="9">
        <v>2536.1280000000002</v>
      </c>
      <c r="U70" s="9">
        <v>2380</v>
      </c>
      <c r="V70" s="9">
        <v>156.12799999999999</v>
      </c>
      <c r="W70" s="10">
        <v>6.1561561561561597E-2</v>
      </c>
    </row>
    <row r="71" spans="1:23" x14ac:dyDescent="0.3">
      <c r="A71" s="7" t="s">
        <v>349</v>
      </c>
      <c r="B71" s="7" t="s">
        <v>350</v>
      </c>
      <c r="C71" s="7" t="s">
        <v>351</v>
      </c>
      <c r="D71" s="7" t="s">
        <v>352</v>
      </c>
      <c r="E71" s="7" t="s">
        <v>132</v>
      </c>
      <c r="F71" s="8">
        <v>45333</v>
      </c>
      <c r="G71" s="8">
        <v>45333</v>
      </c>
      <c r="H71" s="8">
        <v>45337</v>
      </c>
      <c r="I71" s="7" t="s">
        <v>72</v>
      </c>
      <c r="J71" s="7" t="s">
        <v>1</v>
      </c>
      <c r="K71" s="7" t="s">
        <v>19</v>
      </c>
      <c r="L71" s="7" t="s">
        <v>24</v>
      </c>
      <c r="M71" s="7" t="s">
        <v>2366</v>
      </c>
      <c r="N71" s="7" t="s">
        <v>27</v>
      </c>
      <c r="O71" s="7" t="s">
        <v>54</v>
      </c>
      <c r="P71" s="7">
        <v>8</v>
      </c>
      <c r="Q71" s="9">
        <v>430</v>
      </c>
      <c r="R71" s="9">
        <v>455.8</v>
      </c>
      <c r="S71" s="10">
        <v>0.1</v>
      </c>
      <c r="T71" s="9">
        <v>3281.76</v>
      </c>
      <c r="U71" s="9">
        <v>3440</v>
      </c>
      <c r="V71" s="9">
        <v>-158.24</v>
      </c>
      <c r="W71" s="10">
        <v>-4.8218029350104802E-2</v>
      </c>
    </row>
    <row r="72" spans="1:23" x14ac:dyDescent="0.3">
      <c r="A72" s="7" t="s">
        <v>353</v>
      </c>
      <c r="B72" s="7" t="s">
        <v>354</v>
      </c>
      <c r="C72" s="7" t="s">
        <v>355</v>
      </c>
      <c r="D72" s="7" t="s">
        <v>356</v>
      </c>
      <c r="E72" s="7" t="s">
        <v>141</v>
      </c>
      <c r="F72" s="8">
        <v>45325</v>
      </c>
      <c r="G72" s="8">
        <v>45325</v>
      </c>
      <c r="H72" s="8">
        <v>45328</v>
      </c>
      <c r="I72" s="7" t="s">
        <v>72</v>
      </c>
      <c r="J72" s="7" t="s">
        <v>1</v>
      </c>
      <c r="K72" s="7" t="s">
        <v>21</v>
      </c>
      <c r="L72" s="7" t="s">
        <v>24</v>
      </c>
      <c r="M72" s="7" t="s">
        <v>35</v>
      </c>
      <c r="N72" s="7" t="s">
        <v>33</v>
      </c>
      <c r="O72" s="7" t="s">
        <v>36</v>
      </c>
      <c r="P72" s="7">
        <v>13</v>
      </c>
      <c r="Q72" s="9">
        <v>1530</v>
      </c>
      <c r="R72" s="9">
        <v>1790.1</v>
      </c>
      <c r="S72" s="10">
        <v>0.02</v>
      </c>
      <c r="T72" s="9">
        <v>22805.874</v>
      </c>
      <c r="U72" s="9">
        <v>19890</v>
      </c>
      <c r="V72" s="9">
        <v>2915.8739999999998</v>
      </c>
      <c r="W72" s="10">
        <v>0.12785627071341399</v>
      </c>
    </row>
    <row r="73" spans="1:23" x14ac:dyDescent="0.3">
      <c r="A73" s="7" t="s">
        <v>357</v>
      </c>
      <c r="B73" s="7" t="s">
        <v>358</v>
      </c>
      <c r="C73" s="7" t="s">
        <v>359</v>
      </c>
      <c r="D73" s="7" t="s">
        <v>360</v>
      </c>
      <c r="E73" s="7" t="s">
        <v>109</v>
      </c>
      <c r="F73" s="8">
        <v>45526</v>
      </c>
      <c r="G73" s="8">
        <v>45527</v>
      </c>
      <c r="H73" s="8">
        <v>45531</v>
      </c>
      <c r="I73" s="7" t="s">
        <v>72</v>
      </c>
      <c r="J73" s="7" t="s">
        <v>2364</v>
      </c>
      <c r="K73" s="7" t="s">
        <v>21</v>
      </c>
      <c r="L73" s="7" t="s">
        <v>25</v>
      </c>
      <c r="M73" s="7" t="s">
        <v>2365</v>
      </c>
      <c r="N73" s="7" t="s">
        <v>27</v>
      </c>
      <c r="O73" s="7" t="s">
        <v>56</v>
      </c>
      <c r="P73" s="7">
        <v>6</v>
      </c>
      <c r="Q73" s="9">
        <v>650</v>
      </c>
      <c r="R73" s="9">
        <v>663</v>
      </c>
      <c r="S73" s="10">
        <v>0.02</v>
      </c>
      <c r="T73" s="9">
        <v>3898.44</v>
      </c>
      <c r="U73" s="9">
        <v>3900</v>
      </c>
      <c r="V73" s="9">
        <v>-1.56</v>
      </c>
      <c r="W73" s="10">
        <v>-4.0016006402561E-4</v>
      </c>
    </row>
    <row r="74" spans="1:23" x14ac:dyDescent="0.3">
      <c r="A74" s="7" t="s">
        <v>361</v>
      </c>
      <c r="B74" s="7" t="s">
        <v>297</v>
      </c>
      <c r="C74" s="7" t="s">
        <v>362</v>
      </c>
      <c r="D74" s="7" t="s">
        <v>363</v>
      </c>
      <c r="E74" s="7" t="s">
        <v>164</v>
      </c>
      <c r="F74" s="8">
        <v>46126</v>
      </c>
      <c r="G74" s="8">
        <v>46126</v>
      </c>
      <c r="H74" s="8">
        <v>46128</v>
      </c>
      <c r="I74" s="7" t="s">
        <v>72</v>
      </c>
      <c r="J74" s="7" t="s">
        <v>2364</v>
      </c>
      <c r="K74" s="7" t="s">
        <v>20</v>
      </c>
      <c r="L74" s="7" t="s">
        <v>24</v>
      </c>
      <c r="M74" s="7" t="s">
        <v>43</v>
      </c>
      <c r="N74" s="7" t="s">
        <v>27</v>
      </c>
      <c r="O74" s="7" t="s">
        <v>31</v>
      </c>
      <c r="P74" s="7">
        <v>7</v>
      </c>
      <c r="Q74" s="9">
        <v>1630</v>
      </c>
      <c r="R74" s="9">
        <v>1744.1</v>
      </c>
      <c r="S74" s="10">
        <v>0.09</v>
      </c>
      <c r="T74" s="9">
        <v>11109.916999999999</v>
      </c>
      <c r="U74" s="9">
        <v>11410</v>
      </c>
      <c r="V74" s="9">
        <v>-300.08300000000003</v>
      </c>
      <c r="W74" s="10">
        <v>-2.7010372804765301E-2</v>
      </c>
    </row>
    <row r="75" spans="1:23" x14ac:dyDescent="0.3">
      <c r="A75" s="7" t="s">
        <v>364</v>
      </c>
      <c r="B75" s="7" t="s">
        <v>365</v>
      </c>
      <c r="C75" s="7" t="s">
        <v>366</v>
      </c>
      <c r="D75" s="7" t="s">
        <v>367</v>
      </c>
      <c r="E75" s="7" t="s">
        <v>164</v>
      </c>
      <c r="F75" s="8">
        <v>45517</v>
      </c>
      <c r="G75" s="8">
        <v>45518</v>
      </c>
      <c r="H75" s="8">
        <v>45520</v>
      </c>
      <c r="I75" s="7" t="s">
        <v>72</v>
      </c>
      <c r="J75" s="7" t="s">
        <v>1</v>
      </c>
      <c r="K75" s="7" t="s">
        <v>21</v>
      </c>
      <c r="L75" s="7" t="s">
        <v>23</v>
      </c>
      <c r="M75" s="7" t="s">
        <v>43</v>
      </c>
      <c r="N75" s="7" t="s">
        <v>27</v>
      </c>
      <c r="O75" s="7" t="s">
        <v>31</v>
      </c>
      <c r="P75" s="7">
        <v>15</v>
      </c>
      <c r="Q75" s="9">
        <v>1630</v>
      </c>
      <c r="R75" s="9">
        <v>1744.1</v>
      </c>
      <c r="S75" s="10">
        <v>7.0000000000000007E-2</v>
      </c>
      <c r="T75" s="9">
        <v>24330.195</v>
      </c>
      <c r="U75" s="9">
        <v>24450</v>
      </c>
      <c r="V75" s="9">
        <v>-119.80500000000001</v>
      </c>
      <c r="W75" s="10">
        <v>-4.9241282283187596E-3</v>
      </c>
    </row>
    <row r="76" spans="1:23" x14ac:dyDescent="0.3">
      <c r="A76" s="7" t="s">
        <v>368</v>
      </c>
      <c r="B76" s="7" t="s">
        <v>369</v>
      </c>
      <c r="C76" s="7" t="s">
        <v>370</v>
      </c>
      <c r="D76" s="7" t="s">
        <v>371</v>
      </c>
      <c r="E76" s="7" t="s">
        <v>100</v>
      </c>
      <c r="F76" s="8">
        <v>45972</v>
      </c>
      <c r="G76" s="8">
        <v>45973</v>
      </c>
      <c r="H76" s="8">
        <v>45974</v>
      </c>
      <c r="I76" s="7" t="s">
        <v>72</v>
      </c>
      <c r="J76" s="7" t="s">
        <v>2363</v>
      </c>
      <c r="K76" s="7" t="s">
        <v>19</v>
      </c>
      <c r="L76" s="7" t="s">
        <v>23</v>
      </c>
      <c r="M76" s="7" t="s">
        <v>42</v>
      </c>
      <c r="N76" s="7" t="s">
        <v>27</v>
      </c>
      <c r="O76" s="7" t="s">
        <v>28</v>
      </c>
      <c r="P76" s="7">
        <v>10</v>
      </c>
      <c r="Q76" s="9">
        <v>3030</v>
      </c>
      <c r="R76" s="9">
        <v>3211.8</v>
      </c>
      <c r="S76" s="10">
        <v>0.04</v>
      </c>
      <c r="T76" s="9">
        <v>30833.279999999999</v>
      </c>
      <c r="U76" s="9">
        <v>30300</v>
      </c>
      <c r="V76" s="9">
        <v>533.28</v>
      </c>
      <c r="W76" s="10">
        <v>1.7295597484276701E-2</v>
      </c>
    </row>
    <row r="77" spans="1:23" x14ac:dyDescent="0.3">
      <c r="A77" s="7" t="s">
        <v>372</v>
      </c>
      <c r="B77" s="7" t="s">
        <v>373</v>
      </c>
      <c r="C77" s="7" t="s">
        <v>374</v>
      </c>
      <c r="D77" s="7" t="s">
        <v>375</v>
      </c>
      <c r="E77" s="7" t="s">
        <v>81</v>
      </c>
      <c r="F77" s="8">
        <v>45545</v>
      </c>
      <c r="G77" s="8">
        <v>45545</v>
      </c>
      <c r="H77" s="8">
        <v>45550</v>
      </c>
      <c r="I77" s="7" t="s">
        <v>72</v>
      </c>
      <c r="J77" s="7" t="s">
        <v>2363</v>
      </c>
      <c r="K77" s="7" t="s">
        <v>20</v>
      </c>
      <c r="L77" s="7" t="s">
        <v>23</v>
      </c>
      <c r="M77" s="7" t="s">
        <v>59</v>
      </c>
      <c r="N77" s="7" t="s">
        <v>27</v>
      </c>
      <c r="O77" s="7" t="s">
        <v>60</v>
      </c>
      <c r="P77" s="7">
        <v>7</v>
      </c>
      <c r="Q77" s="9">
        <v>1230</v>
      </c>
      <c r="R77" s="9">
        <v>1328.4</v>
      </c>
      <c r="S77" s="10">
        <v>7.0000000000000007E-2</v>
      </c>
      <c r="T77" s="9">
        <v>8647.884</v>
      </c>
      <c r="U77" s="9">
        <v>8610</v>
      </c>
      <c r="V77" s="9">
        <v>37.884</v>
      </c>
      <c r="W77" s="10">
        <v>4.3807248108323404E-3</v>
      </c>
    </row>
    <row r="78" spans="1:23" x14ac:dyDescent="0.3">
      <c r="A78" s="7" t="s">
        <v>376</v>
      </c>
      <c r="B78" s="7" t="s">
        <v>377</v>
      </c>
      <c r="C78" s="7" t="s">
        <v>378</v>
      </c>
      <c r="D78" s="7" t="s">
        <v>379</v>
      </c>
      <c r="E78" s="7" t="s">
        <v>322</v>
      </c>
      <c r="F78" s="8">
        <v>45537</v>
      </c>
      <c r="G78" s="8">
        <v>45538</v>
      </c>
      <c r="H78" s="8">
        <v>45541</v>
      </c>
      <c r="I78" s="7" t="s">
        <v>72</v>
      </c>
      <c r="J78" s="7" t="s">
        <v>2363</v>
      </c>
      <c r="K78" s="7" t="s">
        <v>19</v>
      </c>
      <c r="L78" s="7" t="s">
        <v>24</v>
      </c>
      <c r="M78" s="7" t="s">
        <v>26</v>
      </c>
      <c r="N78" s="7" t="s">
        <v>27</v>
      </c>
      <c r="O78" s="7" t="s">
        <v>28</v>
      </c>
      <c r="P78" s="7">
        <v>8</v>
      </c>
      <c r="Q78" s="9">
        <v>3330</v>
      </c>
      <c r="R78" s="9">
        <v>3629.7</v>
      </c>
      <c r="S78" s="10">
        <v>0.03</v>
      </c>
      <c r="T78" s="9">
        <v>28166.472000000002</v>
      </c>
      <c r="U78" s="9">
        <v>26640</v>
      </c>
      <c r="V78" s="9">
        <v>1526.472</v>
      </c>
      <c r="W78" s="10">
        <v>5.4194646741700603E-2</v>
      </c>
    </row>
    <row r="79" spans="1:23" x14ac:dyDescent="0.3">
      <c r="A79" s="7" t="s">
        <v>380</v>
      </c>
      <c r="B79" s="7" t="s">
        <v>381</v>
      </c>
      <c r="C79" s="7" t="s">
        <v>382</v>
      </c>
      <c r="D79" s="7" t="s">
        <v>383</v>
      </c>
      <c r="E79" s="7" t="s">
        <v>87</v>
      </c>
      <c r="F79" s="8">
        <v>45736</v>
      </c>
      <c r="G79" s="8">
        <v>45737</v>
      </c>
      <c r="H79" s="8">
        <v>45738</v>
      </c>
      <c r="I79" s="7" t="s">
        <v>72</v>
      </c>
      <c r="J79" s="7" t="s">
        <v>2</v>
      </c>
      <c r="K79" s="7" t="s">
        <v>20</v>
      </c>
      <c r="L79" s="7" t="s">
        <v>61</v>
      </c>
      <c r="M79" s="7" t="s">
        <v>30</v>
      </c>
      <c r="N79" s="7" t="s">
        <v>27</v>
      </c>
      <c r="O79" s="7" t="s">
        <v>31</v>
      </c>
      <c r="P79" s="7">
        <v>9</v>
      </c>
      <c r="Q79" s="9">
        <v>1030</v>
      </c>
      <c r="R79" s="9">
        <v>1174.2</v>
      </c>
      <c r="S79" s="10">
        <v>0.01</v>
      </c>
      <c r="T79" s="9">
        <v>10462.121999999999</v>
      </c>
      <c r="U79" s="9">
        <v>9270</v>
      </c>
      <c r="V79" s="9">
        <v>1192.1220000000001</v>
      </c>
      <c r="W79" s="10">
        <v>0.113946482367535</v>
      </c>
    </row>
    <row r="80" spans="1:23" x14ac:dyDescent="0.3">
      <c r="A80" s="7" t="s">
        <v>384</v>
      </c>
      <c r="B80" s="7" t="s">
        <v>385</v>
      </c>
      <c r="C80" s="7" t="s">
        <v>386</v>
      </c>
      <c r="D80" s="7" t="s">
        <v>387</v>
      </c>
      <c r="E80" s="7" t="s">
        <v>109</v>
      </c>
      <c r="F80" s="8">
        <v>46037</v>
      </c>
      <c r="G80" s="8">
        <v>46037</v>
      </c>
      <c r="H80" s="8">
        <v>46041</v>
      </c>
      <c r="I80" s="7" t="s">
        <v>72</v>
      </c>
      <c r="J80" s="7" t="s">
        <v>2364</v>
      </c>
      <c r="K80" s="7" t="s">
        <v>21</v>
      </c>
      <c r="L80" s="7" t="s">
        <v>22</v>
      </c>
      <c r="M80" s="7" t="s">
        <v>2365</v>
      </c>
      <c r="N80" s="7" t="s">
        <v>27</v>
      </c>
      <c r="O80" s="7" t="s">
        <v>56</v>
      </c>
      <c r="P80" s="7">
        <v>8</v>
      </c>
      <c r="Q80" s="9">
        <v>650</v>
      </c>
      <c r="R80" s="9">
        <v>663</v>
      </c>
      <c r="S80" s="10">
        <v>0.04</v>
      </c>
      <c r="T80" s="9">
        <v>5091.84</v>
      </c>
      <c r="U80" s="9">
        <v>5200</v>
      </c>
      <c r="V80" s="9">
        <v>-108.16</v>
      </c>
      <c r="W80" s="10">
        <v>-2.1241830065359499E-2</v>
      </c>
    </row>
    <row r="81" spans="1:23" x14ac:dyDescent="0.3">
      <c r="A81" s="7" t="s">
        <v>388</v>
      </c>
      <c r="B81" s="7" t="s">
        <v>389</v>
      </c>
      <c r="C81" s="7" t="s">
        <v>390</v>
      </c>
      <c r="D81" s="7" t="s">
        <v>391</v>
      </c>
      <c r="E81" s="7" t="s">
        <v>187</v>
      </c>
      <c r="F81" s="8">
        <v>45787</v>
      </c>
      <c r="G81" s="8">
        <v>45788</v>
      </c>
      <c r="H81" s="8">
        <v>45790</v>
      </c>
      <c r="I81" s="7" t="s">
        <v>72</v>
      </c>
      <c r="J81" s="7" t="s">
        <v>1</v>
      </c>
      <c r="K81" s="7" t="s">
        <v>19</v>
      </c>
      <c r="L81" s="7" t="s">
        <v>61</v>
      </c>
      <c r="M81" s="7" t="s">
        <v>2367</v>
      </c>
      <c r="N81" s="7" t="s">
        <v>38</v>
      </c>
      <c r="O81" s="7" t="s">
        <v>41</v>
      </c>
      <c r="P81" s="7">
        <v>8</v>
      </c>
      <c r="Q81" s="9">
        <v>170</v>
      </c>
      <c r="R81" s="9">
        <v>188.7</v>
      </c>
      <c r="S81" s="10">
        <v>0.06</v>
      </c>
      <c r="T81" s="9">
        <v>1419.0239999999999</v>
      </c>
      <c r="U81" s="9">
        <v>1360</v>
      </c>
      <c r="V81" s="9">
        <v>59.024000000000001</v>
      </c>
      <c r="W81" s="10">
        <v>4.1594786275637299E-2</v>
      </c>
    </row>
    <row r="82" spans="1:23" x14ac:dyDescent="0.3">
      <c r="A82" s="7" t="s">
        <v>392</v>
      </c>
      <c r="B82" s="7" t="s">
        <v>393</v>
      </c>
      <c r="C82" s="7" t="s">
        <v>394</v>
      </c>
      <c r="D82" s="7" t="s">
        <v>395</v>
      </c>
      <c r="E82" s="7" t="s">
        <v>119</v>
      </c>
      <c r="F82" s="8">
        <v>46090</v>
      </c>
      <c r="G82" s="8">
        <v>46090</v>
      </c>
      <c r="H82" s="8">
        <v>46094</v>
      </c>
      <c r="I82" s="7" t="s">
        <v>72</v>
      </c>
      <c r="J82" s="7" t="s">
        <v>2362</v>
      </c>
      <c r="K82" s="7" t="s">
        <v>20</v>
      </c>
      <c r="L82" s="7" t="s">
        <v>25</v>
      </c>
      <c r="M82" s="7" t="s">
        <v>37</v>
      </c>
      <c r="N82" s="7" t="s">
        <v>38</v>
      </c>
      <c r="O82" s="7" t="s">
        <v>39</v>
      </c>
      <c r="P82" s="7">
        <v>7</v>
      </c>
      <c r="Q82" s="9">
        <v>250</v>
      </c>
      <c r="R82" s="9">
        <v>270</v>
      </c>
      <c r="S82" s="10">
        <v>0.03</v>
      </c>
      <c r="T82" s="9">
        <v>1833.3</v>
      </c>
      <c r="U82" s="9">
        <v>1750</v>
      </c>
      <c r="V82" s="9">
        <v>83.3</v>
      </c>
      <c r="W82" s="10">
        <v>4.5437189767086703E-2</v>
      </c>
    </row>
    <row r="83" spans="1:23" x14ac:dyDescent="0.3">
      <c r="A83" s="7" t="s">
        <v>396</v>
      </c>
      <c r="B83" s="7" t="s">
        <v>134</v>
      </c>
      <c r="C83" s="7" t="s">
        <v>397</v>
      </c>
      <c r="D83" s="7" t="s">
        <v>398</v>
      </c>
      <c r="E83" s="7" t="s">
        <v>187</v>
      </c>
      <c r="F83" s="8">
        <v>45463</v>
      </c>
      <c r="G83" s="8">
        <v>45464</v>
      </c>
      <c r="H83" s="8">
        <v>45466</v>
      </c>
      <c r="I83" s="7" t="s">
        <v>82</v>
      </c>
      <c r="J83" s="7" t="s">
        <v>2364</v>
      </c>
      <c r="K83" s="7" t="s">
        <v>20</v>
      </c>
      <c r="L83" s="7" t="s">
        <v>25</v>
      </c>
      <c r="M83" s="7" t="s">
        <v>2367</v>
      </c>
      <c r="N83" s="7" t="s">
        <v>38</v>
      </c>
      <c r="O83" s="7" t="s">
        <v>41</v>
      </c>
      <c r="P83" s="7">
        <v>2</v>
      </c>
      <c r="Q83" s="9">
        <v>170</v>
      </c>
      <c r="R83" s="9">
        <v>188.7</v>
      </c>
      <c r="S83" s="10">
        <v>0.02</v>
      </c>
      <c r="T83" s="9">
        <v>369.85199999999998</v>
      </c>
      <c r="U83" s="9">
        <v>340</v>
      </c>
      <c r="V83" s="9">
        <v>29.852</v>
      </c>
      <c r="W83" s="10">
        <v>8.0713366427652103E-2</v>
      </c>
    </row>
    <row r="84" spans="1:23" x14ac:dyDescent="0.3">
      <c r="A84" s="7" t="s">
        <v>399</v>
      </c>
      <c r="B84" s="7" t="s">
        <v>400</v>
      </c>
      <c r="C84" s="7" t="s">
        <v>401</v>
      </c>
      <c r="D84" s="7" t="s">
        <v>402</v>
      </c>
      <c r="E84" s="7" t="s">
        <v>114</v>
      </c>
      <c r="F84" s="8">
        <v>45484</v>
      </c>
      <c r="G84" s="8">
        <v>45484</v>
      </c>
      <c r="H84" s="8">
        <v>45487</v>
      </c>
      <c r="I84" s="7" t="s">
        <v>72</v>
      </c>
      <c r="J84" s="7" t="s">
        <v>1</v>
      </c>
      <c r="K84" s="7" t="s">
        <v>21</v>
      </c>
      <c r="L84" s="7" t="s">
        <v>24</v>
      </c>
      <c r="M84" s="7" t="s">
        <v>51</v>
      </c>
      <c r="N84" s="7" t="s">
        <v>33</v>
      </c>
      <c r="O84" s="7" t="s">
        <v>52</v>
      </c>
      <c r="P84" s="7">
        <v>7</v>
      </c>
      <c r="Q84" s="9">
        <v>280</v>
      </c>
      <c r="R84" s="9">
        <v>336</v>
      </c>
      <c r="S84" s="10">
        <v>0.1</v>
      </c>
      <c r="T84" s="9">
        <v>2116.8000000000002</v>
      </c>
      <c r="U84" s="9">
        <v>1960</v>
      </c>
      <c r="V84" s="9">
        <v>156.80000000000001</v>
      </c>
      <c r="W84" s="10">
        <v>7.4074074074074098E-2</v>
      </c>
    </row>
    <row r="85" spans="1:23" x14ac:dyDescent="0.3">
      <c r="A85" s="7" t="s">
        <v>403</v>
      </c>
      <c r="B85" s="7" t="s">
        <v>404</v>
      </c>
      <c r="C85" s="7" t="s">
        <v>405</v>
      </c>
      <c r="D85" s="7" t="s">
        <v>406</v>
      </c>
      <c r="E85" s="7" t="s">
        <v>217</v>
      </c>
      <c r="F85" s="8">
        <v>45439</v>
      </c>
      <c r="G85" s="8">
        <v>45439</v>
      </c>
      <c r="H85" s="8">
        <v>45441</v>
      </c>
      <c r="I85" s="7" t="s">
        <v>72</v>
      </c>
      <c r="J85" s="7" t="s">
        <v>1</v>
      </c>
      <c r="K85" s="7" t="s">
        <v>20</v>
      </c>
      <c r="L85" s="7" t="s">
        <v>25</v>
      </c>
      <c r="M85" s="7" t="s">
        <v>29</v>
      </c>
      <c r="N85" s="7" t="s">
        <v>27</v>
      </c>
      <c r="O85" s="7" t="s">
        <v>28</v>
      </c>
      <c r="P85" s="7">
        <v>9</v>
      </c>
      <c r="Q85" s="9">
        <v>3930</v>
      </c>
      <c r="R85" s="9">
        <v>4362.3</v>
      </c>
      <c r="S85" s="10">
        <v>7.0000000000000007E-2</v>
      </c>
      <c r="T85" s="9">
        <v>36512.451000000001</v>
      </c>
      <c r="U85" s="9">
        <v>35370</v>
      </c>
      <c r="V85" s="9">
        <v>1142.451</v>
      </c>
      <c r="W85" s="10">
        <v>3.1289353869999002E-2</v>
      </c>
    </row>
    <row r="86" spans="1:23" x14ac:dyDescent="0.3">
      <c r="A86" s="7" t="s">
        <v>407</v>
      </c>
      <c r="B86" s="7" t="s">
        <v>408</v>
      </c>
      <c r="C86" s="7" t="s">
        <v>409</v>
      </c>
      <c r="D86" s="7" t="s">
        <v>410</v>
      </c>
      <c r="E86" s="7" t="s">
        <v>187</v>
      </c>
      <c r="F86" s="8">
        <v>45584</v>
      </c>
      <c r="G86" s="8">
        <v>45585</v>
      </c>
      <c r="H86" s="8">
        <v>45586</v>
      </c>
      <c r="I86" s="7" t="s">
        <v>72</v>
      </c>
      <c r="J86" s="7" t="s">
        <v>1</v>
      </c>
      <c r="K86" s="7" t="s">
        <v>21</v>
      </c>
      <c r="L86" s="7" t="s">
        <v>24</v>
      </c>
      <c r="M86" s="7" t="s">
        <v>2367</v>
      </c>
      <c r="N86" s="7" t="s">
        <v>38</v>
      </c>
      <c r="O86" s="7" t="s">
        <v>41</v>
      </c>
      <c r="P86" s="7">
        <v>5</v>
      </c>
      <c r="Q86" s="9">
        <v>170</v>
      </c>
      <c r="R86" s="9">
        <v>188.7</v>
      </c>
      <c r="S86" s="10">
        <v>0.03</v>
      </c>
      <c r="T86" s="9">
        <v>915.19500000000005</v>
      </c>
      <c r="U86" s="9">
        <v>850</v>
      </c>
      <c r="V86" s="9">
        <v>65.194999999999993</v>
      </c>
      <c r="W86" s="10">
        <v>7.1236184638246505E-2</v>
      </c>
    </row>
    <row r="87" spans="1:23" x14ac:dyDescent="0.3">
      <c r="A87" s="7" t="s">
        <v>411</v>
      </c>
      <c r="B87" s="7" t="s">
        <v>412</v>
      </c>
      <c r="C87" s="7" t="s">
        <v>413</v>
      </c>
      <c r="D87" s="7" t="s">
        <v>414</v>
      </c>
      <c r="E87" s="7" t="s">
        <v>109</v>
      </c>
      <c r="F87" s="8">
        <v>45798</v>
      </c>
      <c r="G87" s="8">
        <v>45798</v>
      </c>
      <c r="H87" s="8">
        <v>45800</v>
      </c>
      <c r="I87" s="7" t="s">
        <v>72</v>
      </c>
      <c r="J87" s="7" t="s">
        <v>2362</v>
      </c>
      <c r="K87" s="7" t="s">
        <v>19</v>
      </c>
      <c r="L87" s="7" t="s">
        <v>61</v>
      </c>
      <c r="M87" s="7" t="s">
        <v>2365</v>
      </c>
      <c r="N87" s="7" t="s">
        <v>27</v>
      </c>
      <c r="O87" s="7" t="s">
        <v>56</v>
      </c>
      <c r="P87" s="7">
        <v>5</v>
      </c>
      <c r="Q87" s="9">
        <v>650</v>
      </c>
      <c r="R87" s="9">
        <v>663</v>
      </c>
      <c r="S87" s="10">
        <v>0.09</v>
      </c>
      <c r="T87" s="9">
        <v>3016.65</v>
      </c>
      <c r="U87" s="9">
        <v>3250</v>
      </c>
      <c r="V87" s="9">
        <v>-233.35</v>
      </c>
      <c r="W87" s="10">
        <v>-7.7354018530489094E-2</v>
      </c>
    </row>
    <row r="88" spans="1:23" x14ac:dyDescent="0.3">
      <c r="A88" s="7" t="s">
        <v>415</v>
      </c>
      <c r="B88" s="7" t="s">
        <v>416</v>
      </c>
      <c r="C88" s="7" t="s">
        <v>417</v>
      </c>
      <c r="D88" s="7" t="s">
        <v>418</v>
      </c>
      <c r="E88" s="7" t="s">
        <v>141</v>
      </c>
      <c r="F88" s="8">
        <v>45459</v>
      </c>
      <c r="G88" s="8">
        <v>45460</v>
      </c>
      <c r="H88" s="8">
        <v>45462</v>
      </c>
      <c r="I88" s="7" t="s">
        <v>72</v>
      </c>
      <c r="J88" s="7" t="s">
        <v>1</v>
      </c>
      <c r="K88" s="7" t="s">
        <v>19</v>
      </c>
      <c r="L88" s="7" t="s">
        <v>25</v>
      </c>
      <c r="M88" s="7" t="s">
        <v>35</v>
      </c>
      <c r="N88" s="7" t="s">
        <v>33</v>
      </c>
      <c r="O88" s="7" t="s">
        <v>36</v>
      </c>
      <c r="P88" s="7">
        <v>9</v>
      </c>
      <c r="Q88" s="9">
        <v>1530</v>
      </c>
      <c r="R88" s="9">
        <v>1790.1</v>
      </c>
      <c r="S88" s="10">
        <v>0</v>
      </c>
      <c r="T88" s="9">
        <v>16110.9</v>
      </c>
      <c r="U88" s="9">
        <v>13770</v>
      </c>
      <c r="V88" s="9">
        <v>2340.9</v>
      </c>
      <c r="W88" s="10">
        <v>0.145299145299145</v>
      </c>
    </row>
    <row r="89" spans="1:23" x14ac:dyDescent="0.3">
      <c r="A89" s="7" t="s">
        <v>419</v>
      </c>
      <c r="B89" s="7" t="s">
        <v>420</v>
      </c>
      <c r="C89" s="7" t="s">
        <v>421</v>
      </c>
      <c r="D89" s="7" t="s">
        <v>422</v>
      </c>
      <c r="E89" s="7" t="s">
        <v>192</v>
      </c>
      <c r="F89" s="8">
        <v>45400</v>
      </c>
      <c r="G89" s="8">
        <v>45401</v>
      </c>
      <c r="H89" s="8">
        <v>45405</v>
      </c>
      <c r="I89" s="7" t="s">
        <v>72</v>
      </c>
      <c r="J89" s="7" t="s">
        <v>2364</v>
      </c>
      <c r="K89" s="7" t="s">
        <v>21</v>
      </c>
      <c r="L89" s="7" t="s">
        <v>22</v>
      </c>
      <c r="M89" s="7" t="s">
        <v>46</v>
      </c>
      <c r="N89" s="7" t="s">
        <v>38</v>
      </c>
      <c r="O89" s="7" t="s">
        <v>45</v>
      </c>
      <c r="P89" s="7">
        <v>11</v>
      </c>
      <c r="Q89" s="9">
        <v>350</v>
      </c>
      <c r="R89" s="9">
        <v>364</v>
      </c>
      <c r="S89" s="10">
        <v>7.0000000000000007E-2</v>
      </c>
      <c r="T89" s="9">
        <v>3723.72</v>
      </c>
      <c r="U89" s="9">
        <v>3850</v>
      </c>
      <c r="V89" s="9">
        <v>-126.28</v>
      </c>
      <c r="W89" s="10">
        <v>-3.3912324234904902E-2</v>
      </c>
    </row>
    <row r="90" spans="1:23" x14ac:dyDescent="0.3">
      <c r="A90" s="7" t="s">
        <v>423</v>
      </c>
      <c r="B90" s="7" t="s">
        <v>424</v>
      </c>
      <c r="C90" s="7" t="s">
        <v>425</v>
      </c>
      <c r="D90" s="7" t="s">
        <v>426</v>
      </c>
      <c r="E90" s="7" t="s">
        <v>164</v>
      </c>
      <c r="F90" s="8">
        <v>46044</v>
      </c>
      <c r="G90" s="8">
        <v>46044</v>
      </c>
      <c r="H90" s="8">
        <v>46048</v>
      </c>
      <c r="I90" s="7" t="s">
        <v>72</v>
      </c>
      <c r="J90" s="7" t="s">
        <v>1</v>
      </c>
      <c r="K90" s="7" t="s">
        <v>21</v>
      </c>
      <c r="L90" s="7" t="s">
        <v>25</v>
      </c>
      <c r="M90" s="7" t="s">
        <v>43</v>
      </c>
      <c r="N90" s="7" t="s">
        <v>27</v>
      </c>
      <c r="O90" s="7" t="s">
        <v>31</v>
      </c>
      <c r="P90" s="7">
        <v>7</v>
      </c>
      <c r="Q90" s="9">
        <v>1630</v>
      </c>
      <c r="R90" s="9">
        <v>1744.1</v>
      </c>
      <c r="S90" s="10">
        <v>7.0000000000000007E-2</v>
      </c>
      <c r="T90" s="9">
        <v>11354.091</v>
      </c>
      <c r="U90" s="9">
        <v>11410</v>
      </c>
      <c r="V90" s="9">
        <v>-55.908999999999999</v>
      </c>
      <c r="W90" s="10">
        <v>-4.9241282283187596E-3</v>
      </c>
    </row>
    <row r="91" spans="1:23" x14ac:dyDescent="0.3">
      <c r="A91" s="7" t="s">
        <v>427</v>
      </c>
      <c r="B91" s="7" t="s">
        <v>428</v>
      </c>
      <c r="C91" s="7" t="s">
        <v>429</v>
      </c>
      <c r="D91" s="7" t="s">
        <v>430</v>
      </c>
      <c r="E91" s="7" t="s">
        <v>100</v>
      </c>
      <c r="F91" s="8">
        <v>45420</v>
      </c>
      <c r="G91" s="8">
        <v>45421</v>
      </c>
      <c r="H91" s="8">
        <v>45425</v>
      </c>
      <c r="I91" s="7" t="s">
        <v>72</v>
      </c>
      <c r="J91" s="7" t="s">
        <v>1</v>
      </c>
      <c r="K91" s="7" t="s">
        <v>21</v>
      </c>
      <c r="L91" s="7" t="s">
        <v>61</v>
      </c>
      <c r="M91" s="7" t="s">
        <v>42</v>
      </c>
      <c r="N91" s="7" t="s">
        <v>27</v>
      </c>
      <c r="O91" s="7" t="s">
        <v>28</v>
      </c>
      <c r="P91" s="7">
        <v>10</v>
      </c>
      <c r="Q91" s="9">
        <v>3030</v>
      </c>
      <c r="R91" s="9">
        <v>3211.8</v>
      </c>
      <c r="S91" s="10">
        <v>0.1</v>
      </c>
      <c r="T91" s="9">
        <v>28906.2</v>
      </c>
      <c r="U91" s="9">
        <v>30300</v>
      </c>
      <c r="V91" s="9">
        <v>-1393.8</v>
      </c>
      <c r="W91" s="10">
        <v>-4.8218029350104802E-2</v>
      </c>
    </row>
    <row r="92" spans="1:23" x14ac:dyDescent="0.3">
      <c r="A92" s="7" t="s">
        <v>431</v>
      </c>
      <c r="B92" s="7" t="s">
        <v>138</v>
      </c>
      <c r="C92" s="7" t="s">
        <v>432</v>
      </c>
      <c r="D92" s="7" t="s">
        <v>433</v>
      </c>
      <c r="E92" s="7" t="s">
        <v>77</v>
      </c>
      <c r="F92" s="8">
        <v>45911</v>
      </c>
      <c r="G92" s="8">
        <v>45912</v>
      </c>
      <c r="H92" s="8">
        <v>45913</v>
      </c>
      <c r="I92" s="7" t="s">
        <v>82</v>
      </c>
      <c r="J92" s="7" t="s">
        <v>1</v>
      </c>
      <c r="K92" s="7" t="s">
        <v>19</v>
      </c>
      <c r="L92" s="7" t="s">
        <v>23</v>
      </c>
      <c r="M92" s="7" t="s">
        <v>44</v>
      </c>
      <c r="N92" s="7" t="s">
        <v>38</v>
      </c>
      <c r="O92" s="7" t="s">
        <v>45</v>
      </c>
      <c r="P92" s="7">
        <v>1</v>
      </c>
      <c r="Q92" s="9">
        <v>210</v>
      </c>
      <c r="R92" s="9">
        <v>222.6</v>
      </c>
      <c r="S92" s="10">
        <v>0.04</v>
      </c>
      <c r="T92" s="9">
        <v>213.696</v>
      </c>
      <c r="U92" s="9">
        <v>210</v>
      </c>
      <c r="V92" s="9">
        <v>3.6960000000000002</v>
      </c>
      <c r="W92" s="10">
        <v>1.7295597484276701E-2</v>
      </c>
    </row>
    <row r="93" spans="1:23" x14ac:dyDescent="0.3">
      <c r="A93" s="7" t="s">
        <v>434</v>
      </c>
      <c r="B93" s="7" t="s">
        <v>435</v>
      </c>
      <c r="C93" s="7" t="s">
        <v>436</v>
      </c>
      <c r="D93" s="7" t="s">
        <v>437</v>
      </c>
      <c r="E93" s="7" t="s">
        <v>109</v>
      </c>
      <c r="F93" s="8">
        <v>45696</v>
      </c>
      <c r="G93" s="8">
        <v>45697</v>
      </c>
      <c r="H93" s="8">
        <v>45698</v>
      </c>
      <c r="I93" s="7" t="s">
        <v>72</v>
      </c>
      <c r="J93" s="7" t="s">
        <v>2363</v>
      </c>
      <c r="K93" s="7" t="s">
        <v>19</v>
      </c>
      <c r="L93" s="7" t="s">
        <v>23</v>
      </c>
      <c r="M93" s="7" t="s">
        <v>2365</v>
      </c>
      <c r="N93" s="7" t="s">
        <v>27</v>
      </c>
      <c r="O93" s="7" t="s">
        <v>56</v>
      </c>
      <c r="P93" s="7">
        <v>8</v>
      </c>
      <c r="Q93" s="9">
        <v>650</v>
      </c>
      <c r="R93" s="9">
        <v>663</v>
      </c>
      <c r="S93" s="10">
        <v>0.01</v>
      </c>
      <c r="T93" s="9">
        <v>5250.96</v>
      </c>
      <c r="U93" s="9">
        <v>5200</v>
      </c>
      <c r="V93" s="9">
        <v>50.96</v>
      </c>
      <c r="W93" s="10">
        <v>9.7048920578332396E-3</v>
      </c>
    </row>
    <row r="94" spans="1:23" x14ac:dyDescent="0.3">
      <c r="A94" s="7" t="s">
        <v>438</v>
      </c>
      <c r="B94" s="7" t="s">
        <v>158</v>
      </c>
      <c r="C94" s="7" t="s">
        <v>439</v>
      </c>
      <c r="D94" s="7" t="s">
        <v>440</v>
      </c>
      <c r="E94" s="7" t="s">
        <v>322</v>
      </c>
      <c r="F94" s="8">
        <v>45419</v>
      </c>
      <c r="G94" s="8">
        <v>45420</v>
      </c>
      <c r="H94" s="8">
        <v>45424</v>
      </c>
      <c r="I94" s="7" t="s">
        <v>82</v>
      </c>
      <c r="J94" s="7" t="s">
        <v>2</v>
      </c>
      <c r="K94" s="7" t="s">
        <v>20</v>
      </c>
      <c r="L94" s="7" t="s">
        <v>23</v>
      </c>
      <c r="M94" s="7" t="s">
        <v>26</v>
      </c>
      <c r="N94" s="7" t="s">
        <v>27</v>
      </c>
      <c r="O94" s="7" t="s">
        <v>28</v>
      </c>
      <c r="P94" s="7">
        <v>4</v>
      </c>
      <c r="Q94" s="9">
        <v>3330</v>
      </c>
      <c r="R94" s="9">
        <v>3629.7</v>
      </c>
      <c r="S94" s="10">
        <v>0</v>
      </c>
      <c r="T94" s="9">
        <v>14518.8</v>
      </c>
      <c r="U94" s="9">
        <v>13320</v>
      </c>
      <c r="V94" s="9">
        <v>1198.8</v>
      </c>
      <c r="W94" s="10">
        <v>8.2568807339449601E-2</v>
      </c>
    </row>
    <row r="95" spans="1:23" x14ac:dyDescent="0.3">
      <c r="A95" s="7" t="s">
        <v>441</v>
      </c>
      <c r="B95" s="7" t="s">
        <v>442</v>
      </c>
      <c r="C95" s="7" t="s">
        <v>443</v>
      </c>
      <c r="D95" s="7" t="s">
        <v>444</v>
      </c>
      <c r="E95" s="7" t="s">
        <v>291</v>
      </c>
      <c r="F95" s="8">
        <v>45474</v>
      </c>
      <c r="G95" s="8">
        <v>45474</v>
      </c>
      <c r="H95" s="8">
        <v>45476</v>
      </c>
      <c r="I95" s="7" t="s">
        <v>72</v>
      </c>
      <c r="J95" s="7" t="s">
        <v>2364</v>
      </c>
      <c r="K95" s="7" t="s">
        <v>21</v>
      </c>
      <c r="L95" s="7" t="s">
        <v>24</v>
      </c>
      <c r="M95" s="7" t="s">
        <v>57</v>
      </c>
      <c r="N95" s="7" t="s">
        <v>27</v>
      </c>
      <c r="O95" s="7" t="s">
        <v>58</v>
      </c>
      <c r="P95" s="7">
        <v>11</v>
      </c>
      <c r="Q95" s="9">
        <v>480</v>
      </c>
      <c r="R95" s="9">
        <v>513.6</v>
      </c>
      <c r="S95" s="10">
        <v>0.05</v>
      </c>
      <c r="T95" s="9">
        <v>5367.12</v>
      </c>
      <c r="U95" s="9">
        <v>5280</v>
      </c>
      <c r="V95" s="9">
        <v>87.12</v>
      </c>
      <c r="W95" s="10">
        <v>1.6232169208066902E-2</v>
      </c>
    </row>
    <row r="96" spans="1:23" x14ac:dyDescent="0.3">
      <c r="A96" s="7" t="s">
        <v>445</v>
      </c>
      <c r="B96" s="7" t="s">
        <v>446</v>
      </c>
      <c r="C96" s="7" t="s">
        <v>447</v>
      </c>
      <c r="D96" s="7" t="s">
        <v>448</v>
      </c>
      <c r="E96" s="7" t="s">
        <v>192</v>
      </c>
      <c r="F96" s="8">
        <v>45665</v>
      </c>
      <c r="G96" s="8">
        <v>45665</v>
      </c>
      <c r="H96" s="8">
        <v>45669</v>
      </c>
      <c r="I96" s="7" t="s">
        <v>72</v>
      </c>
      <c r="J96" s="7" t="s">
        <v>2362</v>
      </c>
      <c r="K96" s="7" t="s">
        <v>19</v>
      </c>
      <c r="L96" s="7" t="s">
        <v>61</v>
      </c>
      <c r="M96" s="7" t="s">
        <v>46</v>
      </c>
      <c r="N96" s="7" t="s">
        <v>38</v>
      </c>
      <c r="O96" s="7" t="s">
        <v>45</v>
      </c>
      <c r="P96" s="7">
        <v>9</v>
      </c>
      <c r="Q96" s="9">
        <v>350</v>
      </c>
      <c r="R96" s="9">
        <v>364</v>
      </c>
      <c r="S96" s="10">
        <v>0</v>
      </c>
      <c r="T96" s="9">
        <v>3276</v>
      </c>
      <c r="U96" s="9">
        <v>3150</v>
      </c>
      <c r="V96" s="9">
        <v>126</v>
      </c>
      <c r="W96" s="10">
        <v>3.8461538461538498E-2</v>
      </c>
    </row>
    <row r="97" spans="1:23" x14ac:dyDescent="0.3">
      <c r="A97" s="7" t="s">
        <v>449</v>
      </c>
      <c r="B97" s="7" t="s">
        <v>450</v>
      </c>
      <c r="C97" s="7" t="s">
        <v>451</v>
      </c>
      <c r="D97" s="7" t="s">
        <v>452</v>
      </c>
      <c r="E97" s="7" t="s">
        <v>132</v>
      </c>
      <c r="F97" s="8">
        <v>46157</v>
      </c>
      <c r="G97" s="8">
        <v>46158</v>
      </c>
      <c r="H97" s="8">
        <v>46162</v>
      </c>
      <c r="I97" s="7" t="s">
        <v>72</v>
      </c>
      <c r="J97" s="7" t="s">
        <v>1</v>
      </c>
      <c r="K97" s="7" t="s">
        <v>19</v>
      </c>
      <c r="L97" s="7" t="s">
        <v>61</v>
      </c>
      <c r="M97" s="7" t="s">
        <v>2366</v>
      </c>
      <c r="N97" s="7" t="s">
        <v>27</v>
      </c>
      <c r="O97" s="7" t="s">
        <v>54</v>
      </c>
      <c r="P97" s="7">
        <v>7</v>
      </c>
      <c r="Q97" s="9">
        <v>430</v>
      </c>
      <c r="R97" s="9">
        <v>455.8</v>
      </c>
      <c r="S97" s="10">
        <v>0.05</v>
      </c>
      <c r="T97" s="9">
        <v>3031.07</v>
      </c>
      <c r="U97" s="9">
        <v>3010</v>
      </c>
      <c r="V97" s="9">
        <v>21.07</v>
      </c>
      <c r="W97" s="10">
        <v>6.9513406156901702E-3</v>
      </c>
    </row>
    <row r="98" spans="1:23" x14ac:dyDescent="0.3">
      <c r="A98" s="7" t="s">
        <v>453</v>
      </c>
      <c r="B98" s="7" t="s">
        <v>454</v>
      </c>
      <c r="C98" s="7" t="s">
        <v>455</v>
      </c>
      <c r="D98" s="7" t="s">
        <v>456</v>
      </c>
      <c r="E98" s="7" t="s">
        <v>141</v>
      </c>
      <c r="F98" s="8">
        <v>46137</v>
      </c>
      <c r="G98" s="8">
        <v>46137</v>
      </c>
      <c r="H98" s="8">
        <v>46139</v>
      </c>
      <c r="I98" s="7" t="s">
        <v>72</v>
      </c>
      <c r="J98" s="7" t="s">
        <v>2362</v>
      </c>
      <c r="K98" s="7" t="s">
        <v>21</v>
      </c>
      <c r="L98" s="7" t="s">
        <v>22</v>
      </c>
      <c r="M98" s="7" t="s">
        <v>35</v>
      </c>
      <c r="N98" s="7" t="s">
        <v>33</v>
      </c>
      <c r="O98" s="7" t="s">
        <v>36</v>
      </c>
      <c r="P98" s="7">
        <v>12</v>
      </c>
      <c r="Q98" s="9">
        <v>1530</v>
      </c>
      <c r="R98" s="9">
        <v>1790.1</v>
      </c>
      <c r="S98" s="10">
        <v>0</v>
      </c>
      <c r="T98" s="9">
        <v>21481.200000000001</v>
      </c>
      <c r="U98" s="9">
        <v>18360</v>
      </c>
      <c r="V98" s="9">
        <v>3121.2</v>
      </c>
      <c r="W98" s="10">
        <v>0.145299145299145</v>
      </c>
    </row>
    <row r="99" spans="1:23" x14ac:dyDescent="0.3">
      <c r="A99" s="7" t="s">
        <v>457</v>
      </c>
      <c r="B99" s="7" t="s">
        <v>458</v>
      </c>
      <c r="C99" s="7" t="s">
        <v>459</v>
      </c>
      <c r="D99" s="7" t="s">
        <v>460</v>
      </c>
      <c r="E99" s="7" t="s">
        <v>77</v>
      </c>
      <c r="F99" s="8">
        <v>45932</v>
      </c>
      <c r="G99" s="8">
        <v>45933</v>
      </c>
      <c r="H99" s="8">
        <v>45934</v>
      </c>
      <c r="I99" s="7" t="s">
        <v>72</v>
      </c>
      <c r="J99" s="7" t="s">
        <v>2</v>
      </c>
      <c r="K99" s="7" t="s">
        <v>21</v>
      </c>
      <c r="L99" s="7" t="s">
        <v>24</v>
      </c>
      <c r="M99" s="7" t="s">
        <v>44</v>
      </c>
      <c r="N99" s="7" t="s">
        <v>38</v>
      </c>
      <c r="O99" s="7" t="s">
        <v>45</v>
      </c>
      <c r="P99" s="7">
        <v>15</v>
      </c>
      <c r="Q99" s="9">
        <v>210</v>
      </c>
      <c r="R99" s="9">
        <v>222.6</v>
      </c>
      <c r="S99" s="10">
        <v>0.06</v>
      </c>
      <c r="T99" s="9">
        <v>3138.66</v>
      </c>
      <c r="U99" s="9">
        <v>3150</v>
      </c>
      <c r="V99" s="9">
        <v>-11.34</v>
      </c>
      <c r="W99" s="10">
        <v>-3.6130068245684502E-3</v>
      </c>
    </row>
    <row r="100" spans="1:23" x14ac:dyDescent="0.3">
      <c r="A100" s="7" t="s">
        <v>461</v>
      </c>
      <c r="B100" s="7" t="s">
        <v>462</v>
      </c>
      <c r="C100" s="7" t="s">
        <v>463</v>
      </c>
      <c r="D100" s="7" t="s">
        <v>464</v>
      </c>
      <c r="E100" s="7" t="s">
        <v>114</v>
      </c>
      <c r="F100" s="8">
        <v>45297</v>
      </c>
      <c r="G100" s="8">
        <v>45298</v>
      </c>
      <c r="H100" s="8">
        <v>45302</v>
      </c>
      <c r="I100" s="7" t="s">
        <v>72</v>
      </c>
      <c r="J100" s="7" t="s">
        <v>2364</v>
      </c>
      <c r="K100" s="7" t="s">
        <v>19</v>
      </c>
      <c r="L100" s="7" t="s">
        <v>22</v>
      </c>
      <c r="M100" s="7" t="s">
        <v>51</v>
      </c>
      <c r="N100" s="7" t="s">
        <v>33</v>
      </c>
      <c r="O100" s="7" t="s">
        <v>52</v>
      </c>
      <c r="P100" s="7">
        <v>10</v>
      </c>
      <c r="Q100" s="9">
        <v>280</v>
      </c>
      <c r="R100" s="9">
        <v>336</v>
      </c>
      <c r="S100" s="10">
        <v>0.08</v>
      </c>
      <c r="T100" s="9">
        <v>3091.2</v>
      </c>
      <c r="U100" s="9">
        <v>2800</v>
      </c>
      <c r="V100" s="9">
        <v>291.2</v>
      </c>
      <c r="W100" s="10">
        <v>9.4202898550724598E-2</v>
      </c>
    </row>
    <row r="101" spans="1:23" x14ac:dyDescent="0.3">
      <c r="A101" s="7" t="s">
        <v>465</v>
      </c>
      <c r="B101" s="7" t="s">
        <v>466</v>
      </c>
      <c r="C101" s="7" t="s">
        <v>467</v>
      </c>
      <c r="D101" s="7" t="s">
        <v>468</v>
      </c>
      <c r="E101" s="7" t="s">
        <v>187</v>
      </c>
      <c r="F101" s="8">
        <v>46003</v>
      </c>
      <c r="G101" s="8">
        <v>46003</v>
      </c>
      <c r="H101" s="8">
        <v>46007</v>
      </c>
      <c r="I101" s="7" t="s">
        <v>72</v>
      </c>
      <c r="J101" s="7" t="s">
        <v>2</v>
      </c>
      <c r="K101" s="7" t="s">
        <v>21</v>
      </c>
      <c r="L101" s="7" t="s">
        <v>22</v>
      </c>
      <c r="M101" s="7" t="s">
        <v>2367</v>
      </c>
      <c r="N101" s="7" t="s">
        <v>38</v>
      </c>
      <c r="O101" s="7" t="s">
        <v>41</v>
      </c>
      <c r="P101" s="7">
        <v>15</v>
      </c>
      <c r="Q101" s="9">
        <v>170</v>
      </c>
      <c r="R101" s="9">
        <v>188.7</v>
      </c>
      <c r="S101" s="10">
        <v>0.02</v>
      </c>
      <c r="T101" s="9">
        <v>2773.89</v>
      </c>
      <c r="U101" s="9">
        <v>2550</v>
      </c>
      <c r="V101" s="9">
        <v>223.89</v>
      </c>
      <c r="W101" s="10">
        <v>8.0713366427652103E-2</v>
      </c>
    </row>
    <row r="102" spans="1:23" x14ac:dyDescent="0.3">
      <c r="A102" s="7" t="s">
        <v>469</v>
      </c>
      <c r="B102" s="7" t="s">
        <v>470</v>
      </c>
      <c r="C102" s="7" t="s">
        <v>471</v>
      </c>
      <c r="D102" s="7" t="s">
        <v>472</v>
      </c>
      <c r="E102" s="7" t="s">
        <v>164</v>
      </c>
      <c r="F102" s="8">
        <v>45437</v>
      </c>
      <c r="G102" s="8">
        <v>45437</v>
      </c>
      <c r="H102" s="8">
        <v>45441</v>
      </c>
      <c r="I102" s="7" t="s">
        <v>72</v>
      </c>
      <c r="J102" s="7" t="s">
        <v>2363</v>
      </c>
      <c r="K102" s="7" t="s">
        <v>21</v>
      </c>
      <c r="L102" s="7" t="s">
        <v>25</v>
      </c>
      <c r="M102" s="7" t="s">
        <v>43</v>
      </c>
      <c r="N102" s="7" t="s">
        <v>27</v>
      </c>
      <c r="O102" s="7" t="s">
        <v>31</v>
      </c>
      <c r="P102" s="7">
        <v>7</v>
      </c>
      <c r="Q102" s="9">
        <v>1630</v>
      </c>
      <c r="R102" s="9">
        <v>1744.1</v>
      </c>
      <c r="S102" s="10">
        <v>0.01</v>
      </c>
      <c r="T102" s="9">
        <v>12086.612999999999</v>
      </c>
      <c r="U102" s="9">
        <v>11410</v>
      </c>
      <c r="V102" s="9">
        <v>676.61300000000006</v>
      </c>
      <c r="W102" s="10">
        <v>5.5980364391579399E-2</v>
      </c>
    </row>
    <row r="103" spans="1:23" x14ac:dyDescent="0.3">
      <c r="A103" s="7" t="s">
        <v>473</v>
      </c>
      <c r="B103" s="7" t="s">
        <v>474</v>
      </c>
      <c r="C103" s="7" t="s">
        <v>475</v>
      </c>
      <c r="D103" s="7" t="s">
        <v>476</v>
      </c>
      <c r="E103" s="7" t="s">
        <v>187</v>
      </c>
      <c r="F103" s="8">
        <v>45375</v>
      </c>
      <c r="G103" s="8">
        <v>45375</v>
      </c>
      <c r="H103" s="8">
        <v>45379</v>
      </c>
      <c r="I103" s="7" t="s">
        <v>72</v>
      </c>
      <c r="J103" s="7" t="s">
        <v>1</v>
      </c>
      <c r="K103" s="7" t="s">
        <v>21</v>
      </c>
      <c r="L103" s="7" t="s">
        <v>22</v>
      </c>
      <c r="M103" s="7" t="s">
        <v>2367</v>
      </c>
      <c r="N103" s="7" t="s">
        <v>38</v>
      </c>
      <c r="O103" s="7" t="s">
        <v>41</v>
      </c>
      <c r="P103" s="7">
        <v>8</v>
      </c>
      <c r="Q103" s="9">
        <v>170</v>
      </c>
      <c r="R103" s="9">
        <v>188.7</v>
      </c>
      <c r="S103" s="10">
        <v>0.06</v>
      </c>
      <c r="T103" s="9">
        <v>1419.0239999999999</v>
      </c>
      <c r="U103" s="9">
        <v>1360</v>
      </c>
      <c r="V103" s="9">
        <v>59.024000000000001</v>
      </c>
      <c r="W103" s="10">
        <v>4.1594786275637299E-2</v>
      </c>
    </row>
    <row r="104" spans="1:23" x14ac:dyDescent="0.3">
      <c r="A104" s="7" t="s">
        <v>477</v>
      </c>
      <c r="B104" s="7" t="s">
        <v>478</v>
      </c>
      <c r="C104" s="7" t="s">
        <v>479</v>
      </c>
      <c r="D104" s="7" t="s">
        <v>480</v>
      </c>
      <c r="E104" s="7" t="s">
        <v>119</v>
      </c>
      <c r="F104" s="8">
        <v>45709</v>
      </c>
      <c r="G104" s="8">
        <v>45710</v>
      </c>
      <c r="H104" s="8">
        <v>45713</v>
      </c>
      <c r="I104" s="7" t="s">
        <v>72</v>
      </c>
      <c r="J104" s="7" t="s">
        <v>2362</v>
      </c>
      <c r="K104" s="7" t="s">
        <v>21</v>
      </c>
      <c r="L104" s="7" t="s">
        <v>24</v>
      </c>
      <c r="M104" s="7" t="s">
        <v>37</v>
      </c>
      <c r="N104" s="7" t="s">
        <v>38</v>
      </c>
      <c r="O104" s="7" t="s">
        <v>39</v>
      </c>
      <c r="P104" s="7">
        <v>12</v>
      </c>
      <c r="Q104" s="9">
        <v>250</v>
      </c>
      <c r="R104" s="9">
        <v>270</v>
      </c>
      <c r="S104" s="10">
        <v>0.02</v>
      </c>
      <c r="T104" s="9">
        <v>3175.2</v>
      </c>
      <c r="U104" s="9">
        <v>3000</v>
      </c>
      <c r="V104" s="9">
        <v>175.2</v>
      </c>
      <c r="W104" s="10">
        <v>5.5177626606198002E-2</v>
      </c>
    </row>
    <row r="105" spans="1:23" x14ac:dyDescent="0.3">
      <c r="A105" s="7" t="s">
        <v>481</v>
      </c>
      <c r="B105" s="7" t="s">
        <v>482</v>
      </c>
      <c r="C105" s="7" t="s">
        <v>483</v>
      </c>
      <c r="D105" s="7" t="s">
        <v>484</v>
      </c>
      <c r="E105" s="7" t="s">
        <v>114</v>
      </c>
      <c r="F105" s="8">
        <v>45952</v>
      </c>
      <c r="G105" s="8">
        <v>45952</v>
      </c>
      <c r="H105" s="8">
        <v>45955</v>
      </c>
      <c r="I105" s="7" t="s">
        <v>72</v>
      </c>
      <c r="J105" s="7" t="s">
        <v>2362</v>
      </c>
      <c r="K105" s="7" t="s">
        <v>20</v>
      </c>
      <c r="L105" s="7" t="s">
        <v>25</v>
      </c>
      <c r="M105" s="7" t="s">
        <v>51</v>
      </c>
      <c r="N105" s="7" t="s">
        <v>33</v>
      </c>
      <c r="O105" s="7" t="s">
        <v>52</v>
      </c>
      <c r="P105" s="7">
        <v>6</v>
      </c>
      <c r="Q105" s="9">
        <v>280</v>
      </c>
      <c r="R105" s="9">
        <v>336</v>
      </c>
      <c r="S105" s="10">
        <v>0.09</v>
      </c>
      <c r="T105" s="9">
        <v>1834.56</v>
      </c>
      <c r="U105" s="9">
        <v>1680</v>
      </c>
      <c r="V105" s="9">
        <v>154.56</v>
      </c>
      <c r="W105" s="10">
        <v>8.42490842490842E-2</v>
      </c>
    </row>
    <row r="106" spans="1:23" x14ac:dyDescent="0.3">
      <c r="A106" s="7" t="s">
        <v>485</v>
      </c>
      <c r="B106" s="7" t="s">
        <v>486</v>
      </c>
      <c r="C106" s="7" t="s">
        <v>487</v>
      </c>
      <c r="D106" s="7" t="s">
        <v>488</v>
      </c>
      <c r="E106" s="7" t="s">
        <v>77</v>
      </c>
      <c r="F106" s="8">
        <v>45599</v>
      </c>
      <c r="G106" s="8">
        <v>45599</v>
      </c>
      <c r="H106" s="8">
        <v>45602</v>
      </c>
      <c r="I106" s="7" t="s">
        <v>82</v>
      </c>
      <c r="J106" s="7" t="s">
        <v>2</v>
      </c>
      <c r="K106" s="7" t="s">
        <v>19</v>
      </c>
      <c r="L106" s="7" t="s">
        <v>61</v>
      </c>
      <c r="M106" s="7" t="s">
        <v>44</v>
      </c>
      <c r="N106" s="7" t="s">
        <v>38</v>
      </c>
      <c r="O106" s="7" t="s">
        <v>45</v>
      </c>
      <c r="P106" s="7">
        <v>4</v>
      </c>
      <c r="Q106" s="9">
        <v>210</v>
      </c>
      <c r="R106" s="9">
        <v>222.6</v>
      </c>
      <c r="S106" s="10">
        <v>0.06</v>
      </c>
      <c r="T106" s="9">
        <v>836.976</v>
      </c>
      <c r="U106" s="9">
        <v>840</v>
      </c>
      <c r="V106" s="9">
        <v>-3.024</v>
      </c>
      <c r="W106" s="10">
        <v>-3.6130068245684502E-3</v>
      </c>
    </row>
    <row r="107" spans="1:23" x14ac:dyDescent="0.3">
      <c r="A107" s="7" t="s">
        <v>489</v>
      </c>
      <c r="B107" s="7" t="s">
        <v>490</v>
      </c>
      <c r="C107" s="7" t="s">
        <v>491</v>
      </c>
      <c r="D107" s="7" t="s">
        <v>492</v>
      </c>
      <c r="E107" s="7" t="s">
        <v>132</v>
      </c>
      <c r="F107" s="8">
        <v>45547</v>
      </c>
      <c r="G107" s="8">
        <v>45547</v>
      </c>
      <c r="H107" s="8">
        <v>45550</v>
      </c>
      <c r="I107" s="7" t="s">
        <v>72</v>
      </c>
      <c r="J107" s="7" t="s">
        <v>2</v>
      </c>
      <c r="K107" s="7" t="s">
        <v>19</v>
      </c>
      <c r="L107" s="7" t="s">
        <v>25</v>
      </c>
      <c r="M107" s="7" t="s">
        <v>2366</v>
      </c>
      <c r="N107" s="7" t="s">
        <v>27</v>
      </c>
      <c r="O107" s="7" t="s">
        <v>54</v>
      </c>
      <c r="P107" s="7">
        <v>8</v>
      </c>
      <c r="Q107" s="9">
        <v>430</v>
      </c>
      <c r="R107" s="9">
        <v>455.8</v>
      </c>
      <c r="S107" s="10">
        <v>7.0000000000000007E-2</v>
      </c>
      <c r="T107" s="9">
        <v>3391.152</v>
      </c>
      <c r="U107" s="9">
        <v>3440</v>
      </c>
      <c r="V107" s="9">
        <v>-48.847999999999999</v>
      </c>
      <c r="W107" s="10">
        <v>-1.44045445323595E-2</v>
      </c>
    </row>
    <row r="108" spans="1:23" x14ac:dyDescent="0.3">
      <c r="A108" s="7" t="s">
        <v>493</v>
      </c>
      <c r="B108" s="7" t="s">
        <v>155</v>
      </c>
      <c r="C108" s="7" t="s">
        <v>494</v>
      </c>
      <c r="D108" s="7" t="s">
        <v>495</v>
      </c>
      <c r="E108" s="7" t="s">
        <v>291</v>
      </c>
      <c r="F108" s="8">
        <v>46164</v>
      </c>
      <c r="G108" s="8">
        <v>46164</v>
      </c>
      <c r="H108" s="8">
        <v>46166</v>
      </c>
      <c r="I108" s="7" t="s">
        <v>72</v>
      </c>
      <c r="J108" s="7" t="s">
        <v>2</v>
      </c>
      <c r="K108" s="7" t="s">
        <v>21</v>
      </c>
      <c r="L108" s="7" t="s">
        <v>24</v>
      </c>
      <c r="M108" s="7" t="s">
        <v>57</v>
      </c>
      <c r="N108" s="7" t="s">
        <v>27</v>
      </c>
      <c r="O108" s="7" t="s">
        <v>58</v>
      </c>
      <c r="P108" s="7">
        <v>10</v>
      </c>
      <c r="Q108" s="9">
        <v>480</v>
      </c>
      <c r="R108" s="9">
        <v>513.6</v>
      </c>
      <c r="S108" s="10">
        <v>0.08</v>
      </c>
      <c r="T108" s="9">
        <v>4725.12</v>
      </c>
      <c r="U108" s="9">
        <v>4800</v>
      </c>
      <c r="V108" s="9">
        <v>-74.88</v>
      </c>
      <c r="W108" s="10">
        <v>-1.5847216578626599E-2</v>
      </c>
    </row>
    <row r="109" spans="1:23" x14ac:dyDescent="0.3">
      <c r="A109" s="7" t="s">
        <v>496</v>
      </c>
      <c r="B109" s="7" t="s">
        <v>497</v>
      </c>
      <c r="C109" s="7" t="s">
        <v>498</v>
      </c>
      <c r="D109" s="7" t="s">
        <v>499</v>
      </c>
      <c r="E109" s="7" t="s">
        <v>141</v>
      </c>
      <c r="F109" s="8">
        <v>45943</v>
      </c>
      <c r="G109" s="8">
        <v>45944</v>
      </c>
      <c r="H109" s="8">
        <v>45948</v>
      </c>
      <c r="I109" s="7" t="s">
        <v>72</v>
      </c>
      <c r="J109" s="7" t="s">
        <v>2</v>
      </c>
      <c r="K109" s="7" t="s">
        <v>19</v>
      </c>
      <c r="L109" s="7" t="s">
        <v>22</v>
      </c>
      <c r="M109" s="7" t="s">
        <v>35</v>
      </c>
      <c r="N109" s="7" t="s">
        <v>33</v>
      </c>
      <c r="O109" s="7" t="s">
        <v>36</v>
      </c>
      <c r="P109" s="7">
        <v>7</v>
      </c>
      <c r="Q109" s="9">
        <v>1530</v>
      </c>
      <c r="R109" s="9">
        <v>1790.1</v>
      </c>
      <c r="S109" s="10">
        <v>0.04</v>
      </c>
      <c r="T109" s="9">
        <v>12029.472</v>
      </c>
      <c r="U109" s="9">
        <v>10710</v>
      </c>
      <c r="V109" s="9">
        <v>1319.472</v>
      </c>
      <c r="W109" s="10">
        <v>0.10968660968661</v>
      </c>
    </row>
    <row r="110" spans="1:23" x14ac:dyDescent="0.3">
      <c r="A110" s="7" t="s">
        <v>500</v>
      </c>
      <c r="B110" s="7" t="s">
        <v>501</v>
      </c>
      <c r="C110" s="7" t="s">
        <v>502</v>
      </c>
      <c r="D110" s="7" t="s">
        <v>503</v>
      </c>
      <c r="E110" s="7" t="s">
        <v>322</v>
      </c>
      <c r="F110" s="8">
        <v>45545</v>
      </c>
      <c r="G110" s="8">
        <v>45545</v>
      </c>
      <c r="H110" s="8">
        <v>45547</v>
      </c>
      <c r="I110" s="7" t="s">
        <v>72</v>
      </c>
      <c r="J110" s="7" t="s">
        <v>1</v>
      </c>
      <c r="K110" s="7" t="s">
        <v>20</v>
      </c>
      <c r="L110" s="7" t="s">
        <v>23</v>
      </c>
      <c r="M110" s="7" t="s">
        <v>26</v>
      </c>
      <c r="N110" s="7" t="s">
        <v>27</v>
      </c>
      <c r="O110" s="7" t="s">
        <v>28</v>
      </c>
      <c r="P110" s="7">
        <v>5</v>
      </c>
      <c r="Q110" s="9">
        <v>3330</v>
      </c>
      <c r="R110" s="9">
        <v>3629.7</v>
      </c>
      <c r="S110" s="10">
        <v>0.03</v>
      </c>
      <c r="T110" s="9">
        <v>17604.044999999998</v>
      </c>
      <c r="U110" s="9">
        <v>16650</v>
      </c>
      <c r="V110" s="9">
        <v>954.04499999999996</v>
      </c>
      <c r="W110" s="10">
        <v>5.4194646741700603E-2</v>
      </c>
    </row>
    <row r="111" spans="1:23" x14ac:dyDescent="0.3">
      <c r="A111" s="7" t="s">
        <v>504</v>
      </c>
      <c r="B111" s="7" t="s">
        <v>151</v>
      </c>
      <c r="C111" s="7" t="s">
        <v>505</v>
      </c>
      <c r="D111" s="7" t="s">
        <v>506</v>
      </c>
      <c r="E111" s="7" t="s">
        <v>100</v>
      </c>
      <c r="F111" s="8">
        <v>45655</v>
      </c>
      <c r="G111" s="8">
        <v>45656</v>
      </c>
      <c r="H111" s="8">
        <v>45658</v>
      </c>
      <c r="I111" s="7" t="s">
        <v>72</v>
      </c>
      <c r="J111" s="7" t="s">
        <v>2363</v>
      </c>
      <c r="K111" s="7" t="s">
        <v>21</v>
      </c>
      <c r="L111" s="7" t="s">
        <v>22</v>
      </c>
      <c r="M111" s="7" t="s">
        <v>42</v>
      </c>
      <c r="N111" s="7" t="s">
        <v>27</v>
      </c>
      <c r="O111" s="7" t="s">
        <v>28</v>
      </c>
      <c r="P111" s="7">
        <v>5</v>
      </c>
      <c r="Q111" s="9">
        <v>3030</v>
      </c>
      <c r="R111" s="9">
        <v>3211.8</v>
      </c>
      <c r="S111" s="10">
        <v>0.04</v>
      </c>
      <c r="T111" s="9">
        <v>15416.64</v>
      </c>
      <c r="U111" s="9">
        <v>15150</v>
      </c>
      <c r="V111" s="9">
        <v>266.64</v>
      </c>
      <c r="W111" s="10">
        <v>1.7295597484276701E-2</v>
      </c>
    </row>
    <row r="112" spans="1:23" x14ac:dyDescent="0.3">
      <c r="A112" s="7" t="s">
        <v>507</v>
      </c>
      <c r="B112" s="7" t="s">
        <v>508</v>
      </c>
      <c r="C112" s="7" t="s">
        <v>509</v>
      </c>
      <c r="D112" s="7" t="s">
        <v>510</v>
      </c>
      <c r="E112" s="7" t="s">
        <v>187</v>
      </c>
      <c r="F112" s="8">
        <v>45826</v>
      </c>
      <c r="G112" s="8">
        <v>45827</v>
      </c>
      <c r="H112" s="8">
        <v>45829</v>
      </c>
      <c r="I112" s="7" t="s">
        <v>72</v>
      </c>
      <c r="J112" s="7" t="s">
        <v>1</v>
      </c>
      <c r="K112" s="7" t="s">
        <v>19</v>
      </c>
      <c r="L112" s="7" t="s">
        <v>24</v>
      </c>
      <c r="M112" s="7" t="s">
        <v>2367</v>
      </c>
      <c r="N112" s="7" t="s">
        <v>38</v>
      </c>
      <c r="O112" s="7" t="s">
        <v>41</v>
      </c>
      <c r="P112" s="7">
        <v>10</v>
      </c>
      <c r="Q112" s="9">
        <v>170</v>
      </c>
      <c r="R112" s="9">
        <v>188.7</v>
      </c>
      <c r="S112" s="10">
        <v>0.03</v>
      </c>
      <c r="T112" s="9">
        <v>1830.39</v>
      </c>
      <c r="U112" s="9">
        <v>1700</v>
      </c>
      <c r="V112" s="9">
        <v>130.38999999999999</v>
      </c>
      <c r="W112" s="10">
        <v>7.1236184638246505E-2</v>
      </c>
    </row>
    <row r="113" spans="1:23" x14ac:dyDescent="0.3">
      <c r="A113" s="7" t="s">
        <v>511</v>
      </c>
      <c r="B113" s="7" t="s">
        <v>408</v>
      </c>
      <c r="C113" s="7" t="s">
        <v>512</v>
      </c>
      <c r="D113" s="7" t="s">
        <v>513</v>
      </c>
      <c r="E113" s="7" t="s">
        <v>322</v>
      </c>
      <c r="F113" s="8">
        <v>45457</v>
      </c>
      <c r="G113" s="8">
        <v>45457</v>
      </c>
      <c r="H113" s="8">
        <v>45461</v>
      </c>
      <c r="I113" s="7" t="s">
        <v>72</v>
      </c>
      <c r="J113" s="7" t="s">
        <v>2362</v>
      </c>
      <c r="K113" s="7" t="s">
        <v>21</v>
      </c>
      <c r="L113" s="7" t="s">
        <v>23</v>
      </c>
      <c r="M113" s="7" t="s">
        <v>26</v>
      </c>
      <c r="N113" s="7" t="s">
        <v>27</v>
      </c>
      <c r="O113" s="7" t="s">
        <v>28</v>
      </c>
      <c r="P113" s="7">
        <v>8</v>
      </c>
      <c r="Q113" s="9">
        <v>3330</v>
      </c>
      <c r="R113" s="9">
        <v>3629.7</v>
      </c>
      <c r="S113" s="10">
        <v>0.09</v>
      </c>
      <c r="T113" s="9">
        <v>26424.216</v>
      </c>
      <c r="U113" s="9">
        <v>26640</v>
      </c>
      <c r="V113" s="9">
        <v>-215.78399999999999</v>
      </c>
      <c r="W113" s="10">
        <v>-8.1661457808246806E-3</v>
      </c>
    </row>
    <row r="114" spans="1:23" x14ac:dyDescent="0.3">
      <c r="A114" s="7" t="s">
        <v>514</v>
      </c>
      <c r="B114" s="7" t="s">
        <v>508</v>
      </c>
      <c r="C114" s="7" t="s">
        <v>515</v>
      </c>
      <c r="D114" s="7" t="s">
        <v>516</v>
      </c>
      <c r="E114" s="7" t="s">
        <v>164</v>
      </c>
      <c r="F114" s="8">
        <v>45864</v>
      </c>
      <c r="G114" s="8">
        <v>45864</v>
      </c>
      <c r="H114" s="8">
        <v>45867</v>
      </c>
      <c r="I114" s="7" t="s">
        <v>82</v>
      </c>
      <c r="J114" s="7" t="s">
        <v>2364</v>
      </c>
      <c r="K114" s="7" t="s">
        <v>20</v>
      </c>
      <c r="L114" s="7" t="s">
        <v>61</v>
      </c>
      <c r="M114" s="7" t="s">
        <v>43</v>
      </c>
      <c r="N114" s="7" t="s">
        <v>27</v>
      </c>
      <c r="O114" s="7" t="s">
        <v>31</v>
      </c>
      <c r="P114" s="7">
        <v>2</v>
      </c>
      <c r="Q114" s="9">
        <v>1630</v>
      </c>
      <c r="R114" s="9">
        <v>1744.1</v>
      </c>
      <c r="S114" s="10">
        <v>0.05</v>
      </c>
      <c r="T114" s="9">
        <v>3313.79</v>
      </c>
      <c r="U114" s="9">
        <v>3260</v>
      </c>
      <c r="V114" s="9">
        <v>53.79</v>
      </c>
      <c r="W114" s="10">
        <v>1.6232169208066902E-2</v>
      </c>
    </row>
    <row r="115" spans="1:23" x14ac:dyDescent="0.3">
      <c r="A115" s="7" t="s">
        <v>517</v>
      </c>
      <c r="B115" s="7" t="s">
        <v>518</v>
      </c>
      <c r="C115" s="7" t="s">
        <v>519</v>
      </c>
      <c r="D115" s="7" t="s">
        <v>520</v>
      </c>
      <c r="E115" s="7" t="s">
        <v>114</v>
      </c>
      <c r="F115" s="8">
        <v>46061</v>
      </c>
      <c r="G115" s="8">
        <v>46062</v>
      </c>
      <c r="H115" s="8">
        <v>46065</v>
      </c>
      <c r="I115" s="7" t="s">
        <v>82</v>
      </c>
      <c r="J115" s="7" t="s">
        <v>1</v>
      </c>
      <c r="K115" s="7" t="s">
        <v>19</v>
      </c>
      <c r="L115" s="7" t="s">
        <v>22</v>
      </c>
      <c r="M115" s="7" t="s">
        <v>51</v>
      </c>
      <c r="N115" s="7" t="s">
        <v>33</v>
      </c>
      <c r="O115" s="7" t="s">
        <v>52</v>
      </c>
      <c r="P115" s="7">
        <v>4</v>
      </c>
      <c r="Q115" s="9">
        <v>280</v>
      </c>
      <c r="R115" s="9">
        <v>336</v>
      </c>
      <c r="S115" s="10">
        <v>0.02</v>
      </c>
      <c r="T115" s="9">
        <v>1317.12</v>
      </c>
      <c r="U115" s="9">
        <v>1120</v>
      </c>
      <c r="V115" s="9">
        <v>197.12</v>
      </c>
      <c r="W115" s="10">
        <v>0.14965986394557801</v>
      </c>
    </row>
    <row r="116" spans="1:23" x14ac:dyDescent="0.3">
      <c r="A116" s="7" t="s">
        <v>521</v>
      </c>
      <c r="B116" s="7" t="s">
        <v>508</v>
      </c>
      <c r="C116" s="7" t="s">
        <v>522</v>
      </c>
      <c r="D116" s="7" t="s">
        <v>460</v>
      </c>
      <c r="E116" s="7" t="s">
        <v>322</v>
      </c>
      <c r="F116" s="8">
        <v>46050</v>
      </c>
      <c r="G116" s="8">
        <v>46050</v>
      </c>
      <c r="H116" s="8">
        <v>46055</v>
      </c>
      <c r="I116" s="7" t="s">
        <v>72</v>
      </c>
      <c r="J116" s="7" t="s">
        <v>2363</v>
      </c>
      <c r="K116" s="7" t="s">
        <v>21</v>
      </c>
      <c r="L116" s="7" t="s">
        <v>25</v>
      </c>
      <c r="M116" s="7" t="s">
        <v>26</v>
      </c>
      <c r="N116" s="7" t="s">
        <v>27</v>
      </c>
      <c r="O116" s="7" t="s">
        <v>28</v>
      </c>
      <c r="P116" s="7">
        <v>14</v>
      </c>
      <c r="Q116" s="9">
        <v>3330</v>
      </c>
      <c r="R116" s="9">
        <v>3629.7</v>
      </c>
      <c r="S116" s="10">
        <v>0.01</v>
      </c>
      <c r="T116" s="9">
        <v>50307.642</v>
      </c>
      <c r="U116" s="9">
        <v>46620</v>
      </c>
      <c r="V116" s="9">
        <v>3687.6419999999998</v>
      </c>
      <c r="W116" s="10">
        <v>7.3301825595403602E-2</v>
      </c>
    </row>
    <row r="117" spans="1:23" x14ac:dyDescent="0.3">
      <c r="A117" s="7" t="s">
        <v>523</v>
      </c>
      <c r="B117" s="7" t="s">
        <v>524</v>
      </c>
      <c r="C117" s="7" t="s">
        <v>525</v>
      </c>
      <c r="D117" s="7" t="s">
        <v>526</v>
      </c>
      <c r="E117" s="7" t="s">
        <v>109</v>
      </c>
      <c r="F117" s="8">
        <v>45869</v>
      </c>
      <c r="G117" s="8">
        <v>45870</v>
      </c>
      <c r="H117" s="8">
        <v>45871</v>
      </c>
      <c r="I117" s="7" t="s">
        <v>72</v>
      </c>
      <c r="J117" s="7" t="s">
        <v>2363</v>
      </c>
      <c r="K117" s="7" t="s">
        <v>21</v>
      </c>
      <c r="L117" s="7" t="s">
        <v>23</v>
      </c>
      <c r="M117" s="7" t="s">
        <v>2365</v>
      </c>
      <c r="N117" s="7" t="s">
        <v>27</v>
      </c>
      <c r="O117" s="7" t="s">
        <v>56</v>
      </c>
      <c r="P117" s="7">
        <v>6</v>
      </c>
      <c r="Q117" s="9">
        <v>650</v>
      </c>
      <c r="R117" s="9">
        <v>663</v>
      </c>
      <c r="S117" s="10">
        <v>0</v>
      </c>
      <c r="T117" s="9">
        <v>3978</v>
      </c>
      <c r="U117" s="9">
        <v>3900</v>
      </c>
      <c r="V117" s="9">
        <v>78</v>
      </c>
      <c r="W117" s="10">
        <v>1.9607843137254902E-2</v>
      </c>
    </row>
    <row r="118" spans="1:23" x14ac:dyDescent="0.3">
      <c r="A118" s="7" t="s">
        <v>527</v>
      </c>
      <c r="B118" s="7" t="s">
        <v>420</v>
      </c>
      <c r="C118" s="7" t="s">
        <v>528</v>
      </c>
      <c r="D118" s="7" t="s">
        <v>529</v>
      </c>
      <c r="E118" s="7" t="s">
        <v>291</v>
      </c>
      <c r="F118" s="8">
        <v>45350</v>
      </c>
      <c r="G118" s="8">
        <v>45351</v>
      </c>
      <c r="H118" s="8">
        <v>45354</v>
      </c>
      <c r="I118" s="7" t="s">
        <v>72</v>
      </c>
      <c r="J118" s="7" t="s">
        <v>1</v>
      </c>
      <c r="K118" s="7" t="s">
        <v>21</v>
      </c>
      <c r="L118" s="7" t="s">
        <v>22</v>
      </c>
      <c r="M118" s="7" t="s">
        <v>57</v>
      </c>
      <c r="N118" s="7" t="s">
        <v>27</v>
      </c>
      <c r="O118" s="7" t="s">
        <v>58</v>
      </c>
      <c r="P118" s="7">
        <v>6</v>
      </c>
      <c r="Q118" s="9">
        <v>480</v>
      </c>
      <c r="R118" s="9">
        <v>513.6</v>
      </c>
      <c r="S118" s="10">
        <v>0.04</v>
      </c>
      <c r="T118" s="9">
        <v>2958.3359999999998</v>
      </c>
      <c r="U118" s="9">
        <v>2880</v>
      </c>
      <c r="V118" s="9">
        <v>78.335999999999999</v>
      </c>
      <c r="W118" s="10">
        <v>2.6479750778816199E-2</v>
      </c>
    </row>
    <row r="119" spans="1:23" x14ac:dyDescent="0.3">
      <c r="A119" s="7" t="s">
        <v>530</v>
      </c>
      <c r="B119" s="7" t="s">
        <v>531</v>
      </c>
      <c r="C119" s="7" t="s">
        <v>532</v>
      </c>
      <c r="D119" s="7" t="s">
        <v>533</v>
      </c>
      <c r="E119" s="7" t="s">
        <v>119</v>
      </c>
      <c r="F119" s="8">
        <v>46165</v>
      </c>
      <c r="G119" s="8">
        <v>46165</v>
      </c>
      <c r="H119" s="8">
        <v>46169</v>
      </c>
      <c r="I119" s="7" t="s">
        <v>82</v>
      </c>
      <c r="J119" s="7" t="s">
        <v>2363</v>
      </c>
      <c r="K119" s="7" t="s">
        <v>19</v>
      </c>
      <c r="L119" s="7" t="s">
        <v>61</v>
      </c>
      <c r="M119" s="7" t="s">
        <v>37</v>
      </c>
      <c r="N119" s="7" t="s">
        <v>38</v>
      </c>
      <c r="O119" s="7" t="s">
        <v>39</v>
      </c>
      <c r="P119" s="7">
        <v>1</v>
      </c>
      <c r="Q119" s="9">
        <v>250</v>
      </c>
      <c r="R119" s="9">
        <v>270</v>
      </c>
      <c r="S119" s="10">
        <v>0</v>
      </c>
      <c r="T119" s="9">
        <v>270</v>
      </c>
      <c r="U119" s="9">
        <v>250</v>
      </c>
      <c r="V119" s="9">
        <v>20</v>
      </c>
      <c r="W119" s="10">
        <v>7.4074074074074098E-2</v>
      </c>
    </row>
    <row r="120" spans="1:23" x14ac:dyDescent="0.3">
      <c r="A120" s="7" t="s">
        <v>534</v>
      </c>
      <c r="B120" s="7" t="s">
        <v>285</v>
      </c>
      <c r="C120" s="7" t="s">
        <v>535</v>
      </c>
      <c r="D120" s="7" t="s">
        <v>536</v>
      </c>
      <c r="E120" s="7" t="s">
        <v>208</v>
      </c>
      <c r="F120" s="8">
        <v>45717</v>
      </c>
      <c r="G120" s="8">
        <v>45718</v>
      </c>
      <c r="H120" s="8">
        <v>45721</v>
      </c>
      <c r="I120" s="7" t="s">
        <v>72</v>
      </c>
      <c r="J120" s="7" t="s">
        <v>2362</v>
      </c>
      <c r="K120" s="7" t="s">
        <v>19</v>
      </c>
      <c r="L120" s="7" t="s">
        <v>24</v>
      </c>
      <c r="M120" s="7" t="s">
        <v>50</v>
      </c>
      <c r="N120" s="7" t="s">
        <v>33</v>
      </c>
      <c r="O120" s="7" t="s">
        <v>36</v>
      </c>
      <c r="P120" s="7">
        <v>6</v>
      </c>
      <c r="Q120" s="9">
        <v>930</v>
      </c>
      <c r="R120" s="9">
        <v>1078.8</v>
      </c>
      <c r="S120" s="10">
        <v>0.1</v>
      </c>
      <c r="T120" s="9">
        <v>5825.52</v>
      </c>
      <c r="U120" s="9">
        <v>5580</v>
      </c>
      <c r="V120" s="9">
        <v>245.52</v>
      </c>
      <c r="W120" s="10">
        <v>4.2145593869731802E-2</v>
      </c>
    </row>
    <row r="121" spans="1:23" x14ac:dyDescent="0.3">
      <c r="A121" s="7" t="s">
        <v>537</v>
      </c>
      <c r="B121" s="7" t="s">
        <v>538</v>
      </c>
      <c r="C121" s="7" t="s">
        <v>539</v>
      </c>
      <c r="D121" s="7" t="s">
        <v>540</v>
      </c>
      <c r="E121" s="7" t="s">
        <v>141</v>
      </c>
      <c r="F121" s="8">
        <v>45474</v>
      </c>
      <c r="G121" s="8">
        <v>45474</v>
      </c>
      <c r="H121" s="8">
        <v>45479</v>
      </c>
      <c r="I121" s="7" t="s">
        <v>72</v>
      </c>
      <c r="J121" s="7" t="s">
        <v>2364</v>
      </c>
      <c r="K121" s="7" t="s">
        <v>19</v>
      </c>
      <c r="L121" s="7" t="s">
        <v>23</v>
      </c>
      <c r="M121" s="7" t="s">
        <v>35</v>
      </c>
      <c r="N121" s="7" t="s">
        <v>33</v>
      </c>
      <c r="O121" s="7" t="s">
        <v>36</v>
      </c>
      <c r="P121" s="7">
        <v>7</v>
      </c>
      <c r="Q121" s="9">
        <v>1530</v>
      </c>
      <c r="R121" s="9">
        <v>1790.1</v>
      </c>
      <c r="S121" s="10">
        <v>0.02</v>
      </c>
      <c r="T121" s="9">
        <v>12280.085999999999</v>
      </c>
      <c r="U121" s="9">
        <v>10710</v>
      </c>
      <c r="V121" s="9">
        <v>1570.086</v>
      </c>
      <c r="W121" s="10">
        <v>0.12785627071341399</v>
      </c>
    </row>
    <row r="122" spans="1:23" x14ac:dyDescent="0.3">
      <c r="A122" s="7" t="s">
        <v>541</v>
      </c>
      <c r="B122" s="7" t="s">
        <v>542</v>
      </c>
      <c r="C122" s="7" t="s">
        <v>543</v>
      </c>
      <c r="D122" s="7" t="s">
        <v>544</v>
      </c>
      <c r="E122" s="7" t="s">
        <v>164</v>
      </c>
      <c r="F122" s="8">
        <v>45916</v>
      </c>
      <c r="G122" s="8">
        <v>45916</v>
      </c>
      <c r="H122" s="8">
        <v>45921</v>
      </c>
      <c r="I122" s="7" t="s">
        <v>72</v>
      </c>
      <c r="J122" s="7" t="s">
        <v>1</v>
      </c>
      <c r="K122" s="7" t="s">
        <v>21</v>
      </c>
      <c r="L122" s="7" t="s">
        <v>24</v>
      </c>
      <c r="M122" s="7" t="s">
        <v>43</v>
      </c>
      <c r="N122" s="7" t="s">
        <v>27</v>
      </c>
      <c r="O122" s="7" t="s">
        <v>31</v>
      </c>
      <c r="P122" s="7">
        <v>8</v>
      </c>
      <c r="Q122" s="9">
        <v>1630</v>
      </c>
      <c r="R122" s="9">
        <v>1744.1</v>
      </c>
      <c r="S122" s="10">
        <v>0.02</v>
      </c>
      <c r="T122" s="9">
        <v>13673.744000000001</v>
      </c>
      <c r="U122" s="9">
        <v>13040</v>
      </c>
      <c r="V122" s="9">
        <v>633.74400000000003</v>
      </c>
      <c r="W122" s="10">
        <v>4.6347510967003597E-2</v>
      </c>
    </row>
    <row r="123" spans="1:23" x14ac:dyDescent="0.3">
      <c r="A123" s="7" t="s">
        <v>545</v>
      </c>
      <c r="B123" s="7" t="s">
        <v>161</v>
      </c>
      <c r="C123" s="7" t="s">
        <v>546</v>
      </c>
      <c r="D123" s="7" t="s">
        <v>547</v>
      </c>
      <c r="E123" s="7" t="s">
        <v>109</v>
      </c>
      <c r="F123" s="8">
        <v>45469</v>
      </c>
      <c r="G123" s="8">
        <v>45470</v>
      </c>
      <c r="H123" s="8">
        <v>45473</v>
      </c>
      <c r="I123" s="7" t="s">
        <v>72</v>
      </c>
      <c r="J123" s="7" t="s">
        <v>2362</v>
      </c>
      <c r="K123" s="7" t="s">
        <v>19</v>
      </c>
      <c r="L123" s="7" t="s">
        <v>25</v>
      </c>
      <c r="M123" s="7" t="s">
        <v>2365</v>
      </c>
      <c r="N123" s="7" t="s">
        <v>27</v>
      </c>
      <c r="O123" s="7" t="s">
        <v>56</v>
      </c>
      <c r="P123" s="7">
        <v>9</v>
      </c>
      <c r="Q123" s="9">
        <v>650</v>
      </c>
      <c r="R123" s="9">
        <v>663</v>
      </c>
      <c r="S123" s="10">
        <v>0.04</v>
      </c>
      <c r="T123" s="9">
        <v>5728.32</v>
      </c>
      <c r="U123" s="9">
        <v>5850</v>
      </c>
      <c r="V123" s="9">
        <v>-121.68</v>
      </c>
      <c r="W123" s="10">
        <v>-2.1241830065359499E-2</v>
      </c>
    </row>
    <row r="124" spans="1:23" x14ac:dyDescent="0.3">
      <c r="A124" s="7" t="s">
        <v>548</v>
      </c>
      <c r="B124" s="7" t="s">
        <v>428</v>
      </c>
      <c r="C124" s="7" t="s">
        <v>549</v>
      </c>
      <c r="D124" s="7" t="s">
        <v>550</v>
      </c>
      <c r="E124" s="7" t="s">
        <v>109</v>
      </c>
      <c r="F124" s="8">
        <v>46180</v>
      </c>
      <c r="G124" s="8">
        <v>46180</v>
      </c>
      <c r="H124" s="8">
        <v>46185</v>
      </c>
      <c r="I124" s="7" t="s">
        <v>72</v>
      </c>
      <c r="J124" s="7" t="s">
        <v>2</v>
      </c>
      <c r="K124" s="7" t="s">
        <v>21</v>
      </c>
      <c r="L124" s="7" t="s">
        <v>25</v>
      </c>
      <c r="M124" s="7" t="s">
        <v>2365</v>
      </c>
      <c r="N124" s="7" t="s">
        <v>27</v>
      </c>
      <c r="O124" s="7" t="s">
        <v>56</v>
      </c>
      <c r="P124" s="7">
        <v>9</v>
      </c>
      <c r="Q124" s="9">
        <v>650</v>
      </c>
      <c r="R124" s="9">
        <v>663</v>
      </c>
      <c r="S124" s="10">
        <v>7.0000000000000007E-2</v>
      </c>
      <c r="T124" s="9">
        <v>5549.31</v>
      </c>
      <c r="U124" s="9">
        <v>5850</v>
      </c>
      <c r="V124" s="9">
        <v>-300.69</v>
      </c>
      <c r="W124" s="10">
        <v>-5.4185114906177501E-2</v>
      </c>
    </row>
    <row r="125" spans="1:23" x14ac:dyDescent="0.3">
      <c r="A125" s="7" t="s">
        <v>551</v>
      </c>
      <c r="B125" s="7" t="s">
        <v>297</v>
      </c>
      <c r="C125" s="7" t="s">
        <v>552</v>
      </c>
      <c r="D125" s="7" t="s">
        <v>553</v>
      </c>
      <c r="E125" s="7" t="s">
        <v>291</v>
      </c>
      <c r="F125" s="8">
        <v>46017</v>
      </c>
      <c r="G125" s="8">
        <v>46018</v>
      </c>
      <c r="H125" s="8">
        <v>46021</v>
      </c>
      <c r="I125" s="7" t="s">
        <v>82</v>
      </c>
      <c r="J125" s="7" t="s">
        <v>2</v>
      </c>
      <c r="K125" s="7" t="s">
        <v>20</v>
      </c>
      <c r="L125" s="7" t="s">
        <v>61</v>
      </c>
      <c r="M125" s="7" t="s">
        <v>57</v>
      </c>
      <c r="N125" s="7" t="s">
        <v>27</v>
      </c>
      <c r="O125" s="7" t="s">
        <v>58</v>
      </c>
      <c r="P125" s="7">
        <v>4</v>
      </c>
      <c r="Q125" s="9">
        <v>480</v>
      </c>
      <c r="R125" s="9">
        <v>513.6</v>
      </c>
      <c r="S125" s="10">
        <v>0.08</v>
      </c>
      <c r="T125" s="9">
        <v>1890.048</v>
      </c>
      <c r="U125" s="9">
        <v>1920</v>
      </c>
      <c r="V125" s="9">
        <v>-29.952000000000002</v>
      </c>
      <c r="W125" s="10">
        <v>-1.5847216578626599E-2</v>
      </c>
    </row>
    <row r="126" spans="1:23" x14ac:dyDescent="0.3">
      <c r="A126" s="7" t="s">
        <v>554</v>
      </c>
      <c r="B126" s="7" t="s">
        <v>226</v>
      </c>
      <c r="C126" s="7" t="s">
        <v>555</v>
      </c>
      <c r="D126" s="7" t="s">
        <v>556</v>
      </c>
      <c r="E126" s="7" t="s">
        <v>192</v>
      </c>
      <c r="F126" s="8">
        <v>45749</v>
      </c>
      <c r="G126" s="8">
        <v>45750</v>
      </c>
      <c r="H126" s="8">
        <v>45753</v>
      </c>
      <c r="I126" s="7" t="s">
        <v>72</v>
      </c>
      <c r="J126" s="7" t="s">
        <v>2364</v>
      </c>
      <c r="K126" s="7" t="s">
        <v>21</v>
      </c>
      <c r="L126" s="7" t="s">
        <v>24</v>
      </c>
      <c r="M126" s="7" t="s">
        <v>46</v>
      </c>
      <c r="N126" s="7" t="s">
        <v>38</v>
      </c>
      <c r="O126" s="7" t="s">
        <v>45</v>
      </c>
      <c r="P126" s="7">
        <v>9</v>
      </c>
      <c r="Q126" s="9">
        <v>350</v>
      </c>
      <c r="R126" s="9">
        <v>364</v>
      </c>
      <c r="S126" s="10">
        <v>0.09</v>
      </c>
      <c r="T126" s="9">
        <v>2981.16</v>
      </c>
      <c r="U126" s="9">
        <v>3150</v>
      </c>
      <c r="V126" s="9">
        <v>-168.84</v>
      </c>
      <c r="W126" s="10">
        <v>-5.6635672020287402E-2</v>
      </c>
    </row>
    <row r="127" spans="1:23" x14ac:dyDescent="0.3">
      <c r="A127" s="7" t="s">
        <v>557</v>
      </c>
      <c r="B127" s="7" t="s">
        <v>170</v>
      </c>
      <c r="C127" s="7" t="s">
        <v>558</v>
      </c>
      <c r="D127" s="7" t="s">
        <v>559</v>
      </c>
      <c r="E127" s="7" t="s">
        <v>173</v>
      </c>
      <c r="F127" s="8">
        <v>45619</v>
      </c>
      <c r="G127" s="8">
        <v>45620</v>
      </c>
      <c r="H127" s="8">
        <v>45623</v>
      </c>
      <c r="I127" s="7" t="s">
        <v>72</v>
      </c>
      <c r="J127" s="7" t="s">
        <v>2362</v>
      </c>
      <c r="K127" s="7" t="s">
        <v>20</v>
      </c>
      <c r="L127" s="7" t="s">
        <v>22</v>
      </c>
      <c r="M127" s="7" t="s">
        <v>48</v>
      </c>
      <c r="N127" s="7" t="s">
        <v>38</v>
      </c>
      <c r="O127" s="7" t="s">
        <v>41</v>
      </c>
      <c r="P127" s="7">
        <v>7</v>
      </c>
      <c r="Q127" s="9">
        <v>580</v>
      </c>
      <c r="R127" s="9">
        <v>667</v>
      </c>
      <c r="S127" s="10">
        <v>0.03</v>
      </c>
      <c r="T127" s="9">
        <v>4528.93</v>
      </c>
      <c r="U127" s="9">
        <v>4060</v>
      </c>
      <c r="V127" s="9">
        <v>468.93</v>
      </c>
      <c r="W127" s="10">
        <v>0.10354101299865499</v>
      </c>
    </row>
    <row r="128" spans="1:23" x14ac:dyDescent="0.3">
      <c r="A128" s="7" t="s">
        <v>560</v>
      </c>
      <c r="B128" s="7" t="s">
        <v>304</v>
      </c>
      <c r="C128" s="7" t="s">
        <v>561</v>
      </c>
      <c r="D128" s="7" t="s">
        <v>562</v>
      </c>
      <c r="E128" s="7" t="s">
        <v>132</v>
      </c>
      <c r="F128" s="8">
        <v>45629</v>
      </c>
      <c r="G128" s="8">
        <v>45629</v>
      </c>
      <c r="H128" s="8">
        <v>45632</v>
      </c>
      <c r="I128" s="7" t="s">
        <v>72</v>
      </c>
      <c r="J128" s="7" t="s">
        <v>2</v>
      </c>
      <c r="K128" s="7" t="s">
        <v>19</v>
      </c>
      <c r="L128" s="7" t="s">
        <v>61</v>
      </c>
      <c r="M128" s="7" t="s">
        <v>2366</v>
      </c>
      <c r="N128" s="7" t="s">
        <v>27</v>
      </c>
      <c r="O128" s="7" t="s">
        <v>54</v>
      </c>
      <c r="P128" s="7">
        <v>6</v>
      </c>
      <c r="Q128" s="9">
        <v>430</v>
      </c>
      <c r="R128" s="9">
        <v>455.8</v>
      </c>
      <c r="S128" s="10">
        <v>0.08</v>
      </c>
      <c r="T128" s="9">
        <v>2516.0160000000001</v>
      </c>
      <c r="U128" s="9">
        <v>2580</v>
      </c>
      <c r="V128" s="9">
        <v>-63.984000000000002</v>
      </c>
      <c r="W128" s="10">
        <v>-2.5430680885972098E-2</v>
      </c>
    </row>
    <row r="129" spans="1:23" x14ac:dyDescent="0.3">
      <c r="A129" s="7" t="s">
        <v>563</v>
      </c>
      <c r="B129" s="7" t="s">
        <v>564</v>
      </c>
      <c r="C129" s="7" t="s">
        <v>565</v>
      </c>
      <c r="D129" s="7" t="s">
        <v>566</v>
      </c>
      <c r="E129" s="7" t="s">
        <v>291</v>
      </c>
      <c r="F129" s="8">
        <v>45469</v>
      </c>
      <c r="G129" s="8">
        <v>45469</v>
      </c>
      <c r="H129" s="8">
        <v>45471</v>
      </c>
      <c r="I129" s="7" t="s">
        <v>82</v>
      </c>
      <c r="J129" s="7" t="s">
        <v>2364</v>
      </c>
      <c r="K129" s="7" t="s">
        <v>19</v>
      </c>
      <c r="L129" s="7" t="s">
        <v>22</v>
      </c>
      <c r="M129" s="7" t="s">
        <v>57</v>
      </c>
      <c r="N129" s="7" t="s">
        <v>27</v>
      </c>
      <c r="O129" s="7" t="s">
        <v>58</v>
      </c>
      <c r="P129" s="7">
        <v>4</v>
      </c>
      <c r="Q129" s="9">
        <v>480</v>
      </c>
      <c r="R129" s="9">
        <v>513.6</v>
      </c>
      <c r="S129" s="10">
        <v>7.0000000000000007E-2</v>
      </c>
      <c r="T129" s="9">
        <v>1910.5920000000001</v>
      </c>
      <c r="U129" s="9">
        <v>1920</v>
      </c>
      <c r="V129" s="9">
        <v>-9.4079999999999995</v>
      </c>
      <c r="W129" s="10">
        <v>-4.9241282283187596E-3</v>
      </c>
    </row>
    <row r="130" spans="1:23" x14ac:dyDescent="0.3">
      <c r="A130" s="7" t="s">
        <v>567</v>
      </c>
      <c r="B130" s="7" t="s">
        <v>568</v>
      </c>
      <c r="C130" s="7" t="s">
        <v>569</v>
      </c>
      <c r="D130" s="7" t="s">
        <v>570</v>
      </c>
      <c r="E130" s="7" t="s">
        <v>77</v>
      </c>
      <c r="F130" s="8">
        <v>45777</v>
      </c>
      <c r="G130" s="8">
        <v>45777</v>
      </c>
      <c r="H130" s="8">
        <v>45780</v>
      </c>
      <c r="I130" s="7" t="s">
        <v>72</v>
      </c>
      <c r="J130" s="7" t="s">
        <v>2363</v>
      </c>
      <c r="K130" s="7" t="s">
        <v>21</v>
      </c>
      <c r="L130" s="7" t="s">
        <v>22</v>
      </c>
      <c r="M130" s="7" t="s">
        <v>44</v>
      </c>
      <c r="N130" s="7" t="s">
        <v>38</v>
      </c>
      <c r="O130" s="7" t="s">
        <v>45</v>
      </c>
      <c r="P130" s="7">
        <v>5</v>
      </c>
      <c r="Q130" s="9">
        <v>210</v>
      </c>
      <c r="R130" s="9">
        <v>222.6</v>
      </c>
      <c r="S130" s="10">
        <v>0</v>
      </c>
      <c r="T130" s="9">
        <v>1113</v>
      </c>
      <c r="U130" s="9">
        <v>1050</v>
      </c>
      <c r="V130" s="9">
        <v>63</v>
      </c>
      <c r="W130" s="10">
        <v>5.6603773584905703E-2</v>
      </c>
    </row>
    <row r="131" spans="1:23" x14ac:dyDescent="0.3">
      <c r="A131" s="7" t="s">
        <v>571</v>
      </c>
      <c r="B131" s="7" t="s">
        <v>74</v>
      </c>
      <c r="C131" s="7" t="s">
        <v>572</v>
      </c>
      <c r="D131" s="7" t="s">
        <v>573</v>
      </c>
      <c r="E131" s="7" t="s">
        <v>100</v>
      </c>
      <c r="F131" s="8">
        <v>45759</v>
      </c>
      <c r="G131" s="8">
        <v>45759</v>
      </c>
      <c r="H131" s="8">
        <v>45761</v>
      </c>
      <c r="I131" s="7" t="s">
        <v>72</v>
      </c>
      <c r="J131" s="7" t="s">
        <v>2364</v>
      </c>
      <c r="K131" s="7" t="s">
        <v>21</v>
      </c>
      <c r="L131" s="7" t="s">
        <v>61</v>
      </c>
      <c r="M131" s="7" t="s">
        <v>42</v>
      </c>
      <c r="N131" s="7" t="s">
        <v>27</v>
      </c>
      <c r="O131" s="7" t="s">
        <v>28</v>
      </c>
      <c r="P131" s="7">
        <v>7</v>
      </c>
      <c r="Q131" s="9">
        <v>3030</v>
      </c>
      <c r="R131" s="9">
        <v>3211.8</v>
      </c>
      <c r="S131" s="10">
        <v>0.05</v>
      </c>
      <c r="T131" s="9">
        <v>21358.47</v>
      </c>
      <c r="U131" s="9">
        <v>21210</v>
      </c>
      <c r="V131" s="9">
        <v>148.47</v>
      </c>
      <c r="W131" s="10">
        <v>6.9513406156901702E-3</v>
      </c>
    </row>
    <row r="132" spans="1:23" x14ac:dyDescent="0.3">
      <c r="A132" s="7" t="s">
        <v>574</v>
      </c>
      <c r="B132" s="7" t="s">
        <v>189</v>
      </c>
      <c r="C132" s="7" t="s">
        <v>575</v>
      </c>
      <c r="D132" s="7" t="s">
        <v>576</v>
      </c>
      <c r="E132" s="7" t="s">
        <v>87</v>
      </c>
      <c r="F132" s="8">
        <v>46087</v>
      </c>
      <c r="G132" s="8">
        <v>46087</v>
      </c>
      <c r="H132" s="8">
        <v>46089</v>
      </c>
      <c r="I132" s="7" t="s">
        <v>82</v>
      </c>
      <c r="J132" s="7" t="s">
        <v>2364</v>
      </c>
      <c r="K132" s="7" t="s">
        <v>19</v>
      </c>
      <c r="L132" s="7" t="s">
        <v>61</v>
      </c>
      <c r="M132" s="7" t="s">
        <v>30</v>
      </c>
      <c r="N132" s="7" t="s">
        <v>27</v>
      </c>
      <c r="O132" s="7" t="s">
        <v>31</v>
      </c>
      <c r="P132" s="7">
        <v>3</v>
      </c>
      <c r="Q132" s="9">
        <v>1030</v>
      </c>
      <c r="R132" s="9">
        <v>1174.2</v>
      </c>
      <c r="S132" s="10">
        <v>0.1</v>
      </c>
      <c r="T132" s="9">
        <v>3170.34</v>
      </c>
      <c r="U132" s="9">
        <v>3090</v>
      </c>
      <c r="V132" s="9">
        <v>80.34</v>
      </c>
      <c r="W132" s="10">
        <v>2.5341130604288501E-2</v>
      </c>
    </row>
    <row r="133" spans="1:23" x14ac:dyDescent="0.3">
      <c r="A133" s="7" t="s">
        <v>577</v>
      </c>
      <c r="B133" s="7" t="s">
        <v>578</v>
      </c>
      <c r="C133" s="7" t="s">
        <v>579</v>
      </c>
      <c r="D133" s="7" t="s">
        <v>580</v>
      </c>
      <c r="E133" s="7" t="s">
        <v>187</v>
      </c>
      <c r="F133" s="8">
        <v>45588</v>
      </c>
      <c r="G133" s="8">
        <v>45589</v>
      </c>
      <c r="H133" s="8">
        <v>45592</v>
      </c>
      <c r="I133" s="7" t="s">
        <v>72</v>
      </c>
      <c r="J133" s="7" t="s">
        <v>2364</v>
      </c>
      <c r="K133" s="7" t="s">
        <v>21</v>
      </c>
      <c r="L133" s="7" t="s">
        <v>25</v>
      </c>
      <c r="M133" s="7" t="s">
        <v>2367</v>
      </c>
      <c r="N133" s="7" t="s">
        <v>38</v>
      </c>
      <c r="O133" s="7" t="s">
        <v>41</v>
      </c>
      <c r="P133" s="7">
        <v>14</v>
      </c>
      <c r="Q133" s="9">
        <v>170</v>
      </c>
      <c r="R133" s="9">
        <v>188.7</v>
      </c>
      <c r="S133" s="10">
        <v>0.09</v>
      </c>
      <c r="T133" s="9">
        <v>2404.038</v>
      </c>
      <c r="U133" s="9">
        <v>2380</v>
      </c>
      <c r="V133" s="9">
        <v>24.038</v>
      </c>
      <c r="W133" s="10">
        <v>9.9990099990099994E-3</v>
      </c>
    </row>
    <row r="134" spans="1:23" x14ac:dyDescent="0.3">
      <c r="A134" s="7" t="s">
        <v>581</v>
      </c>
      <c r="B134" s="7" t="s">
        <v>354</v>
      </c>
      <c r="C134" s="7" t="s">
        <v>582</v>
      </c>
      <c r="D134" s="7" t="s">
        <v>583</v>
      </c>
      <c r="E134" s="7" t="s">
        <v>164</v>
      </c>
      <c r="F134" s="8">
        <v>45775</v>
      </c>
      <c r="G134" s="8">
        <v>45776</v>
      </c>
      <c r="H134" s="8">
        <v>45777</v>
      </c>
      <c r="I134" s="7" t="s">
        <v>72</v>
      </c>
      <c r="J134" s="7" t="s">
        <v>2364</v>
      </c>
      <c r="K134" s="7" t="s">
        <v>19</v>
      </c>
      <c r="L134" s="7" t="s">
        <v>24</v>
      </c>
      <c r="M134" s="7" t="s">
        <v>43</v>
      </c>
      <c r="N134" s="7" t="s">
        <v>27</v>
      </c>
      <c r="O134" s="7" t="s">
        <v>31</v>
      </c>
      <c r="P134" s="7">
        <v>5</v>
      </c>
      <c r="Q134" s="9">
        <v>1630</v>
      </c>
      <c r="R134" s="9">
        <v>1744.1</v>
      </c>
      <c r="S134" s="10">
        <v>0</v>
      </c>
      <c r="T134" s="9">
        <v>8720.5</v>
      </c>
      <c r="U134" s="9">
        <v>8150</v>
      </c>
      <c r="V134" s="9">
        <v>570.5</v>
      </c>
      <c r="W134" s="10">
        <v>6.54205607476636E-2</v>
      </c>
    </row>
    <row r="135" spans="1:23" x14ac:dyDescent="0.3">
      <c r="A135" s="7" t="s">
        <v>584</v>
      </c>
      <c r="B135" s="7" t="s">
        <v>585</v>
      </c>
      <c r="C135" s="7" t="s">
        <v>586</v>
      </c>
      <c r="D135" s="7" t="s">
        <v>587</v>
      </c>
      <c r="E135" s="7" t="s">
        <v>173</v>
      </c>
      <c r="F135" s="8">
        <v>45829</v>
      </c>
      <c r="G135" s="8">
        <v>45829</v>
      </c>
      <c r="H135" s="8">
        <v>45833</v>
      </c>
      <c r="I135" s="7" t="s">
        <v>72</v>
      </c>
      <c r="J135" s="7" t="s">
        <v>2</v>
      </c>
      <c r="K135" s="7" t="s">
        <v>21</v>
      </c>
      <c r="L135" s="7" t="s">
        <v>23</v>
      </c>
      <c r="M135" s="7" t="s">
        <v>48</v>
      </c>
      <c r="N135" s="7" t="s">
        <v>38</v>
      </c>
      <c r="O135" s="7" t="s">
        <v>41</v>
      </c>
      <c r="P135" s="7">
        <v>8</v>
      </c>
      <c r="Q135" s="9">
        <v>580</v>
      </c>
      <c r="R135" s="9">
        <v>667</v>
      </c>
      <c r="S135" s="10">
        <v>0.04</v>
      </c>
      <c r="T135" s="9">
        <v>5122.5600000000004</v>
      </c>
      <c r="U135" s="9">
        <v>4640</v>
      </c>
      <c r="V135" s="9">
        <v>482.56</v>
      </c>
      <c r="W135" s="10">
        <v>9.4202898550724598E-2</v>
      </c>
    </row>
    <row r="136" spans="1:23" x14ac:dyDescent="0.3">
      <c r="A136" s="7" t="s">
        <v>588</v>
      </c>
      <c r="B136" s="7" t="s">
        <v>589</v>
      </c>
      <c r="C136" s="7" t="s">
        <v>590</v>
      </c>
      <c r="D136" s="7" t="s">
        <v>591</v>
      </c>
      <c r="E136" s="7" t="s">
        <v>77</v>
      </c>
      <c r="F136" s="8">
        <v>45973</v>
      </c>
      <c r="G136" s="8">
        <v>45973</v>
      </c>
      <c r="H136" s="8">
        <v>45977</v>
      </c>
      <c r="I136" s="7" t="s">
        <v>72</v>
      </c>
      <c r="J136" s="7" t="s">
        <v>2362</v>
      </c>
      <c r="K136" s="7" t="s">
        <v>21</v>
      </c>
      <c r="L136" s="7" t="s">
        <v>24</v>
      </c>
      <c r="M136" s="7" t="s">
        <v>44</v>
      </c>
      <c r="N136" s="7" t="s">
        <v>38</v>
      </c>
      <c r="O136" s="7" t="s">
        <v>45</v>
      </c>
      <c r="P136" s="7">
        <v>13</v>
      </c>
      <c r="Q136" s="9">
        <v>210</v>
      </c>
      <c r="R136" s="9">
        <v>222.6</v>
      </c>
      <c r="S136" s="10">
        <v>0.1</v>
      </c>
      <c r="T136" s="9">
        <v>2604.42</v>
      </c>
      <c r="U136" s="9">
        <v>2730</v>
      </c>
      <c r="V136" s="9">
        <v>-125.58</v>
      </c>
      <c r="W136" s="10">
        <v>-4.8218029350104802E-2</v>
      </c>
    </row>
    <row r="137" spans="1:23" x14ac:dyDescent="0.3">
      <c r="A137" s="7" t="s">
        <v>592</v>
      </c>
      <c r="B137" s="7" t="s">
        <v>420</v>
      </c>
      <c r="C137" s="7" t="s">
        <v>593</v>
      </c>
      <c r="D137" s="7" t="s">
        <v>594</v>
      </c>
      <c r="E137" s="7" t="s">
        <v>100</v>
      </c>
      <c r="F137" s="8">
        <v>46058</v>
      </c>
      <c r="G137" s="8">
        <v>46058</v>
      </c>
      <c r="H137" s="8">
        <v>46060</v>
      </c>
      <c r="I137" s="7" t="s">
        <v>72</v>
      </c>
      <c r="J137" s="7" t="s">
        <v>2363</v>
      </c>
      <c r="K137" s="7" t="s">
        <v>20</v>
      </c>
      <c r="L137" s="7" t="s">
        <v>24</v>
      </c>
      <c r="M137" s="7" t="s">
        <v>42</v>
      </c>
      <c r="N137" s="7" t="s">
        <v>27</v>
      </c>
      <c r="O137" s="7" t="s">
        <v>28</v>
      </c>
      <c r="P137" s="7">
        <v>6</v>
      </c>
      <c r="Q137" s="9">
        <v>3030</v>
      </c>
      <c r="R137" s="9">
        <v>3211.8</v>
      </c>
      <c r="S137" s="10">
        <v>0.01</v>
      </c>
      <c r="T137" s="9">
        <v>19078.092000000001</v>
      </c>
      <c r="U137" s="9">
        <v>18180</v>
      </c>
      <c r="V137" s="9">
        <v>898.09199999999998</v>
      </c>
      <c r="W137" s="10">
        <v>4.7074518772632003E-2</v>
      </c>
    </row>
    <row r="138" spans="1:23" x14ac:dyDescent="0.3">
      <c r="A138" s="7" t="s">
        <v>595</v>
      </c>
      <c r="B138" s="7" t="s">
        <v>596</v>
      </c>
      <c r="C138" s="7" t="s">
        <v>597</v>
      </c>
      <c r="D138" s="7" t="s">
        <v>598</v>
      </c>
      <c r="E138" s="7" t="s">
        <v>119</v>
      </c>
      <c r="F138" s="8">
        <v>45556</v>
      </c>
      <c r="G138" s="8">
        <v>45557</v>
      </c>
      <c r="H138" s="8">
        <v>45561</v>
      </c>
      <c r="I138" s="7" t="s">
        <v>72</v>
      </c>
      <c r="J138" s="7" t="s">
        <v>1</v>
      </c>
      <c r="K138" s="7" t="s">
        <v>19</v>
      </c>
      <c r="L138" s="7" t="s">
        <v>25</v>
      </c>
      <c r="M138" s="7" t="s">
        <v>37</v>
      </c>
      <c r="N138" s="7" t="s">
        <v>38</v>
      </c>
      <c r="O138" s="7" t="s">
        <v>39</v>
      </c>
      <c r="P138" s="7">
        <v>7</v>
      </c>
      <c r="Q138" s="9">
        <v>250</v>
      </c>
      <c r="R138" s="9">
        <v>270</v>
      </c>
      <c r="S138" s="10">
        <v>0.06</v>
      </c>
      <c r="T138" s="9">
        <v>1776.6</v>
      </c>
      <c r="U138" s="9">
        <v>1750</v>
      </c>
      <c r="V138" s="9">
        <v>26.6</v>
      </c>
      <c r="W138" s="10">
        <v>1.49724192277384E-2</v>
      </c>
    </row>
    <row r="139" spans="1:23" x14ac:dyDescent="0.3">
      <c r="A139" s="7" t="s">
        <v>599</v>
      </c>
      <c r="B139" s="7" t="s">
        <v>600</v>
      </c>
      <c r="C139" s="7" t="s">
        <v>601</v>
      </c>
      <c r="D139" s="7" t="s">
        <v>602</v>
      </c>
      <c r="E139" s="7" t="s">
        <v>114</v>
      </c>
      <c r="F139" s="8">
        <v>46174</v>
      </c>
      <c r="G139" s="8">
        <v>46175</v>
      </c>
      <c r="H139" s="8">
        <v>46177</v>
      </c>
      <c r="I139" s="7" t="s">
        <v>72</v>
      </c>
      <c r="J139" s="7" t="s">
        <v>2363</v>
      </c>
      <c r="K139" s="7" t="s">
        <v>21</v>
      </c>
      <c r="L139" s="7" t="s">
        <v>24</v>
      </c>
      <c r="M139" s="7" t="s">
        <v>51</v>
      </c>
      <c r="N139" s="7" t="s">
        <v>33</v>
      </c>
      <c r="O139" s="7" t="s">
        <v>52</v>
      </c>
      <c r="P139" s="7">
        <v>6</v>
      </c>
      <c r="Q139" s="9">
        <v>280</v>
      </c>
      <c r="R139" s="9">
        <v>336</v>
      </c>
      <c r="S139" s="10">
        <v>0.04</v>
      </c>
      <c r="T139" s="9">
        <v>1935.36</v>
      </c>
      <c r="U139" s="9">
        <v>1680</v>
      </c>
      <c r="V139" s="9">
        <v>255.36</v>
      </c>
      <c r="W139" s="10">
        <v>0.131944444444444</v>
      </c>
    </row>
    <row r="140" spans="1:23" x14ac:dyDescent="0.3">
      <c r="A140" s="7" t="s">
        <v>603</v>
      </c>
      <c r="B140" s="7" t="s">
        <v>420</v>
      </c>
      <c r="C140" s="7" t="s">
        <v>604</v>
      </c>
      <c r="D140" s="7" t="s">
        <v>605</v>
      </c>
      <c r="E140" s="7" t="s">
        <v>192</v>
      </c>
      <c r="F140" s="8">
        <v>45834</v>
      </c>
      <c r="G140" s="8">
        <v>45835</v>
      </c>
      <c r="H140" s="8">
        <v>45838</v>
      </c>
      <c r="I140" s="7" t="s">
        <v>72</v>
      </c>
      <c r="J140" s="7" t="s">
        <v>2362</v>
      </c>
      <c r="K140" s="7" t="s">
        <v>21</v>
      </c>
      <c r="L140" s="7" t="s">
        <v>61</v>
      </c>
      <c r="M140" s="7" t="s">
        <v>46</v>
      </c>
      <c r="N140" s="7" t="s">
        <v>38</v>
      </c>
      <c r="O140" s="7" t="s">
        <v>45</v>
      </c>
      <c r="P140" s="7">
        <v>7</v>
      </c>
      <c r="Q140" s="9">
        <v>350</v>
      </c>
      <c r="R140" s="9">
        <v>364</v>
      </c>
      <c r="S140" s="10">
        <v>0.06</v>
      </c>
      <c r="T140" s="9">
        <v>2395.12</v>
      </c>
      <c r="U140" s="9">
        <v>2450</v>
      </c>
      <c r="V140" s="9">
        <v>-54.88</v>
      </c>
      <c r="W140" s="10">
        <v>-2.2913256955810202E-2</v>
      </c>
    </row>
    <row r="141" spans="1:23" x14ac:dyDescent="0.3">
      <c r="A141" s="7" t="s">
        <v>606</v>
      </c>
      <c r="B141" s="7" t="s">
        <v>435</v>
      </c>
      <c r="C141" s="7" t="s">
        <v>607</v>
      </c>
      <c r="D141" s="7" t="s">
        <v>608</v>
      </c>
      <c r="E141" s="7" t="s">
        <v>141</v>
      </c>
      <c r="F141" s="8">
        <v>46086</v>
      </c>
      <c r="G141" s="8">
        <v>46086</v>
      </c>
      <c r="H141" s="8">
        <v>46089</v>
      </c>
      <c r="I141" s="7" t="s">
        <v>82</v>
      </c>
      <c r="J141" s="7" t="s">
        <v>2</v>
      </c>
      <c r="K141" s="7" t="s">
        <v>19</v>
      </c>
      <c r="L141" s="7" t="s">
        <v>61</v>
      </c>
      <c r="M141" s="7" t="s">
        <v>35</v>
      </c>
      <c r="N141" s="7" t="s">
        <v>33</v>
      </c>
      <c r="O141" s="7" t="s">
        <v>36</v>
      </c>
      <c r="P141" s="7">
        <v>1</v>
      </c>
      <c r="Q141" s="9">
        <v>1530</v>
      </c>
      <c r="R141" s="9">
        <v>1790.1</v>
      </c>
      <c r="S141" s="10">
        <v>0.04</v>
      </c>
      <c r="T141" s="9">
        <v>1718.4960000000001</v>
      </c>
      <c r="U141" s="9">
        <v>1530</v>
      </c>
      <c r="V141" s="9">
        <v>188.49600000000001</v>
      </c>
      <c r="W141" s="10">
        <v>0.10968660968661</v>
      </c>
    </row>
    <row r="142" spans="1:23" x14ac:dyDescent="0.3">
      <c r="A142" s="7" t="s">
        <v>609</v>
      </c>
      <c r="B142" s="7" t="s">
        <v>389</v>
      </c>
      <c r="C142" s="7" t="s">
        <v>610</v>
      </c>
      <c r="D142" s="7" t="s">
        <v>611</v>
      </c>
      <c r="E142" s="7" t="s">
        <v>100</v>
      </c>
      <c r="F142" s="8">
        <v>45346</v>
      </c>
      <c r="G142" s="8">
        <v>45347</v>
      </c>
      <c r="H142" s="8">
        <v>45351</v>
      </c>
      <c r="I142" s="7" t="s">
        <v>72</v>
      </c>
      <c r="J142" s="7" t="s">
        <v>2364</v>
      </c>
      <c r="K142" s="7" t="s">
        <v>21</v>
      </c>
      <c r="L142" s="7" t="s">
        <v>24</v>
      </c>
      <c r="M142" s="7" t="s">
        <v>42</v>
      </c>
      <c r="N142" s="7" t="s">
        <v>27</v>
      </c>
      <c r="O142" s="7" t="s">
        <v>28</v>
      </c>
      <c r="P142" s="7">
        <v>6</v>
      </c>
      <c r="Q142" s="9">
        <v>3030</v>
      </c>
      <c r="R142" s="9">
        <v>3211.8</v>
      </c>
      <c r="S142" s="10">
        <v>0.09</v>
      </c>
      <c r="T142" s="9">
        <v>17536.428</v>
      </c>
      <c r="U142" s="9">
        <v>18180</v>
      </c>
      <c r="V142" s="9">
        <v>-643.572</v>
      </c>
      <c r="W142" s="10">
        <v>-3.66991499066971E-2</v>
      </c>
    </row>
    <row r="143" spans="1:23" x14ac:dyDescent="0.3">
      <c r="A143" s="7" t="s">
        <v>612</v>
      </c>
      <c r="B143" s="7" t="s">
        <v>271</v>
      </c>
      <c r="C143" s="7" t="s">
        <v>613</v>
      </c>
      <c r="D143" s="7" t="s">
        <v>614</v>
      </c>
      <c r="E143" s="7" t="s">
        <v>95</v>
      </c>
      <c r="F143" s="8">
        <v>45666</v>
      </c>
      <c r="G143" s="8">
        <v>45667</v>
      </c>
      <c r="H143" s="8">
        <v>45669</v>
      </c>
      <c r="I143" s="7" t="s">
        <v>72</v>
      </c>
      <c r="J143" s="7" t="s">
        <v>2364</v>
      </c>
      <c r="K143" s="7" t="s">
        <v>19</v>
      </c>
      <c r="L143" s="7" t="s">
        <v>22</v>
      </c>
      <c r="M143" s="7" t="s">
        <v>49</v>
      </c>
      <c r="N143" s="7" t="s">
        <v>33</v>
      </c>
      <c r="O143" s="7" t="s">
        <v>34</v>
      </c>
      <c r="P143" s="7">
        <v>7</v>
      </c>
      <c r="Q143" s="9">
        <v>1080</v>
      </c>
      <c r="R143" s="9">
        <v>1112.4000000000001</v>
      </c>
      <c r="S143" s="10">
        <v>0</v>
      </c>
      <c r="T143" s="9">
        <v>7786.8</v>
      </c>
      <c r="U143" s="9">
        <v>7560</v>
      </c>
      <c r="V143" s="9">
        <v>226.8</v>
      </c>
      <c r="W143" s="10">
        <v>2.9126213592233E-2</v>
      </c>
    </row>
    <row r="144" spans="1:23" x14ac:dyDescent="0.3">
      <c r="A144" s="7" t="s">
        <v>615</v>
      </c>
      <c r="B144" s="7" t="s">
        <v>616</v>
      </c>
      <c r="C144" s="7" t="s">
        <v>617</v>
      </c>
      <c r="D144" s="7" t="s">
        <v>618</v>
      </c>
      <c r="E144" s="7" t="s">
        <v>141</v>
      </c>
      <c r="F144" s="8">
        <v>46145</v>
      </c>
      <c r="G144" s="8">
        <v>46146</v>
      </c>
      <c r="H144" s="8">
        <v>46148</v>
      </c>
      <c r="I144" s="7" t="s">
        <v>72</v>
      </c>
      <c r="J144" s="7" t="s">
        <v>2</v>
      </c>
      <c r="K144" s="7" t="s">
        <v>20</v>
      </c>
      <c r="L144" s="7" t="s">
        <v>23</v>
      </c>
      <c r="M144" s="7" t="s">
        <v>35</v>
      </c>
      <c r="N144" s="7" t="s">
        <v>33</v>
      </c>
      <c r="O144" s="7" t="s">
        <v>36</v>
      </c>
      <c r="P144" s="7">
        <v>7</v>
      </c>
      <c r="Q144" s="9">
        <v>1530</v>
      </c>
      <c r="R144" s="9">
        <v>1790.1</v>
      </c>
      <c r="S144" s="10">
        <v>0.06</v>
      </c>
      <c r="T144" s="9">
        <v>11778.858</v>
      </c>
      <c r="U144" s="9">
        <v>10710</v>
      </c>
      <c r="V144" s="9">
        <v>1068.8579999999999</v>
      </c>
      <c r="W144" s="10">
        <v>9.0743771594835404E-2</v>
      </c>
    </row>
    <row r="145" spans="1:23" x14ac:dyDescent="0.3">
      <c r="A145" s="7" t="s">
        <v>619</v>
      </c>
      <c r="B145" s="7" t="s">
        <v>263</v>
      </c>
      <c r="C145" s="7" t="s">
        <v>620</v>
      </c>
      <c r="D145" s="7" t="s">
        <v>621</v>
      </c>
      <c r="E145" s="7" t="s">
        <v>217</v>
      </c>
      <c r="F145" s="8">
        <v>45952</v>
      </c>
      <c r="G145" s="8">
        <v>45953</v>
      </c>
      <c r="H145" s="8">
        <v>45957</v>
      </c>
      <c r="I145" s="7" t="s">
        <v>72</v>
      </c>
      <c r="J145" s="7" t="s">
        <v>2</v>
      </c>
      <c r="K145" s="7" t="s">
        <v>20</v>
      </c>
      <c r="L145" s="7" t="s">
        <v>61</v>
      </c>
      <c r="M145" s="7" t="s">
        <v>29</v>
      </c>
      <c r="N145" s="7" t="s">
        <v>27</v>
      </c>
      <c r="O145" s="7" t="s">
        <v>28</v>
      </c>
      <c r="P145" s="7">
        <v>8</v>
      </c>
      <c r="Q145" s="9">
        <v>3930</v>
      </c>
      <c r="R145" s="9">
        <v>4362.3</v>
      </c>
      <c r="S145" s="10">
        <v>7.0000000000000007E-2</v>
      </c>
      <c r="T145" s="9">
        <v>32455.511999999999</v>
      </c>
      <c r="U145" s="9">
        <v>31440</v>
      </c>
      <c r="V145" s="9">
        <v>1015.5119999999999</v>
      </c>
      <c r="W145" s="10">
        <v>3.1289353869999002E-2</v>
      </c>
    </row>
    <row r="146" spans="1:23" x14ac:dyDescent="0.3">
      <c r="A146" s="7" t="s">
        <v>622</v>
      </c>
      <c r="B146" s="7" t="s">
        <v>568</v>
      </c>
      <c r="C146" s="7" t="s">
        <v>623</v>
      </c>
      <c r="D146" s="7" t="s">
        <v>624</v>
      </c>
      <c r="E146" s="7" t="s">
        <v>109</v>
      </c>
      <c r="F146" s="8">
        <v>45926</v>
      </c>
      <c r="G146" s="8">
        <v>45927</v>
      </c>
      <c r="H146" s="8">
        <v>45928</v>
      </c>
      <c r="I146" s="7" t="s">
        <v>72</v>
      </c>
      <c r="J146" s="7" t="s">
        <v>2364</v>
      </c>
      <c r="K146" s="7" t="s">
        <v>19</v>
      </c>
      <c r="L146" s="7" t="s">
        <v>25</v>
      </c>
      <c r="M146" s="7" t="s">
        <v>2365</v>
      </c>
      <c r="N146" s="7" t="s">
        <v>27</v>
      </c>
      <c r="O146" s="7" t="s">
        <v>56</v>
      </c>
      <c r="P146" s="7">
        <v>10</v>
      </c>
      <c r="Q146" s="9">
        <v>650</v>
      </c>
      <c r="R146" s="9">
        <v>663</v>
      </c>
      <c r="S146" s="10">
        <v>0.09</v>
      </c>
      <c r="T146" s="9">
        <v>6033.3</v>
      </c>
      <c r="U146" s="9">
        <v>6500</v>
      </c>
      <c r="V146" s="9">
        <v>-466.7</v>
      </c>
      <c r="W146" s="10">
        <v>-7.7354018530489094E-2</v>
      </c>
    </row>
    <row r="147" spans="1:23" x14ac:dyDescent="0.3">
      <c r="A147" s="7" t="s">
        <v>625</v>
      </c>
      <c r="B147" s="7" t="s">
        <v>585</v>
      </c>
      <c r="C147" s="7" t="s">
        <v>626</v>
      </c>
      <c r="D147" s="7" t="s">
        <v>627</v>
      </c>
      <c r="E147" s="7" t="s">
        <v>87</v>
      </c>
      <c r="F147" s="8">
        <v>45433</v>
      </c>
      <c r="G147" s="8">
        <v>45433</v>
      </c>
      <c r="H147" s="8">
        <v>45435</v>
      </c>
      <c r="I147" s="7" t="s">
        <v>82</v>
      </c>
      <c r="J147" s="7" t="s">
        <v>2362</v>
      </c>
      <c r="K147" s="7" t="s">
        <v>19</v>
      </c>
      <c r="L147" s="7" t="s">
        <v>25</v>
      </c>
      <c r="M147" s="7" t="s">
        <v>30</v>
      </c>
      <c r="N147" s="7" t="s">
        <v>27</v>
      </c>
      <c r="O147" s="7" t="s">
        <v>31</v>
      </c>
      <c r="P147" s="7">
        <v>4</v>
      </c>
      <c r="Q147" s="9">
        <v>1030</v>
      </c>
      <c r="R147" s="9">
        <v>1174.2</v>
      </c>
      <c r="S147" s="10">
        <v>0.09</v>
      </c>
      <c r="T147" s="9">
        <v>4274.0879999999997</v>
      </c>
      <c r="U147" s="9">
        <v>4120</v>
      </c>
      <c r="V147" s="9">
        <v>154.08799999999999</v>
      </c>
      <c r="W147" s="10">
        <v>3.6051667630615E-2</v>
      </c>
    </row>
    <row r="148" spans="1:23" x14ac:dyDescent="0.3">
      <c r="A148" s="7" t="s">
        <v>628</v>
      </c>
      <c r="B148" s="7" t="s">
        <v>629</v>
      </c>
      <c r="C148" s="7" t="s">
        <v>630</v>
      </c>
      <c r="D148" s="7" t="s">
        <v>631</v>
      </c>
      <c r="E148" s="7" t="s">
        <v>109</v>
      </c>
      <c r="F148" s="8">
        <v>45862</v>
      </c>
      <c r="G148" s="8">
        <v>45862</v>
      </c>
      <c r="H148" s="8">
        <v>45867</v>
      </c>
      <c r="I148" s="7" t="s">
        <v>82</v>
      </c>
      <c r="J148" s="7" t="s">
        <v>1</v>
      </c>
      <c r="K148" s="7" t="s">
        <v>19</v>
      </c>
      <c r="L148" s="7" t="s">
        <v>24</v>
      </c>
      <c r="M148" s="7" t="s">
        <v>2365</v>
      </c>
      <c r="N148" s="7" t="s">
        <v>27</v>
      </c>
      <c r="O148" s="7" t="s">
        <v>56</v>
      </c>
      <c r="P148" s="7">
        <v>4</v>
      </c>
      <c r="Q148" s="9">
        <v>650</v>
      </c>
      <c r="R148" s="9">
        <v>663</v>
      </c>
      <c r="S148" s="10">
        <v>0.02</v>
      </c>
      <c r="T148" s="9">
        <v>2598.96</v>
      </c>
      <c r="U148" s="9">
        <v>2600</v>
      </c>
      <c r="V148" s="9">
        <v>-1.04</v>
      </c>
      <c r="W148" s="10">
        <v>-4.0016006402561E-4</v>
      </c>
    </row>
    <row r="149" spans="1:23" x14ac:dyDescent="0.3">
      <c r="A149" s="7" t="s">
        <v>632</v>
      </c>
      <c r="B149" s="7" t="s">
        <v>633</v>
      </c>
      <c r="C149" s="7" t="s">
        <v>634</v>
      </c>
      <c r="D149" s="7" t="s">
        <v>430</v>
      </c>
      <c r="E149" s="7" t="s">
        <v>132</v>
      </c>
      <c r="F149" s="8">
        <v>45559</v>
      </c>
      <c r="G149" s="8">
        <v>45559</v>
      </c>
      <c r="H149" s="8">
        <v>45561</v>
      </c>
      <c r="I149" s="7" t="s">
        <v>72</v>
      </c>
      <c r="J149" s="7" t="s">
        <v>2363</v>
      </c>
      <c r="K149" s="7" t="s">
        <v>21</v>
      </c>
      <c r="L149" s="7" t="s">
        <v>22</v>
      </c>
      <c r="M149" s="7" t="s">
        <v>2366</v>
      </c>
      <c r="N149" s="7" t="s">
        <v>27</v>
      </c>
      <c r="O149" s="7" t="s">
        <v>54</v>
      </c>
      <c r="P149" s="7">
        <v>7</v>
      </c>
      <c r="Q149" s="9">
        <v>430</v>
      </c>
      <c r="R149" s="9">
        <v>455.8</v>
      </c>
      <c r="S149" s="10">
        <v>0.1</v>
      </c>
      <c r="T149" s="9">
        <v>2871.54</v>
      </c>
      <c r="U149" s="9">
        <v>3010</v>
      </c>
      <c r="V149" s="9">
        <v>-138.46</v>
      </c>
      <c r="W149" s="10">
        <v>-4.8218029350104802E-2</v>
      </c>
    </row>
    <row r="150" spans="1:23" x14ac:dyDescent="0.3">
      <c r="A150" s="7" t="s">
        <v>635</v>
      </c>
      <c r="B150" s="7" t="s">
        <v>636</v>
      </c>
      <c r="C150" s="7" t="s">
        <v>637</v>
      </c>
      <c r="D150" s="7" t="s">
        <v>638</v>
      </c>
      <c r="E150" s="7" t="s">
        <v>100</v>
      </c>
      <c r="F150" s="8">
        <v>45706</v>
      </c>
      <c r="G150" s="8">
        <v>45706</v>
      </c>
      <c r="H150" s="8">
        <v>45709</v>
      </c>
      <c r="I150" s="7" t="s">
        <v>82</v>
      </c>
      <c r="J150" s="7" t="s">
        <v>2363</v>
      </c>
      <c r="K150" s="7" t="s">
        <v>20</v>
      </c>
      <c r="L150" s="7" t="s">
        <v>25</v>
      </c>
      <c r="M150" s="7" t="s">
        <v>42</v>
      </c>
      <c r="N150" s="7" t="s">
        <v>27</v>
      </c>
      <c r="O150" s="7" t="s">
        <v>28</v>
      </c>
      <c r="P150" s="7">
        <v>2</v>
      </c>
      <c r="Q150" s="9">
        <v>3030</v>
      </c>
      <c r="R150" s="9">
        <v>3211.8</v>
      </c>
      <c r="S150" s="10">
        <v>0.1</v>
      </c>
      <c r="T150" s="9">
        <v>5781.24</v>
      </c>
      <c r="U150" s="9">
        <v>6060</v>
      </c>
      <c r="V150" s="9">
        <v>-278.76</v>
      </c>
      <c r="W150" s="10">
        <v>-4.8218029350104802E-2</v>
      </c>
    </row>
    <row r="151" spans="1:23" x14ac:dyDescent="0.3">
      <c r="A151" s="7" t="s">
        <v>639</v>
      </c>
      <c r="B151" s="7" t="s">
        <v>466</v>
      </c>
      <c r="C151" s="7" t="s">
        <v>640</v>
      </c>
      <c r="D151" s="7" t="s">
        <v>641</v>
      </c>
      <c r="E151" s="7" t="s">
        <v>178</v>
      </c>
      <c r="F151" s="8">
        <v>46078</v>
      </c>
      <c r="G151" s="8">
        <v>46078</v>
      </c>
      <c r="H151" s="8">
        <v>46080</v>
      </c>
      <c r="I151" s="7" t="s">
        <v>72</v>
      </c>
      <c r="J151" s="7" t="s">
        <v>2362</v>
      </c>
      <c r="K151" s="7" t="s">
        <v>21</v>
      </c>
      <c r="L151" s="7" t="s">
        <v>24</v>
      </c>
      <c r="M151" s="7" t="s">
        <v>47</v>
      </c>
      <c r="N151" s="7" t="s">
        <v>38</v>
      </c>
      <c r="O151" s="7" t="s">
        <v>39</v>
      </c>
      <c r="P151" s="7">
        <v>10</v>
      </c>
      <c r="Q151" s="9">
        <v>390</v>
      </c>
      <c r="R151" s="9">
        <v>468</v>
      </c>
      <c r="S151" s="10">
        <v>0.09</v>
      </c>
      <c r="T151" s="9">
        <v>4258.8</v>
      </c>
      <c r="U151" s="9">
        <v>3900</v>
      </c>
      <c r="V151" s="9">
        <v>358.8</v>
      </c>
      <c r="W151" s="10">
        <v>8.42490842490842E-2</v>
      </c>
    </row>
    <row r="152" spans="1:23" x14ac:dyDescent="0.3">
      <c r="A152" s="7" t="s">
        <v>642</v>
      </c>
      <c r="B152" s="7" t="s">
        <v>393</v>
      </c>
      <c r="C152" s="7" t="s">
        <v>643</v>
      </c>
      <c r="D152" s="7" t="s">
        <v>644</v>
      </c>
      <c r="E152" s="7" t="s">
        <v>291</v>
      </c>
      <c r="F152" s="8">
        <v>45444</v>
      </c>
      <c r="G152" s="8">
        <v>45445</v>
      </c>
      <c r="H152" s="8">
        <v>45447</v>
      </c>
      <c r="I152" s="7" t="s">
        <v>72</v>
      </c>
      <c r="J152" s="7" t="s">
        <v>2363</v>
      </c>
      <c r="K152" s="7" t="s">
        <v>19</v>
      </c>
      <c r="L152" s="7" t="s">
        <v>25</v>
      </c>
      <c r="M152" s="7" t="s">
        <v>57</v>
      </c>
      <c r="N152" s="7" t="s">
        <v>27</v>
      </c>
      <c r="O152" s="7" t="s">
        <v>58</v>
      </c>
      <c r="P152" s="7">
        <v>10</v>
      </c>
      <c r="Q152" s="9">
        <v>480</v>
      </c>
      <c r="R152" s="9">
        <v>513.6</v>
      </c>
      <c r="S152" s="10">
        <v>0.01</v>
      </c>
      <c r="T152" s="9">
        <v>5084.6400000000003</v>
      </c>
      <c r="U152" s="9">
        <v>4800</v>
      </c>
      <c r="V152" s="9">
        <v>284.64</v>
      </c>
      <c r="W152" s="10">
        <v>5.5980364391579301E-2</v>
      </c>
    </row>
    <row r="153" spans="1:23" x14ac:dyDescent="0.3">
      <c r="A153" s="7" t="s">
        <v>645</v>
      </c>
      <c r="B153" s="7" t="s">
        <v>319</v>
      </c>
      <c r="C153" s="7" t="s">
        <v>646</v>
      </c>
      <c r="D153" s="7" t="s">
        <v>647</v>
      </c>
      <c r="E153" s="7" t="s">
        <v>187</v>
      </c>
      <c r="F153" s="8">
        <v>45716</v>
      </c>
      <c r="G153" s="8">
        <v>45716</v>
      </c>
      <c r="H153" s="8">
        <v>45718</v>
      </c>
      <c r="I153" s="7" t="s">
        <v>82</v>
      </c>
      <c r="J153" s="7" t="s">
        <v>2363</v>
      </c>
      <c r="K153" s="7" t="s">
        <v>20</v>
      </c>
      <c r="L153" s="7" t="s">
        <v>25</v>
      </c>
      <c r="M153" s="7" t="s">
        <v>2367</v>
      </c>
      <c r="N153" s="7" t="s">
        <v>38</v>
      </c>
      <c r="O153" s="7" t="s">
        <v>41</v>
      </c>
      <c r="P153" s="7">
        <v>2</v>
      </c>
      <c r="Q153" s="9">
        <v>170</v>
      </c>
      <c r="R153" s="9">
        <v>188.7</v>
      </c>
      <c r="S153" s="10">
        <v>0.08</v>
      </c>
      <c r="T153" s="9">
        <v>347.20800000000003</v>
      </c>
      <c r="U153" s="9">
        <v>340</v>
      </c>
      <c r="V153" s="9">
        <v>7.2080000000000002</v>
      </c>
      <c r="W153" s="10">
        <v>2.0759890325107701E-2</v>
      </c>
    </row>
    <row r="154" spans="1:23" x14ac:dyDescent="0.3">
      <c r="A154" s="7" t="s">
        <v>648</v>
      </c>
      <c r="B154" s="7" t="s">
        <v>252</v>
      </c>
      <c r="C154" s="7" t="s">
        <v>649</v>
      </c>
      <c r="D154" s="7" t="s">
        <v>650</v>
      </c>
      <c r="E154" s="7" t="s">
        <v>208</v>
      </c>
      <c r="F154" s="8">
        <v>45321</v>
      </c>
      <c r="G154" s="8">
        <v>45322</v>
      </c>
      <c r="H154" s="8">
        <v>45326</v>
      </c>
      <c r="I154" s="7" t="s">
        <v>72</v>
      </c>
      <c r="J154" s="7" t="s">
        <v>1</v>
      </c>
      <c r="K154" s="7" t="s">
        <v>19</v>
      </c>
      <c r="L154" s="7" t="s">
        <v>25</v>
      </c>
      <c r="M154" s="7" t="s">
        <v>50</v>
      </c>
      <c r="N154" s="7" t="s">
        <v>33</v>
      </c>
      <c r="O154" s="7" t="s">
        <v>36</v>
      </c>
      <c r="P154" s="7">
        <v>6</v>
      </c>
      <c r="Q154" s="9">
        <v>930</v>
      </c>
      <c r="R154" s="9">
        <v>1078.8</v>
      </c>
      <c r="S154" s="10">
        <v>0</v>
      </c>
      <c r="T154" s="9">
        <v>6472.8</v>
      </c>
      <c r="U154" s="9">
        <v>5580</v>
      </c>
      <c r="V154" s="9">
        <v>892.8</v>
      </c>
      <c r="W154" s="10">
        <v>0.13793103448275901</v>
      </c>
    </row>
    <row r="155" spans="1:23" x14ac:dyDescent="0.3">
      <c r="A155" s="7" t="s">
        <v>651</v>
      </c>
      <c r="B155" s="7" t="s">
        <v>652</v>
      </c>
      <c r="C155" s="7" t="s">
        <v>653</v>
      </c>
      <c r="D155" s="7" t="s">
        <v>654</v>
      </c>
      <c r="E155" s="7" t="s">
        <v>208</v>
      </c>
      <c r="F155" s="8">
        <v>45931</v>
      </c>
      <c r="G155" s="8">
        <v>45932</v>
      </c>
      <c r="H155" s="8">
        <v>45933</v>
      </c>
      <c r="I155" s="7" t="s">
        <v>72</v>
      </c>
      <c r="J155" s="7" t="s">
        <v>1</v>
      </c>
      <c r="K155" s="7" t="s">
        <v>21</v>
      </c>
      <c r="L155" s="7" t="s">
        <v>25</v>
      </c>
      <c r="M155" s="7" t="s">
        <v>50</v>
      </c>
      <c r="N155" s="7" t="s">
        <v>33</v>
      </c>
      <c r="O155" s="7" t="s">
        <v>36</v>
      </c>
      <c r="P155" s="7">
        <v>6</v>
      </c>
      <c r="Q155" s="9">
        <v>930</v>
      </c>
      <c r="R155" s="9">
        <v>1078.8</v>
      </c>
      <c r="S155" s="10">
        <v>0.01</v>
      </c>
      <c r="T155" s="9">
        <v>6408.0720000000001</v>
      </c>
      <c r="U155" s="9">
        <v>5580</v>
      </c>
      <c r="V155" s="9">
        <v>828.072</v>
      </c>
      <c r="W155" s="10">
        <v>0.12922326715430199</v>
      </c>
    </row>
    <row r="156" spans="1:23" x14ac:dyDescent="0.3">
      <c r="A156" s="7" t="s">
        <v>655</v>
      </c>
      <c r="B156" s="7" t="s">
        <v>656</v>
      </c>
      <c r="C156" s="7" t="s">
        <v>657</v>
      </c>
      <c r="D156" s="7" t="s">
        <v>658</v>
      </c>
      <c r="E156" s="7" t="s">
        <v>77</v>
      </c>
      <c r="F156" s="8">
        <v>45894</v>
      </c>
      <c r="G156" s="8">
        <v>45895</v>
      </c>
      <c r="H156" s="8">
        <v>45898</v>
      </c>
      <c r="I156" s="7" t="s">
        <v>82</v>
      </c>
      <c r="J156" s="7" t="s">
        <v>1</v>
      </c>
      <c r="K156" s="7" t="s">
        <v>20</v>
      </c>
      <c r="L156" s="7" t="s">
        <v>25</v>
      </c>
      <c r="M156" s="7" t="s">
        <v>44</v>
      </c>
      <c r="N156" s="7" t="s">
        <v>38</v>
      </c>
      <c r="O156" s="7" t="s">
        <v>45</v>
      </c>
      <c r="P156" s="7">
        <v>2</v>
      </c>
      <c r="Q156" s="9">
        <v>210</v>
      </c>
      <c r="R156" s="9">
        <v>222.6</v>
      </c>
      <c r="S156" s="10">
        <v>0.03</v>
      </c>
      <c r="T156" s="9">
        <v>431.84399999999999</v>
      </c>
      <c r="U156" s="9">
        <v>420</v>
      </c>
      <c r="V156" s="9">
        <v>11.843999999999999</v>
      </c>
      <c r="W156" s="10">
        <v>2.74265707060883E-2</v>
      </c>
    </row>
    <row r="157" spans="1:23" x14ac:dyDescent="0.3">
      <c r="A157" s="7" t="s">
        <v>659</v>
      </c>
      <c r="B157" s="7" t="s">
        <v>660</v>
      </c>
      <c r="C157" s="7" t="s">
        <v>661</v>
      </c>
      <c r="D157" s="7" t="s">
        <v>662</v>
      </c>
      <c r="E157" s="7" t="s">
        <v>87</v>
      </c>
      <c r="F157" s="8">
        <v>46004</v>
      </c>
      <c r="G157" s="8">
        <v>46005</v>
      </c>
      <c r="H157" s="8">
        <v>46006</v>
      </c>
      <c r="I157" s="7" t="s">
        <v>72</v>
      </c>
      <c r="J157" s="7" t="s">
        <v>2362</v>
      </c>
      <c r="K157" s="7" t="s">
        <v>21</v>
      </c>
      <c r="L157" s="7" t="s">
        <v>23</v>
      </c>
      <c r="M157" s="7" t="s">
        <v>30</v>
      </c>
      <c r="N157" s="7" t="s">
        <v>27</v>
      </c>
      <c r="O157" s="7" t="s">
        <v>31</v>
      </c>
      <c r="P157" s="7">
        <v>11</v>
      </c>
      <c r="Q157" s="9">
        <v>1030</v>
      </c>
      <c r="R157" s="9">
        <v>1174.2</v>
      </c>
      <c r="S157" s="10">
        <v>0.01</v>
      </c>
      <c r="T157" s="9">
        <v>12787.038</v>
      </c>
      <c r="U157" s="9">
        <v>11330</v>
      </c>
      <c r="V157" s="9">
        <v>1457.038</v>
      </c>
      <c r="W157" s="10">
        <v>0.113946482367535</v>
      </c>
    </row>
    <row r="158" spans="1:23" x14ac:dyDescent="0.3">
      <c r="A158" s="7" t="s">
        <v>663</v>
      </c>
      <c r="B158" s="7" t="s">
        <v>89</v>
      </c>
      <c r="C158" s="7" t="s">
        <v>664</v>
      </c>
      <c r="D158" s="7" t="s">
        <v>665</v>
      </c>
      <c r="E158" s="7" t="s">
        <v>291</v>
      </c>
      <c r="F158" s="8">
        <v>45355</v>
      </c>
      <c r="G158" s="8">
        <v>45355</v>
      </c>
      <c r="H158" s="8">
        <v>45358</v>
      </c>
      <c r="I158" s="7" t="s">
        <v>72</v>
      </c>
      <c r="J158" s="7" t="s">
        <v>1</v>
      </c>
      <c r="K158" s="7" t="s">
        <v>19</v>
      </c>
      <c r="L158" s="7" t="s">
        <v>22</v>
      </c>
      <c r="M158" s="7" t="s">
        <v>57</v>
      </c>
      <c r="N158" s="7" t="s">
        <v>27</v>
      </c>
      <c r="O158" s="7" t="s">
        <v>58</v>
      </c>
      <c r="P158" s="7">
        <v>7</v>
      </c>
      <c r="Q158" s="9">
        <v>480</v>
      </c>
      <c r="R158" s="9">
        <v>513.6</v>
      </c>
      <c r="S158" s="10">
        <v>0.04</v>
      </c>
      <c r="T158" s="9">
        <v>3451.3919999999998</v>
      </c>
      <c r="U158" s="9">
        <v>3360</v>
      </c>
      <c r="V158" s="9">
        <v>91.391999999999996</v>
      </c>
      <c r="W158" s="10">
        <v>2.6479750778816199E-2</v>
      </c>
    </row>
    <row r="159" spans="1:23" x14ac:dyDescent="0.3">
      <c r="A159" s="7" t="s">
        <v>666</v>
      </c>
      <c r="B159" s="7" t="s">
        <v>210</v>
      </c>
      <c r="C159" s="7" t="s">
        <v>667</v>
      </c>
      <c r="D159" s="7" t="s">
        <v>668</v>
      </c>
      <c r="E159" s="7" t="s">
        <v>291</v>
      </c>
      <c r="F159" s="8">
        <v>45322</v>
      </c>
      <c r="G159" s="8">
        <v>45322</v>
      </c>
      <c r="H159" s="8">
        <v>45325</v>
      </c>
      <c r="I159" s="7" t="s">
        <v>72</v>
      </c>
      <c r="J159" s="7" t="s">
        <v>2364</v>
      </c>
      <c r="K159" s="7" t="s">
        <v>21</v>
      </c>
      <c r="L159" s="7" t="s">
        <v>23</v>
      </c>
      <c r="M159" s="7" t="s">
        <v>57</v>
      </c>
      <c r="N159" s="7" t="s">
        <v>27</v>
      </c>
      <c r="O159" s="7" t="s">
        <v>58</v>
      </c>
      <c r="P159" s="7">
        <v>15</v>
      </c>
      <c r="Q159" s="9">
        <v>480</v>
      </c>
      <c r="R159" s="9">
        <v>513.6</v>
      </c>
      <c r="S159" s="10">
        <v>0.09</v>
      </c>
      <c r="T159" s="9">
        <v>7010.64</v>
      </c>
      <c r="U159" s="9">
        <v>7200</v>
      </c>
      <c r="V159" s="9">
        <v>-189.36</v>
      </c>
      <c r="W159" s="10">
        <v>-2.7010372804765301E-2</v>
      </c>
    </row>
    <row r="160" spans="1:23" x14ac:dyDescent="0.3">
      <c r="A160" s="7" t="s">
        <v>669</v>
      </c>
      <c r="B160" s="7" t="s">
        <v>542</v>
      </c>
      <c r="C160" s="7" t="s">
        <v>670</v>
      </c>
      <c r="D160" s="7" t="s">
        <v>671</v>
      </c>
      <c r="E160" s="7" t="s">
        <v>119</v>
      </c>
      <c r="F160" s="8">
        <v>45307</v>
      </c>
      <c r="G160" s="8">
        <v>45308</v>
      </c>
      <c r="H160" s="8">
        <v>45309</v>
      </c>
      <c r="I160" s="7" t="s">
        <v>72</v>
      </c>
      <c r="J160" s="7" t="s">
        <v>2364</v>
      </c>
      <c r="K160" s="7" t="s">
        <v>21</v>
      </c>
      <c r="L160" s="7" t="s">
        <v>22</v>
      </c>
      <c r="M160" s="7" t="s">
        <v>37</v>
      </c>
      <c r="N160" s="7" t="s">
        <v>38</v>
      </c>
      <c r="O160" s="7" t="s">
        <v>39</v>
      </c>
      <c r="P160" s="7">
        <v>14</v>
      </c>
      <c r="Q160" s="9">
        <v>250</v>
      </c>
      <c r="R160" s="9">
        <v>270</v>
      </c>
      <c r="S160" s="10">
        <v>0.04</v>
      </c>
      <c r="T160" s="9">
        <v>3628.8</v>
      </c>
      <c r="U160" s="9">
        <v>3500</v>
      </c>
      <c r="V160" s="9">
        <v>128.80000000000001</v>
      </c>
      <c r="W160" s="10">
        <v>3.5493827160493797E-2</v>
      </c>
    </row>
    <row r="161" spans="1:23" x14ac:dyDescent="0.3">
      <c r="A161" s="7" t="s">
        <v>672</v>
      </c>
      <c r="B161" s="7" t="s">
        <v>89</v>
      </c>
      <c r="C161" s="7" t="s">
        <v>673</v>
      </c>
      <c r="D161" s="7" t="s">
        <v>674</v>
      </c>
      <c r="E161" s="7" t="s">
        <v>87</v>
      </c>
      <c r="F161" s="8">
        <v>45940</v>
      </c>
      <c r="G161" s="8">
        <v>45941</v>
      </c>
      <c r="H161" s="8">
        <v>45945</v>
      </c>
      <c r="I161" s="7" t="s">
        <v>72</v>
      </c>
      <c r="J161" s="7" t="s">
        <v>2363</v>
      </c>
      <c r="K161" s="7" t="s">
        <v>20</v>
      </c>
      <c r="L161" s="7" t="s">
        <v>61</v>
      </c>
      <c r="M161" s="7" t="s">
        <v>30</v>
      </c>
      <c r="N161" s="7" t="s">
        <v>27</v>
      </c>
      <c r="O161" s="7" t="s">
        <v>31</v>
      </c>
      <c r="P161" s="7">
        <v>8</v>
      </c>
      <c r="Q161" s="9">
        <v>1030</v>
      </c>
      <c r="R161" s="9">
        <v>1174.2</v>
      </c>
      <c r="S161" s="10">
        <v>0.04</v>
      </c>
      <c r="T161" s="9">
        <v>9017.8559999999998</v>
      </c>
      <c r="U161" s="9">
        <v>8240</v>
      </c>
      <c r="V161" s="9">
        <v>777.85599999999999</v>
      </c>
      <c r="W161" s="10">
        <v>8.6257309941520505E-2</v>
      </c>
    </row>
    <row r="162" spans="1:23" x14ac:dyDescent="0.3">
      <c r="A162" s="7" t="s">
        <v>675</v>
      </c>
      <c r="B162" s="7" t="s">
        <v>214</v>
      </c>
      <c r="C162" s="7" t="s">
        <v>676</v>
      </c>
      <c r="D162" s="7" t="s">
        <v>677</v>
      </c>
      <c r="E162" s="7" t="s">
        <v>187</v>
      </c>
      <c r="F162" s="8">
        <v>46021</v>
      </c>
      <c r="G162" s="8">
        <v>46022</v>
      </c>
      <c r="H162" s="8">
        <v>46024</v>
      </c>
      <c r="I162" s="7" t="s">
        <v>72</v>
      </c>
      <c r="J162" s="7" t="s">
        <v>2363</v>
      </c>
      <c r="K162" s="7" t="s">
        <v>19</v>
      </c>
      <c r="L162" s="7" t="s">
        <v>24</v>
      </c>
      <c r="M162" s="7" t="s">
        <v>2367</v>
      </c>
      <c r="N162" s="7" t="s">
        <v>38</v>
      </c>
      <c r="O162" s="7" t="s">
        <v>41</v>
      </c>
      <c r="P162" s="7">
        <v>8</v>
      </c>
      <c r="Q162" s="9">
        <v>170</v>
      </c>
      <c r="R162" s="9">
        <v>188.7</v>
      </c>
      <c r="S162" s="10">
        <v>0.02</v>
      </c>
      <c r="T162" s="9">
        <v>1479.4079999999999</v>
      </c>
      <c r="U162" s="9">
        <v>1360</v>
      </c>
      <c r="V162" s="9">
        <v>119.408</v>
      </c>
      <c r="W162" s="10">
        <v>8.0713366427652103E-2</v>
      </c>
    </row>
    <row r="163" spans="1:23" x14ac:dyDescent="0.3">
      <c r="A163" s="7" t="s">
        <v>678</v>
      </c>
      <c r="B163" s="7" t="s">
        <v>679</v>
      </c>
      <c r="C163" s="7" t="s">
        <v>680</v>
      </c>
      <c r="D163" s="7" t="s">
        <v>681</v>
      </c>
      <c r="E163" s="7" t="s">
        <v>217</v>
      </c>
      <c r="F163" s="8">
        <v>45453</v>
      </c>
      <c r="G163" s="8">
        <v>45454</v>
      </c>
      <c r="H163" s="8">
        <v>45456</v>
      </c>
      <c r="I163" s="7" t="s">
        <v>72</v>
      </c>
      <c r="J163" s="7" t="s">
        <v>2364</v>
      </c>
      <c r="K163" s="7" t="s">
        <v>21</v>
      </c>
      <c r="L163" s="7" t="s">
        <v>24</v>
      </c>
      <c r="M163" s="7" t="s">
        <v>29</v>
      </c>
      <c r="N163" s="7" t="s">
        <v>27</v>
      </c>
      <c r="O163" s="7" t="s">
        <v>28</v>
      </c>
      <c r="P163" s="7">
        <v>15</v>
      </c>
      <c r="Q163" s="9">
        <v>3930</v>
      </c>
      <c r="R163" s="9">
        <v>4362.3</v>
      </c>
      <c r="S163" s="10">
        <v>0.08</v>
      </c>
      <c r="T163" s="9">
        <v>60199.74</v>
      </c>
      <c r="U163" s="9">
        <v>58950</v>
      </c>
      <c r="V163" s="9">
        <v>1249.74</v>
      </c>
      <c r="W163" s="10">
        <v>2.0759890325107701E-2</v>
      </c>
    </row>
    <row r="164" spans="1:23" x14ac:dyDescent="0.3">
      <c r="A164" s="7" t="s">
        <v>682</v>
      </c>
      <c r="B164" s="7" t="s">
        <v>454</v>
      </c>
      <c r="C164" s="7" t="s">
        <v>683</v>
      </c>
      <c r="D164" s="7" t="s">
        <v>684</v>
      </c>
      <c r="E164" s="7" t="s">
        <v>208</v>
      </c>
      <c r="F164" s="8">
        <v>46015</v>
      </c>
      <c r="G164" s="8">
        <v>46015</v>
      </c>
      <c r="H164" s="8">
        <v>46018</v>
      </c>
      <c r="I164" s="7" t="s">
        <v>72</v>
      </c>
      <c r="J164" s="7" t="s">
        <v>2363</v>
      </c>
      <c r="K164" s="7" t="s">
        <v>21</v>
      </c>
      <c r="L164" s="7" t="s">
        <v>23</v>
      </c>
      <c r="M164" s="7" t="s">
        <v>50</v>
      </c>
      <c r="N164" s="7" t="s">
        <v>33</v>
      </c>
      <c r="O164" s="7" t="s">
        <v>36</v>
      </c>
      <c r="P164" s="7">
        <v>7</v>
      </c>
      <c r="Q164" s="9">
        <v>930</v>
      </c>
      <c r="R164" s="9">
        <v>1078.8</v>
      </c>
      <c r="S164" s="10">
        <v>0</v>
      </c>
      <c r="T164" s="9">
        <v>7551.6</v>
      </c>
      <c r="U164" s="9">
        <v>6510</v>
      </c>
      <c r="V164" s="9">
        <v>1041.5999999999999</v>
      </c>
      <c r="W164" s="10">
        <v>0.13793103448275901</v>
      </c>
    </row>
    <row r="165" spans="1:23" x14ac:dyDescent="0.3">
      <c r="A165" s="7" t="s">
        <v>685</v>
      </c>
      <c r="B165" s="7" t="s">
        <v>248</v>
      </c>
      <c r="C165" s="7" t="s">
        <v>686</v>
      </c>
      <c r="D165" s="7" t="s">
        <v>687</v>
      </c>
      <c r="E165" s="7" t="s">
        <v>95</v>
      </c>
      <c r="F165" s="8">
        <v>45384</v>
      </c>
      <c r="G165" s="8">
        <v>45384</v>
      </c>
      <c r="H165" s="8">
        <v>45388</v>
      </c>
      <c r="I165" s="7" t="s">
        <v>72</v>
      </c>
      <c r="J165" s="7" t="s">
        <v>2</v>
      </c>
      <c r="K165" s="7" t="s">
        <v>19</v>
      </c>
      <c r="L165" s="7" t="s">
        <v>61</v>
      </c>
      <c r="M165" s="7" t="s">
        <v>49</v>
      </c>
      <c r="N165" s="7" t="s">
        <v>33</v>
      </c>
      <c r="O165" s="7" t="s">
        <v>34</v>
      </c>
      <c r="P165" s="7">
        <v>6</v>
      </c>
      <c r="Q165" s="9">
        <v>1080</v>
      </c>
      <c r="R165" s="9">
        <v>1112.4000000000001</v>
      </c>
      <c r="S165" s="10">
        <v>0.09</v>
      </c>
      <c r="T165" s="9">
        <v>6073.7039999999997</v>
      </c>
      <c r="U165" s="9">
        <v>6480</v>
      </c>
      <c r="V165" s="9">
        <v>-406.29599999999999</v>
      </c>
      <c r="W165" s="10">
        <v>-6.6894270777765899E-2</v>
      </c>
    </row>
    <row r="166" spans="1:23" x14ac:dyDescent="0.3">
      <c r="A166" s="7" t="s">
        <v>688</v>
      </c>
      <c r="B166" s="7" t="s">
        <v>689</v>
      </c>
      <c r="C166" s="7" t="s">
        <v>690</v>
      </c>
      <c r="D166" s="7" t="s">
        <v>691</v>
      </c>
      <c r="E166" s="7" t="s">
        <v>217</v>
      </c>
      <c r="F166" s="8">
        <v>45993</v>
      </c>
      <c r="G166" s="8">
        <v>45993</v>
      </c>
      <c r="H166" s="8">
        <v>45998</v>
      </c>
      <c r="I166" s="7" t="s">
        <v>82</v>
      </c>
      <c r="J166" s="7" t="s">
        <v>1</v>
      </c>
      <c r="K166" s="7" t="s">
        <v>20</v>
      </c>
      <c r="L166" s="7" t="s">
        <v>61</v>
      </c>
      <c r="M166" s="7" t="s">
        <v>29</v>
      </c>
      <c r="N166" s="7" t="s">
        <v>27</v>
      </c>
      <c r="O166" s="7" t="s">
        <v>28</v>
      </c>
      <c r="P166" s="7">
        <v>2</v>
      </c>
      <c r="Q166" s="9">
        <v>3930</v>
      </c>
      <c r="R166" s="9">
        <v>4362.3</v>
      </c>
      <c r="S166" s="10">
        <v>7.0000000000000007E-2</v>
      </c>
      <c r="T166" s="9">
        <v>8113.8779999999997</v>
      </c>
      <c r="U166" s="9">
        <v>7860</v>
      </c>
      <c r="V166" s="9">
        <v>253.87799999999999</v>
      </c>
      <c r="W166" s="10">
        <v>3.1289353869999002E-2</v>
      </c>
    </row>
    <row r="167" spans="1:23" x14ac:dyDescent="0.3">
      <c r="A167" s="7" t="s">
        <v>692</v>
      </c>
      <c r="B167" s="7" t="s">
        <v>138</v>
      </c>
      <c r="C167" s="7" t="s">
        <v>693</v>
      </c>
      <c r="D167" s="7" t="s">
        <v>694</v>
      </c>
      <c r="E167" s="7" t="s">
        <v>71</v>
      </c>
      <c r="F167" s="8">
        <v>45424</v>
      </c>
      <c r="G167" s="8">
        <v>45424</v>
      </c>
      <c r="H167" s="8">
        <v>45426</v>
      </c>
      <c r="I167" s="7" t="s">
        <v>82</v>
      </c>
      <c r="J167" s="7" t="s">
        <v>1</v>
      </c>
      <c r="K167" s="7" t="s">
        <v>20</v>
      </c>
      <c r="L167" s="7" t="s">
        <v>61</v>
      </c>
      <c r="M167" s="7" t="s">
        <v>32</v>
      </c>
      <c r="N167" s="7" t="s">
        <v>33</v>
      </c>
      <c r="O167" s="7" t="s">
        <v>34</v>
      </c>
      <c r="P167" s="7">
        <v>4</v>
      </c>
      <c r="Q167" s="9">
        <v>730</v>
      </c>
      <c r="R167" s="9">
        <v>824.9</v>
      </c>
      <c r="S167" s="10">
        <v>0.1</v>
      </c>
      <c r="T167" s="9">
        <v>2969.64</v>
      </c>
      <c r="U167" s="9">
        <v>2920</v>
      </c>
      <c r="V167" s="9">
        <v>49.64</v>
      </c>
      <c r="W167" s="10">
        <v>1.6715830875122899E-2</v>
      </c>
    </row>
    <row r="168" spans="1:23" x14ac:dyDescent="0.3">
      <c r="A168" s="7" t="s">
        <v>695</v>
      </c>
      <c r="B168" s="7" t="s">
        <v>166</v>
      </c>
      <c r="C168" s="7" t="s">
        <v>696</v>
      </c>
      <c r="D168" s="7" t="s">
        <v>697</v>
      </c>
      <c r="E168" s="7" t="s">
        <v>114</v>
      </c>
      <c r="F168" s="8">
        <v>45708</v>
      </c>
      <c r="G168" s="8">
        <v>45708</v>
      </c>
      <c r="H168" s="8">
        <v>45713</v>
      </c>
      <c r="I168" s="7" t="s">
        <v>72</v>
      </c>
      <c r="J168" s="7" t="s">
        <v>1</v>
      </c>
      <c r="K168" s="7" t="s">
        <v>20</v>
      </c>
      <c r="L168" s="7" t="s">
        <v>24</v>
      </c>
      <c r="M168" s="7" t="s">
        <v>51</v>
      </c>
      <c r="N168" s="7" t="s">
        <v>33</v>
      </c>
      <c r="O168" s="7" t="s">
        <v>52</v>
      </c>
      <c r="P168" s="7">
        <v>7</v>
      </c>
      <c r="Q168" s="9">
        <v>280</v>
      </c>
      <c r="R168" s="9">
        <v>336</v>
      </c>
      <c r="S168" s="10">
        <v>0.01</v>
      </c>
      <c r="T168" s="9">
        <v>2328.48</v>
      </c>
      <c r="U168" s="9">
        <v>1960</v>
      </c>
      <c r="V168" s="9">
        <v>368.48</v>
      </c>
      <c r="W168" s="10">
        <v>0.158249158249158</v>
      </c>
    </row>
    <row r="169" spans="1:23" x14ac:dyDescent="0.3">
      <c r="A169" s="7" t="s">
        <v>698</v>
      </c>
      <c r="B169" s="7" t="s">
        <v>210</v>
      </c>
      <c r="C169" s="7" t="s">
        <v>699</v>
      </c>
      <c r="D169" s="7" t="s">
        <v>700</v>
      </c>
      <c r="E169" s="7" t="s">
        <v>100</v>
      </c>
      <c r="F169" s="8">
        <v>45480</v>
      </c>
      <c r="G169" s="8">
        <v>45481</v>
      </c>
      <c r="H169" s="8">
        <v>45483</v>
      </c>
      <c r="I169" s="7" t="s">
        <v>72</v>
      </c>
      <c r="J169" s="7" t="s">
        <v>2</v>
      </c>
      <c r="K169" s="7" t="s">
        <v>19</v>
      </c>
      <c r="L169" s="7" t="s">
        <v>24</v>
      </c>
      <c r="M169" s="7" t="s">
        <v>42</v>
      </c>
      <c r="N169" s="7" t="s">
        <v>27</v>
      </c>
      <c r="O169" s="7" t="s">
        <v>28</v>
      </c>
      <c r="P169" s="7">
        <v>7</v>
      </c>
      <c r="Q169" s="9">
        <v>3030</v>
      </c>
      <c r="R169" s="9">
        <v>3211.8</v>
      </c>
      <c r="S169" s="10">
        <v>0.02</v>
      </c>
      <c r="T169" s="9">
        <v>22032.948</v>
      </c>
      <c r="U169" s="9">
        <v>21210</v>
      </c>
      <c r="V169" s="9">
        <v>822.94799999999998</v>
      </c>
      <c r="W169" s="10">
        <v>3.73507893723527E-2</v>
      </c>
    </row>
    <row r="170" spans="1:23" x14ac:dyDescent="0.3">
      <c r="A170" s="7" t="s">
        <v>701</v>
      </c>
      <c r="B170" s="7" t="s">
        <v>702</v>
      </c>
      <c r="C170" s="7" t="s">
        <v>703</v>
      </c>
      <c r="D170" s="7" t="s">
        <v>704</v>
      </c>
      <c r="E170" s="7" t="s">
        <v>322</v>
      </c>
      <c r="F170" s="8">
        <v>45815</v>
      </c>
      <c r="G170" s="8">
        <v>45816</v>
      </c>
      <c r="H170" s="8">
        <v>45818</v>
      </c>
      <c r="I170" s="7" t="s">
        <v>72</v>
      </c>
      <c r="J170" s="7" t="s">
        <v>2363</v>
      </c>
      <c r="K170" s="7" t="s">
        <v>21</v>
      </c>
      <c r="L170" s="7" t="s">
        <v>23</v>
      </c>
      <c r="M170" s="7" t="s">
        <v>26</v>
      </c>
      <c r="N170" s="7" t="s">
        <v>27</v>
      </c>
      <c r="O170" s="7" t="s">
        <v>28</v>
      </c>
      <c r="P170" s="7">
        <v>11</v>
      </c>
      <c r="Q170" s="9">
        <v>3330</v>
      </c>
      <c r="R170" s="9">
        <v>3629.7</v>
      </c>
      <c r="S170" s="10">
        <v>0.01</v>
      </c>
      <c r="T170" s="9">
        <v>39527.432999999997</v>
      </c>
      <c r="U170" s="9">
        <v>36630</v>
      </c>
      <c r="V170" s="9">
        <v>2897.433</v>
      </c>
      <c r="W170" s="10">
        <v>7.3301825595403602E-2</v>
      </c>
    </row>
    <row r="171" spans="1:23" x14ac:dyDescent="0.3">
      <c r="A171" s="7" t="s">
        <v>705</v>
      </c>
      <c r="B171" s="7" t="s">
        <v>377</v>
      </c>
      <c r="C171" s="7" t="s">
        <v>706</v>
      </c>
      <c r="D171" s="7" t="s">
        <v>707</v>
      </c>
      <c r="E171" s="7" t="s">
        <v>141</v>
      </c>
      <c r="F171" s="8">
        <v>45637</v>
      </c>
      <c r="G171" s="8">
        <v>45638</v>
      </c>
      <c r="H171" s="8">
        <v>45641</v>
      </c>
      <c r="I171" s="7" t="s">
        <v>82</v>
      </c>
      <c r="J171" s="7" t="s">
        <v>2362</v>
      </c>
      <c r="K171" s="7" t="s">
        <v>20</v>
      </c>
      <c r="L171" s="7" t="s">
        <v>24</v>
      </c>
      <c r="M171" s="7" t="s">
        <v>35</v>
      </c>
      <c r="N171" s="7" t="s">
        <v>33</v>
      </c>
      <c r="O171" s="7" t="s">
        <v>36</v>
      </c>
      <c r="P171" s="7">
        <v>2</v>
      </c>
      <c r="Q171" s="9">
        <v>1530</v>
      </c>
      <c r="R171" s="9">
        <v>1790.1</v>
      </c>
      <c r="S171" s="10">
        <v>0.06</v>
      </c>
      <c r="T171" s="9">
        <v>3365.3879999999999</v>
      </c>
      <c r="U171" s="9">
        <v>3060</v>
      </c>
      <c r="V171" s="9">
        <v>305.38799999999998</v>
      </c>
      <c r="W171" s="10">
        <v>9.0743771594835404E-2</v>
      </c>
    </row>
    <row r="172" spans="1:23" x14ac:dyDescent="0.3">
      <c r="A172" s="7" t="s">
        <v>708</v>
      </c>
      <c r="B172" s="7" t="s">
        <v>709</v>
      </c>
      <c r="C172" s="7" t="s">
        <v>710</v>
      </c>
      <c r="D172" s="7" t="s">
        <v>711</v>
      </c>
      <c r="E172" s="7" t="s">
        <v>81</v>
      </c>
      <c r="F172" s="8">
        <v>45599</v>
      </c>
      <c r="G172" s="8">
        <v>45600</v>
      </c>
      <c r="H172" s="8">
        <v>45603</v>
      </c>
      <c r="I172" s="7" t="s">
        <v>72</v>
      </c>
      <c r="J172" s="7" t="s">
        <v>1</v>
      </c>
      <c r="K172" s="7" t="s">
        <v>20</v>
      </c>
      <c r="L172" s="7" t="s">
        <v>61</v>
      </c>
      <c r="M172" s="7" t="s">
        <v>59</v>
      </c>
      <c r="N172" s="7" t="s">
        <v>27</v>
      </c>
      <c r="O172" s="7" t="s">
        <v>60</v>
      </c>
      <c r="P172" s="7">
        <v>5</v>
      </c>
      <c r="Q172" s="9">
        <v>1230</v>
      </c>
      <c r="R172" s="9">
        <v>1328.4</v>
      </c>
      <c r="S172" s="10">
        <v>0.05</v>
      </c>
      <c r="T172" s="9">
        <v>6309.9</v>
      </c>
      <c r="U172" s="9">
        <v>6150</v>
      </c>
      <c r="V172" s="9">
        <v>159.9</v>
      </c>
      <c r="W172" s="10">
        <v>2.5341130604288501E-2</v>
      </c>
    </row>
    <row r="173" spans="1:23" x14ac:dyDescent="0.3">
      <c r="A173" s="7" t="s">
        <v>712</v>
      </c>
      <c r="B173" s="7" t="s">
        <v>358</v>
      </c>
      <c r="C173" s="7" t="s">
        <v>713</v>
      </c>
      <c r="D173" s="7" t="s">
        <v>714</v>
      </c>
      <c r="E173" s="7" t="s">
        <v>132</v>
      </c>
      <c r="F173" s="8">
        <v>45322</v>
      </c>
      <c r="G173" s="8">
        <v>45322</v>
      </c>
      <c r="H173" s="8">
        <v>45325</v>
      </c>
      <c r="I173" s="7" t="s">
        <v>72</v>
      </c>
      <c r="J173" s="7" t="s">
        <v>2362</v>
      </c>
      <c r="K173" s="7" t="s">
        <v>21</v>
      </c>
      <c r="L173" s="7" t="s">
        <v>61</v>
      </c>
      <c r="M173" s="7" t="s">
        <v>2366</v>
      </c>
      <c r="N173" s="7" t="s">
        <v>27</v>
      </c>
      <c r="O173" s="7" t="s">
        <v>54</v>
      </c>
      <c r="P173" s="7">
        <v>9</v>
      </c>
      <c r="Q173" s="9">
        <v>430</v>
      </c>
      <c r="R173" s="9">
        <v>455.8</v>
      </c>
      <c r="S173" s="10">
        <v>0.04</v>
      </c>
      <c r="T173" s="9">
        <v>3938.1120000000001</v>
      </c>
      <c r="U173" s="9">
        <v>3870</v>
      </c>
      <c r="V173" s="9">
        <v>68.111999999999995</v>
      </c>
      <c r="W173" s="10">
        <v>1.7295597484276701E-2</v>
      </c>
    </row>
    <row r="174" spans="1:23" x14ac:dyDescent="0.3">
      <c r="A174" s="7" t="s">
        <v>735</v>
      </c>
      <c r="B174" s="7" t="s">
        <v>736</v>
      </c>
      <c r="C174" s="7" t="s">
        <v>737</v>
      </c>
      <c r="D174" s="7" t="s">
        <v>738</v>
      </c>
      <c r="E174" s="7" t="s">
        <v>322</v>
      </c>
      <c r="F174" s="8">
        <v>46085</v>
      </c>
      <c r="G174" s="8">
        <v>46086</v>
      </c>
      <c r="H174" s="8">
        <v>46088</v>
      </c>
      <c r="I174" s="7" t="s">
        <v>72</v>
      </c>
      <c r="J174" s="7" t="s">
        <v>1</v>
      </c>
      <c r="K174" s="7" t="s">
        <v>21</v>
      </c>
      <c r="L174" s="7" t="s">
        <v>23</v>
      </c>
      <c r="M174" s="7" t="s">
        <v>26</v>
      </c>
      <c r="N174" s="7" t="s">
        <v>27</v>
      </c>
      <c r="O174" s="7" t="s">
        <v>28</v>
      </c>
      <c r="P174" s="7">
        <v>9</v>
      </c>
      <c r="Q174" s="9">
        <v>3330</v>
      </c>
      <c r="R174" s="9">
        <v>3629.7</v>
      </c>
      <c r="S174" s="10">
        <v>0.02</v>
      </c>
      <c r="T174" s="9">
        <v>32013.954000000002</v>
      </c>
      <c r="U174" s="9">
        <v>29970</v>
      </c>
      <c r="V174" s="9">
        <v>2043.954</v>
      </c>
      <c r="W174" s="10">
        <v>6.3845721774948502E-2</v>
      </c>
    </row>
    <row r="175" spans="1:23" x14ac:dyDescent="0.3">
      <c r="A175" s="7" t="s">
        <v>739</v>
      </c>
      <c r="B175" s="7" t="s">
        <v>435</v>
      </c>
      <c r="C175" s="7" t="s">
        <v>740</v>
      </c>
      <c r="D175" s="7" t="s">
        <v>741</v>
      </c>
      <c r="E175" s="7" t="s">
        <v>217</v>
      </c>
      <c r="F175" s="8">
        <v>46113</v>
      </c>
      <c r="G175" s="8">
        <v>46113</v>
      </c>
      <c r="H175" s="8">
        <v>46118</v>
      </c>
      <c r="I175" s="7" t="s">
        <v>82</v>
      </c>
      <c r="J175" s="7" t="s">
        <v>2362</v>
      </c>
      <c r="K175" s="7" t="s">
        <v>20</v>
      </c>
      <c r="L175" s="7" t="s">
        <v>22</v>
      </c>
      <c r="M175" s="7" t="s">
        <v>29</v>
      </c>
      <c r="N175" s="7" t="s">
        <v>27</v>
      </c>
      <c r="O175" s="7" t="s">
        <v>28</v>
      </c>
      <c r="P175" s="7">
        <v>2</v>
      </c>
      <c r="Q175" s="9">
        <v>3930</v>
      </c>
      <c r="R175" s="9">
        <v>4362.3</v>
      </c>
      <c r="S175" s="10">
        <v>0</v>
      </c>
      <c r="T175" s="9">
        <v>8724.6</v>
      </c>
      <c r="U175" s="9">
        <v>7860</v>
      </c>
      <c r="V175" s="9">
        <v>864.6</v>
      </c>
      <c r="W175" s="10">
        <v>9.90990990990991E-2</v>
      </c>
    </row>
    <row r="176" spans="1:23" x14ac:dyDescent="0.3">
      <c r="A176" s="7" t="s">
        <v>715</v>
      </c>
      <c r="B176" s="7" t="s">
        <v>716</v>
      </c>
      <c r="C176" s="7" t="s">
        <v>717</v>
      </c>
      <c r="D176" s="7" t="s">
        <v>718</v>
      </c>
      <c r="E176" s="7" t="s">
        <v>322</v>
      </c>
      <c r="F176" s="8">
        <v>45660</v>
      </c>
      <c r="G176" s="8">
        <v>45661</v>
      </c>
      <c r="H176" s="8">
        <v>45664</v>
      </c>
      <c r="I176" s="7" t="s">
        <v>72</v>
      </c>
      <c r="J176" s="7" t="s">
        <v>2362</v>
      </c>
      <c r="K176" s="7" t="s">
        <v>20</v>
      </c>
      <c r="L176" s="7" t="s">
        <v>24</v>
      </c>
      <c r="M176" s="7" t="s">
        <v>26</v>
      </c>
      <c r="N176" s="7" t="s">
        <v>27</v>
      </c>
      <c r="O176" s="7" t="s">
        <v>28</v>
      </c>
      <c r="P176" s="7">
        <v>6</v>
      </c>
      <c r="Q176" s="9">
        <v>3330</v>
      </c>
      <c r="R176" s="9">
        <v>3629.7</v>
      </c>
      <c r="S176" s="10">
        <v>0.03</v>
      </c>
      <c r="T176" s="9">
        <v>21124.853999999999</v>
      </c>
      <c r="U176" s="9">
        <v>19980</v>
      </c>
      <c r="V176" s="9">
        <v>1144.854</v>
      </c>
      <c r="W176" s="10">
        <v>5.4194646741700603E-2</v>
      </c>
    </row>
    <row r="177" spans="1:23" x14ac:dyDescent="0.3">
      <c r="A177" s="7" t="s">
        <v>719</v>
      </c>
      <c r="B177" s="7" t="s">
        <v>629</v>
      </c>
      <c r="C177" s="7" t="s">
        <v>720</v>
      </c>
      <c r="D177" s="7" t="s">
        <v>721</v>
      </c>
      <c r="E177" s="7" t="s">
        <v>322</v>
      </c>
      <c r="F177" s="8">
        <v>45539</v>
      </c>
      <c r="G177" s="8">
        <v>45539</v>
      </c>
      <c r="H177" s="8">
        <v>45543</v>
      </c>
      <c r="I177" s="7" t="s">
        <v>72</v>
      </c>
      <c r="J177" s="7" t="s">
        <v>2364</v>
      </c>
      <c r="K177" s="7" t="s">
        <v>19</v>
      </c>
      <c r="L177" s="7" t="s">
        <v>24</v>
      </c>
      <c r="M177" s="7" t="s">
        <v>26</v>
      </c>
      <c r="N177" s="7" t="s">
        <v>27</v>
      </c>
      <c r="O177" s="7" t="s">
        <v>28</v>
      </c>
      <c r="P177" s="7">
        <v>7</v>
      </c>
      <c r="Q177" s="9">
        <v>3330</v>
      </c>
      <c r="R177" s="9">
        <v>3629.7</v>
      </c>
      <c r="S177" s="10">
        <v>0.09</v>
      </c>
      <c r="T177" s="9">
        <v>23121.188999999998</v>
      </c>
      <c r="U177" s="9">
        <v>23310</v>
      </c>
      <c r="V177" s="9">
        <v>-188.81100000000001</v>
      </c>
      <c r="W177" s="10">
        <v>-8.1661457808246806E-3</v>
      </c>
    </row>
    <row r="178" spans="1:23" x14ac:dyDescent="0.3">
      <c r="A178" s="7" t="s">
        <v>722</v>
      </c>
      <c r="B178" s="7" t="s">
        <v>723</v>
      </c>
      <c r="C178" s="7" t="s">
        <v>724</v>
      </c>
      <c r="D178" s="7" t="s">
        <v>725</v>
      </c>
      <c r="E178" s="7" t="s">
        <v>119</v>
      </c>
      <c r="F178" s="8">
        <v>46069</v>
      </c>
      <c r="G178" s="8">
        <v>46070</v>
      </c>
      <c r="H178" s="8">
        <v>46073</v>
      </c>
      <c r="I178" s="7" t="s">
        <v>82</v>
      </c>
      <c r="J178" s="7" t="s">
        <v>2362</v>
      </c>
      <c r="K178" s="7" t="s">
        <v>20</v>
      </c>
      <c r="L178" s="7" t="s">
        <v>22</v>
      </c>
      <c r="M178" s="7" t="s">
        <v>37</v>
      </c>
      <c r="N178" s="7" t="s">
        <v>38</v>
      </c>
      <c r="O178" s="7" t="s">
        <v>39</v>
      </c>
      <c r="P178" s="7">
        <v>3</v>
      </c>
      <c r="Q178" s="9">
        <v>250</v>
      </c>
      <c r="R178" s="9">
        <v>270</v>
      </c>
      <c r="S178" s="10">
        <v>7.0000000000000007E-2</v>
      </c>
      <c r="T178" s="9">
        <v>753.3</v>
      </c>
      <c r="U178" s="9">
        <v>750</v>
      </c>
      <c r="V178" s="9">
        <v>3.3</v>
      </c>
      <c r="W178" s="10">
        <v>4.3807248108323404E-3</v>
      </c>
    </row>
    <row r="179" spans="1:23" x14ac:dyDescent="0.3">
      <c r="A179" s="7" t="s">
        <v>726</v>
      </c>
      <c r="B179" s="7" t="s">
        <v>389</v>
      </c>
      <c r="C179" s="7" t="s">
        <v>727</v>
      </c>
      <c r="D179" s="7" t="s">
        <v>728</v>
      </c>
      <c r="E179" s="7" t="s">
        <v>100</v>
      </c>
      <c r="F179" s="8">
        <v>46191</v>
      </c>
      <c r="G179" s="8">
        <v>46191</v>
      </c>
      <c r="H179" s="8">
        <v>46196</v>
      </c>
      <c r="I179" s="7" t="s">
        <v>72</v>
      </c>
      <c r="J179" s="7" t="s">
        <v>2</v>
      </c>
      <c r="K179" s="7" t="s">
        <v>21</v>
      </c>
      <c r="L179" s="7" t="s">
        <v>23</v>
      </c>
      <c r="M179" s="7" t="s">
        <v>42</v>
      </c>
      <c r="N179" s="7" t="s">
        <v>27</v>
      </c>
      <c r="O179" s="7" t="s">
        <v>28</v>
      </c>
      <c r="P179" s="7">
        <v>14</v>
      </c>
      <c r="Q179" s="9">
        <v>3030</v>
      </c>
      <c r="R179" s="9">
        <v>3211.8</v>
      </c>
      <c r="S179" s="10">
        <v>0.04</v>
      </c>
      <c r="T179" s="9">
        <v>43166.591999999997</v>
      </c>
      <c r="U179" s="9">
        <v>42420</v>
      </c>
      <c r="V179" s="9">
        <v>746.59199999999998</v>
      </c>
      <c r="W179" s="10">
        <v>1.7295597484276701E-2</v>
      </c>
    </row>
    <row r="180" spans="1:23" x14ac:dyDescent="0.3">
      <c r="A180" s="7" t="s">
        <v>729</v>
      </c>
      <c r="B180" s="7" t="s">
        <v>331</v>
      </c>
      <c r="C180" s="7" t="s">
        <v>730</v>
      </c>
      <c r="D180" s="7" t="s">
        <v>731</v>
      </c>
      <c r="E180" s="7" t="s">
        <v>132</v>
      </c>
      <c r="F180" s="8">
        <v>46093</v>
      </c>
      <c r="G180" s="8">
        <v>46093</v>
      </c>
      <c r="H180" s="8">
        <v>46096</v>
      </c>
      <c r="I180" s="7" t="s">
        <v>72</v>
      </c>
      <c r="J180" s="7" t="s">
        <v>1</v>
      </c>
      <c r="K180" s="7" t="s">
        <v>20</v>
      </c>
      <c r="L180" s="7" t="s">
        <v>22</v>
      </c>
      <c r="M180" s="7" t="s">
        <v>2366</v>
      </c>
      <c r="N180" s="7" t="s">
        <v>27</v>
      </c>
      <c r="O180" s="7" t="s">
        <v>54</v>
      </c>
      <c r="P180" s="7">
        <v>10</v>
      </c>
      <c r="Q180" s="9">
        <v>430</v>
      </c>
      <c r="R180" s="9">
        <v>455.8</v>
      </c>
      <c r="S180" s="10">
        <v>0.01</v>
      </c>
      <c r="T180" s="9">
        <v>4512.42</v>
      </c>
      <c r="U180" s="9">
        <v>4300</v>
      </c>
      <c r="V180" s="9">
        <v>212.42</v>
      </c>
      <c r="W180" s="10">
        <v>4.7074518772632003E-2</v>
      </c>
    </row>
    <row r="181" spans="1:23" x14ac:dyDescent="0.3">
      <c r="A181" s="7" t="s">
        <v>732</v>
      </c>
      <c r="B181" s="7" t="s">
        <v>733</v>
      </c>
      <c r="C181" s="7" t="s">
        <v>734</v>
      </c>
      <c r="D181" s="7" t="s">
        <v>199</v>
      </c>
      <c r="E181" s="7" t="s">
        <v>71</v>
      </c>
      <c r="F181" s="8">
        <v>45296</v>
      </c>
      <c r="G181" s="8">
        <v>45297</v>
      </c>
      <c r="H181" s="8">
        <v>45298</v>
      </c>
      <c r="I181" s="7" t="s">
        <v>72</v>
      </c>
      <c r="J181" s="7" t="s">
        <v>2363</v>
      </c>
      <c r="K181" s="7" t="s">
        <v>21</v>
      </c>
      <c r="L181" s="7" t="s">
        <v>22</v>
      </c>
      <c r="M181" s="7" t="s">
        <v>32</v>
      </c>
      <c r="N181" s="7" t="s">
        <v>33</v>
      </c>
      <c r="O181" s="7" t="s">
        <v>34</v>
      </c>
      <c r="P181" s="7">
        <v>6</v>
      </c>
      <c r="Q181" s="9">
        <v>730</v>
      </c>
      <c r="R181" s="9">
        <v>824.9</v>
      </c>
      <c r="S181" s="10">
        <v>0.1</v>
      </c>
      <c r="T181" s="9">
        <v>4454.46</v>
      </c>
      <c r="U181" s="9">
        <v>4380</v>
      </c>
      <c r="V181" s="9">
        <v>74.459999999999994</v>
      </c>
      <c r="W181" s="10">
        <v>1.6715830875122899E-2</v>
      </c>
    </row>
    <row r="182" spans="1:23" x14ac:dyDescent="0.3">
      <c r="A182" s="7" t="s">
        <v>742</v>
      </c>
      <c r="B182" s="7" t="s">
        <v>743</v>
      </c>
      <c r="C182" s="7" t="s">
        <v>744</v>
      </c>
      <c r="D182" s="7" t="s">
        <v>745</v>
      </c>
      <c r="E182" s="7" t="s">
        <v>119</v>
      </c>
      <c r="F182" s="8">
        <v>45436</v>
      </c>
      <c r="G182" s="8">
        <v>45437</v>
      </c>
      <c r="H182" s="8">
        <v>45438</v>
      </c>
      <c r="I182" s="7" t="s">
        <v>72</v>
      </c>
      <c r="J182" s="7" t="s">
        <v>2362</v>
      </c>
      <c r="K182" s="7" t="s">
        <v>20</v>
      </c>
      <c r="L182" s="7" t="s">
        <v>24</v>
      </c>
      <c r="M182" s="7" t="s">
        <v>37</v>
      </c>
      <c r="N182" s="7" t="s">
        <v>38</v>
      </c>
      <c r="O182" s="7" t="s">
        <v>39</v>
      </c>
      <c r="P182" s="7">
        <v>5</v>
      </c>
      <c r="Q182" s="9">
        <v>250</v>
      </c>
      <c r="R182" s="9">
        <v>270</v>
      </c>
      <c r="S182" s="10">
        <v>0.02</v>
      </c>
      <c r="T182" s="9">
        <v>1323</v>
      </c>
      <c r="U182" s="9">
        <v>1250</v>
      </c>
      <c r="V182" s="9">
        <v>73</v>
      </c>
      <c r="W182" s="10">
        <v>5.5177626606198002E-2</v>
      </c>
    </row>
    <row r="183" spans="1:23" x14ac:dyDescent="0.3">
      <c r="A183" s="7" t="s">
        <v>746</v>
      </c>
      <c r="B183" s="7" t="s">
        <v>747</v>
      </c>
      <c r="C183" s="7" t="s">
        <v>748</v>
      </c>
      <c r="D183" s="7" t="s">
        <v>749</v>
      </c>
      <c r="E183" s="7" t="s">
        <v>100</v>
      </c>
      <c r="F183" s="8">
        <v>46055</v>
      </c>
      <c r="G183" s="8">
        <v>46055</v>
      </c>
      <c r="H183" s="8">
        <v>46057</v>
      </c>
      <c r="I183" s="7" t="s">
        <v>82</v>
      </c>
      <c r="J183" s="7" t="s">
        <v>2</v>
      </c>
      <c r="K183" s="7" t="s">
        <v>19</v>
      </c>
      <c r="L183" s="7" t="s">
        <v>25</v>
      </c>
      <c r="M183" s="7" t="s">
        <v>42</v>
      </c>
      <c r="N183" s="7" t="s">
        <v>27</v>
      </c>
      <c r="O183" s="7" t="s">
        <v>28</v>
      </c>
      <c r="P183" s="7">
        <v>2</v>
      </c>
      <c r="Q183" s="9">
        <v>3030</v>
      </c>
      <c r="R183" s="9">
        <v>3211.8</v>
      </c>
      <c r="S183" s="10">
        <v>0.02</v>
      </c>
      <c r="T183" s="9">
        <v>6295.1279999999997</v>
      </c>
      <c r="U183" s="9">
        <v>6060</v>
      </c>
      <c r="V183" s="9">
        <v>235.12799999999999</v>
      </c>
      <c r="W183" s="10">
        <v>3.73507893723527E-2</v>
      </c>
    </row>
    <row r="184" spans="1:23" x14ac:dyDescent="0.3">
      <c r="A184" s="7" t="s">
        <v>750</v>
      </c>
      <c r="B184" s="7" t="s">
        <v>542</v>
      </c>
      <c r="C184" s="7" t="s">
        <v>751</v>
      </c>
      <c r="D184" s="7" t="s">
        <v>752</v>
      </c>
      <c r="E184" s="7" t="s">
        <v>291</v>
      </c>
      <c r="F184" s="8">
        <v>45995</v>
      </c>
      <c r="G184" s="8">
        <v>45995</v>
      </c>
      <c r="H184" s="8">
        <v>46000</v>
      </c>
      <c r="I184" s="7" t="s">
        <v>72</v>
      </c>
      <c r="J184" s="7" t="s">
        <v>2364</v>
      </c>
      <c r="K184" s="7" t="s">
        <v>20</v>
      </c>
      <c r="L184" s="7" t="s">
        <v>22</v>
      </c>
      <c r="M184" s="7" t="s">
        <v>57</v>
      </c>
      <c r="N184" s="7" t="s">
        <v>27</v>
      </c>
      <c r="O184" s="7" t="s">
        <v>58</v>
      </c>
      <c r="P184" s="7">
        <v>5</v>
      </c>
      <c r="Q184" s="9">
        <v>480</v>
      </c>
      <c r="R184" s="9">
        <v>513.6</v>
      </c>
      <c r="S184" s="10">
        <v>0.02</v>
      </c>
      <c r="T184" s="9">
        <v>2516.64</v>
      </c>
      <c r="U184" s="9">
        <v>2400</v>
      </c>
      <c r="V184" s="9">
        <v>116.64</v>
      </c>
      <c r="W184" s="10">
        <v>4.6347510967003597E-2</v>
      </c>
    </row>
    <row r="185" spans="1:23" x14ac:dyDescent="0.3">
      <c r="A185" s="7" t="s">
        <v>753</v>
      </c>
      <c r="B185" s="7" t="s">
        <v>230</v>
      </c>
      <c r="C185" s="7" t="s">
        <v>754</v>
      </c>
      <c r="D185" s="7" t="s">
        <v>755</v>
      </c>
      <c r="E185" s="7" t="s">
        <v>322</v>
      </c>
      <c r="F185" s="8">
        <v>45988</v>
      </c>
      <c r="G185" s="8">
        <v>45988</v>
      </c>
      <c r="H185" s="8">
        <v>45990</v>
      </c>
      <c r="I185" s="7" t="s">
        <v>72</v>
      </c>
      <c r="J185" s="7" t="s">
        <v>2</v>
      </c>
      <c r="K185" s="7" t="s">
        <v>21</v>
      </c>
      <c r="L185" s="7" t="s">
        <v>61</v>
      </c>
      <c r="M185" s="7" t="s">
        <v>26</v>
      </c>
      <c r="N185" s="7" t="s">
        <v>27</v>
      </c>
      <c r="O185" s="7" t="s">
        <v>28</v>
      </c>
      <c r="P185" s="7">
        <v>8</v>
      </c>
      <c r="Q185" s="9">
        <v>3330</v>
      </c>
      <c r="R185" s="9">
        <v>3629.7</v>
      </c>
      <c r="S185" s="10">
        <v>0.05</v>
      </c>
      <c r="T185" s="9">
        <v>27585.72</v>
      </c>
      <c r="U185" s="9">
        <v>26640</v>
      </c>
      <c r="V185" s="9">
        <v>945.72</v>
      </c>
      <c r="W185" s="10">
        <v>3.4282955094157401E-2</v>
      </c>
    </row>
    <row r="186" spans="1:23" x14ac:dyDescent="0.3">
      <c r="A186" s="7" t="s">
        <v>756</v>
      </c>
      <c r="B186" s="7" t="s">
        <v>757</v>
      </c>
      <c r="C186" s="7" t="s">
        <v>758</v>
      </c>
      <c r="D186" s="7" t="s">
        <v>759</v>
      </c>
      <c r="E186" s="7" t="s">
        <v>71</v>
      </c>
      <c r="F186" s="8">
        <v>45673</v>
      </c>
      <c r="G186" s="8">
        <v>45673</v>
      </c>
      <c r="H186" s="8">
        <v>45678</v>
      </c>
      <c r="I186" s="7" t="s">
        <v>72</v>
      </c>
      <c r="J186" s="7" t="s">
        <v>2363</v>
      </c>
      <c r="K186" s="7" t="s">
        <v>20</v>
      </c>
      <c r="L186" s="7" t="s">
        <v>24</v>
      </c>
      <c r="M186" s="7" t="s">
        <v>32</v>
      </c>
      <c r="N186" s="7" t="s">
        <v>33</v>
      </c>
      <c r="O186" s="7" t="s">
        <v>34</v>
      </c>
      <c r="P186" s="7">
        <v>9</v>
      </c>
      <c r="Q186" s="9">
        <v>730</v>
      </c>
      <c r="R186" s="9">
        <v>824.9</v>
      </c>
      <c r="S186" s="10">
        <v>0.03</v>
      </c>
      <c r="T186" s="9">
        <v>7201.3770000000004</v>
      </c>
      <c r="U186" s="9">
        <v>6570</v>
      </c>
      <c r="V186" s="9">
        <v>631.37699999999995</v>
      </c>
      <c r="W186" s="10">
        <v>8.7674482255268693E-2</v>
      </c>
    </row>
    <row r="187" spans="1:23" x14ac:dyDescent="0.3">
      <c r="A187" s="7" t="s">
        <v>760</v>
      </c>
      <c r="B187" s="7" t="s">
        <v>189</v>
      </c>
      <c r="C187" s="7" t="s">
        <v>761</v>
      </c>
      <c r="D187" s="7" t="s">
        <v>762</v>
      </c>
      <c r="E187" s="7" t="s">
        <v>87</v>
      </c>
      <c r="F187" s="8">
        <v>45937</v>
      </c>
      <c r="G187" s="8">
        <v>45937</v>
      </c>
      <c r="H187" s="8">
        <v>45940</v>
      </c>
      <c r="I187" s="7" t="s">
        <v>72</v>
      </c>
      <c r="J187" s="7" t="s">
        <v>2362</v>
      </c>
      <c r="K187" s="7" t="s">
        <v>20</v>
      </c>
      <c r="L187" s="7" t="s">
        <v>22</v>
      </c>
      <c r="M187" s="7" t="s">
        <v>30</v>
      </c>
      <c r="N187" s="7" t="s">
        <v>27</v>
      </c>
      <c r="O187" s="7" t="s">
        <v>31</v>
      </c>
      <c r="P187" s="7">
        <v>6</v>
      </c>
      <c r="Q187" s="9">
        <v>1030</v>
      </c>
      <c r="R187" s="9">
        <v>1174.2</v>
      </c>
      <c r="S187" s="10">
        <v>0.1</v>
      </c>
      <c r="T187" s="9">
        <v>6340.68</v>
      </c>
      <c r="U187" s="9">
        <v>6180</v>
      </c>
      <c r="V187" s="9">
        <v>160.68</v>
      </c>
      <c r="W187" s="10">
        <v>2.5341130604288501E-2</v>
      </c>
    </row>
    <row r="188" spans="1:23" x14ac:dyDescent="0.3">
      <c r="A188" s="7" t="s">
        <v>763</v>
      </c>
      <c r="B188" s="7" t="s">
        <v>764</v>
      </c>
      <c r="C188" s="7" t="s">
        <v>765</v>
      </c>
      <c r="D188" s="7" t="s">
        <v>766</v>
      </c>
      <c r="E188" s="7" t="s">
        <v>192</v>
      </c>
      <c r="F188" s="8">
        <v>45760</v>
      </c>
      <c r="G188" s="8">
        <v>45760</v>
      </c>
      <c r="H188" s="8">
        <v>45765</v>
      </c>
      <c r="I188" s="7" t="s">
        <v>72</v>
      </c>
      <c r="J188" s="7" t="s">
        <v>2362</v>
      </c>
      <c r="K188" s="7" t="s">
        <v>21</v>
      </c>
      <c r="L188" s="7" t="s">
        <v>61</v>
      </c>
      <c r="M188" s="7" t="s">
        <v>46</v>
      </c>
      <c r="N188" s="7" t="s">
        <v>38</v>
      </c>
      <c r="O188" s="7" t="s">
        <v>45</v>
      </c>
      <c r="P188" s="7">
        <v>15</v>
      </c>
      <c r="Q188" s="9">
        <v>350</v>
      </c>
      <c r="R188" s="9">
        <v>364</v>
      </c>
      <c r="S188" s="10">
        <v>0.06</v>
      </c>
      <c r="T188" s="9">
        <v>5132.3999999999996</v>
      </c>
      <c r="U188" s="9">
        <v>5250</v>
      </c>
      <c r="V188" s="9">
        <v>-117.6</v>
      </c>
      <c r="W188" s="10">
        <v>-2.2913256955810101E-2</v>
      </c>
    </row>
    <row r="189" spans="1:23" x14ac:dyDescent="0.3">
      <c r="A189" s="7" t="s">
        <v>767</v>
      </c>
      <c r="B189" s="7" t="s">
        <v>385</v>
      </c>
      <c r="C189" s="7" t="s">
        <v>768</v>
      </c>
      <c r="D189" s="7" t="s">
        <v>769</v>
      </c>
      <c r="E189" s="7" t="s">
        <v>77</v>
      </c>
      <c r="F189" s="8">
        <v>46127</v>
      </c>
      <c r="G189" s="8">
        <v>46128</v>
      </c>
      <c r="H189" s="8">
        <v>46130</v>
      </c>
      <c r="I189" s="7" t="s">
        <v>72</v>
      </c>
      <c r="J189" s="7" t="s">
        <v>2363</v>
      </c>
      <c r="K189" s="7" t="s">
        <v>19</v>
      </c>
      <c r="L189" s="7" t="s">
        <v>24</v>
      </c>
      <c r="M189" s="7" t="s">
        <v>44</v>
      </c>
      <c r="N189" s="7" t="s">
        <v>38</v>
      </c>
      <c r="O189" s="7" t="s">
        <v>45</v>
      </c>
      <c r="P189" s="7">
        <v>6</v>
      </c>
      <c r="Q189" s="9">
        <v>210</v>
      </c>
      <c r="R189" s="9">
        <v>222.6</v>
      </c>
      <c r="S189" s="10">
        <v>0.04</v>
      </c>
      <c r="T189" s="9">
        <v>1282.1759999999999</v>
      </c>
      <c r="U189" s="9">
        <v>1260</v>
      </c>
      <c r="V189" s="9">
        <v>22.175999999999998</v>
      </c>
      <c r="W189" s="10">
        <v>1.7295597484276701E-2</v>
      </c>
    </row>
    <row r="190" spans="1:23" x14ac:dyDescent="0.3">
      <c r="A190" s="7" t="s">
        <v>770</v>
      </c>
      <c r="B190" s="7" t="s">
        <v>578</v>
      </c>
      <c r="C190" s="7" t="s">
        <v>771</v>
      </c>
      <c r="D190" s="7" t="s">
        <v>547</v>
      </c>
      <c r="E190" s="7" t="s">
        <v>87</v>
      </c>
      <c r="F190" s="8">
        <v>45343</v>
      </c>
      <c r="G190" s="8">
        <v>45344</v>
      </c>
      <c r="H190" s="8">
        <v>45347</v>
      </c>
      <c r="I190" s="7" t="s">
        <v>72</v>
      </c>
      <c r="J190" s="7" t="s">
        <v>1</v>
      </c>
      <c r="K190" s="7" t="s">
        <v>19</v>
      </c>
      <c r="L190" s="7" t="s">
        <v>22</v>
      </c>
      <c r="M190" s="7" t="s">
        <v>30</v>
      </c>
      <c r="N190" s="7" t="s">
        <v>27</v>
      </c>
      <c r="O190" s="7" t="s">
        <v>31</v>
      </c>
      <c r="P190" s="7">
        <v>10</v>
      </c>
      <c r="Q190" s="9">
        <v>1030</v>
      </c>
      <c r="R190" s="9">
        <v>1174.2</v>
      </c>
      <c r="S190" s="10">
        <v>0.04</v>
      </c>
      <c r="T190" s="9">
        <v>11272.32</v>
      </c>
      <c r="U190" s="9">
        <v>10300</v>
      </c>
      <c r="V190" s="9">
        <v>972.32</v>
      </c>
      <c r="W190" s="10">
        <v>8.6257309941520505E-2</v>
      </c>
    </row>
    <row r="191" spans="1:23" x14ac:dyDescent="0.3">
      <c r="A191" s="7" t="s">
        <v>772</v>
      </c>
      <c r="B191" s="7" t="s">
        <v>773</v>
      </c>
      <c r="C191" s="7" t="s">
        <v>774</v>
      </c>
      <c r="D191" s="7" t="s">
        <v>775</v>
      </c>
      <c r="E191" s="7" t="s">
        <v>141</v>
      </c>
      <c r="F191" s="8">
        <v>45985</v>
      </c>
      <c r="G191" s="8">
        <v>45985</v>
      </c>
      <c r="H191" s="8">
        <v>45990</v>
      </c>
      <c r="I191" s="7" t="s">
        <v>72</v>
      </c>
      <c r="J191" s="7" t="s">
        <v>1</v>
      </c>
      <c r="K191" s="7" t="s">
        <v>20</v>
      </c>
      <c r="L191" s="7" t="s">
        <v>24</v>
      </c>
      <c r="M191" s="7" t="s">
        <v>35</v>
      </c>
      <c r="N191" s="7" t="s">
        <v>33</v>
      </c>
      <c r="O191" s="7" t="s">
        <v>36</v>
      </c>
      <c r="P191" s="7">
        <v>9</v>
      </c>
      <c r="Q191" s="9">
        <v>1530</v>
      </c>
      <c r="R191" s="9">
        <v>1790.1</v>
      </c>
      <c r="S191" s="10">
        <v>0.05</v>
      </c>
      <c r="T191" s="9">
        <v>15305.355</v>
      </c>
      <c r="U191" s="9">
        <v>13770</v>
      </c>
      <c r="V191" s="9">
        <v>1535.355</v>
      </c>
      <c r="W191" s="10">
        <v>0.100314889788574</v>
      </c>
    </row>
    <row r="192" spans="1:23" x14ac:dyDescent="0.3">
      <c r="A192" s="7" t="s">
        <v>776</v>
      </c>
      <c r="B192" s="7" t="s">
        <v>747</v>
      </c>
      <c r="C192" s="7" t="s">
        <v>777</v>
      </c>
      <c r="D192" s="7" t="s">
        <v>778</v>
      </c>
      <c r="E192" s="7" t="s">
        <v>208</v>
      </c>
      <c r="F192" s="8">
        <v>45483</v>
      </c>
      <c r="G192" s="8">
        <v>45484</v>
      </c>
      <c r="H192" s="8">
        <v>45486</v>
      </c>
      <c r="I192" s="7" t="s">
        <v>82</v>
      </c>
      <c r="J192" s="7" t="s">
        <v>1</v>
      </c>
      <c r="K192" s="7" t="s">
        <v>20</v>
      </c>
      <c r="L192" s="7" t="s">
        <v>24</v>
      </c>
      <c r="M192" s="7" t="s">
        <v>50</v>
      </c>
      <c r="N192" s="7" t="s">
        <v>33</v>
      </c>
      <c r="O192" s="7" t="s">
        <v>36</v>
      </c>
      <c r="P192" s="7">
        <v>3</v>
      </c>
      <c r="Q192" s="9">
        <v>930</v>
      </c>
      <c r="R192" s="9">
        <v>1078.8</v>
      </c>
      <c r="S192" s="10">
        <v>0.03</v>
      </c>
      <c r="T192" s="9">
        <v>3139.308</v>
      </c>
      <c r="U192" s="9">
        <v>2790</v>
      </c>
      <c r="V192" s="9">
        <v>349.30799999999999</v>
      </c>
      <c r="W192" s="10">
        <v>0.111269107714184</v>
      </c>
    </row>
    <row r="193" spans="1:23" x14ac:dyDescent="0.3">
      <c r="A193" s="7" t="s">
        <v>779</v>
      </c>
      <c r="B193" s="7" t="s">
        <v>743</v>
      </c>
      <c r="C193" s="7" t="s">
        <v>780</v>
      </c>
      <c r="D193" s="7" t="s">
        <v>269</v>
      </c>
      <c r="E193" s="7" t="s">
        <v>141</v>
      </c>
      <c r="F193" s="8">
        <v>45480</v>
      </c>
      <c r="G193" s="8">
        <v>45481</v>
      </c>
      <c r="H193" s="8">
        <v>45483</v>
      </c>
      <c r="I193" s="7" t="s">
        <v>72</v>
      </c>
      <c r="J193" s="7" t="s">
        <v>2363</v>
      </c>
      <c r="K193" s="7" t="s">
        <v>20</v>
      </c>
      <c r="L193" s="7" t="s">
        <v>24</v>
      </c>
      <c r="M193" s="7" t="s">
        <v>35</v>
      </c>
      <c r="N193" s="7" t="s">
        <v>33</v>
      </c>
      <c r="O193" s="7" t="s">
        <v>36</v>
      </c>
      <c r="P193" s="7">
        <v>9</v>
      </c>
      <c r="Q193" s="9">
        <v>1530</v>
      </c>
      <c r="R193" s="9">
        <v>1790.1</v>
      </c>
      <c r="S193" s="10">
        <v>7.0000000000000007E-2</v>
      </c>
      <c r="T193" s="9">
        <v>14983.137000000001</v>
      </c>
      <c r="U193" s="9">
        <v>13770</v>
      </c>
      <c r="V193" s="9">
        <v>1213.1369999999999</v>
      </c>
      <c r="W193" s="10">
        <v>8.0966822902306806E-2</v>
      </c>
    </row>
    <row r="194" spans="1:23" x14ac:dyDescent="0.3">
      <c r="A194" s="7" t="s">
        <v>781</v>
      </c>
      <c r="B194" s="7" t="s">
        <v>244</v>
      </c>
      <c r="C194" s="7" t="s">
        <v>782</v>
      </c>
      <c r="D194" s="7" t="s">
        <v>783</v>
      </c>
      <c r="E194" s="7" t="s">
        <v>322</v>
      </c>
      <c r="F194" s="8">
        <v>45640</v>
      </c>
      <c r="G194" s="8">
        <v>45640</v>
      </c>
      <c r="H194" s="8">
        <v>45645</v>
      </c>
      <c r="I194" s="7" t="s">
        <v>82</v>
      </c>
      <c r="J194" s="7" t="s">
        <v>2364</v>
      </c>
      <c r="K194" s="7" t="s">
        <v>20</v>
      </c>
      <c r="L194" s="7" t="s">
        <v>22</v>
      </c>
      <c r="M194" s="7" t="s">
        <v>26</v>
      </c>
      <c r="N194" s="7" t="s">
        <v>27</v>
      </c>
      <c r="O194" s="7" t="s">
        <v>28</v>
      </c>
      <c r="P194" s="7">
        <v>2</v>
      </c>
      <c r="Q194" s="9">
        <v>3330</v>
      </c>
      <c r="R194" s="9">
        <v>3629.7</v>
      </c>
      <c r="S194" s="10">
        <v>0.03</v>
      </c>
      <c r="T194" s="9">
        <v>7041.6180000000004</v>
      </c>
      <c r="U194" s="9">
        <v>6660</v>
      </c>
      <c r="V194" s="9">
        <v>381.61799999999999</v>
      </c>
      <c r="W194" s="10">
        <v>5.4194646741700603E-2</v>
      </c>
    </row>
    <row r="195" spans="1:23" x14ac:dyDescent="0.3">
      <c r="A195" s="7" t="s">
        <v>784</v>
      </c>
      <c r="B195" s="7" t="s">
        <v>785</v>
      </c>
      <c r="C195" s="7" t="s">
        <v>786</v>
      </c>
      <c r="D195" s="7" t="s">
        <v>787</v>
      </c>
      <c r="E195" s="7" t="s">
        <v>87</v>
      </c>
      <c r="F195" s="8">
        <v>46078</v>
      </c>
      <c r="G195" s="8">
        <v>46079</v>
      </c>
      <c r="H195" s="8">
        <v>46081</v>
      </c>
      <c r="I195" s="7" t="s">
        <v>72</v>
      </c>
      <c r="J195" s="7" t="s">
        <v>1</v>
      </c>
      <c r="K195" s="7" t="s">
        <v>20</v>
      </c>
      <c r="L195" s="7" t="s">
        <v>25</v>
      </c>
      <c r="M195" s="7" t="s">
        <v>30</v>
      </c>
      <c r="N195" s="7" t="s">
        <v>27</v>
      </c>
      <c r="O195" s="7" t="s">
        <v>31</v>
      </c>
      <c r="P195" s="7">
        <v>5</v>
      </c>
      <c r="Q195" s="9">
        <v>1030</v>
      </c>
      <c r="R195" s="9">
        <v>1174.2</v>
      </c>
      <c r="S195" s="10">
        <v>0.01</v>
      </c>
      <c r="T195" s="9">
        <v>5812.29</v>
      </c>
      <c r="U195" s="9">
        <v>5150</v>
      </c>
      <c r="V195" s="9">
        <v>662.29</v>
      </c>
      <c r="W195" s="10">
        <v>0.113946482367535</v>
      </c>
    </row>
    <row r="196" spans="1:23" x14ac:dyDescent="0.3">
      <c r="A196" s="7" t="s">
        <v>788</v>
      </c>
      <c r="B196" s="7" t="s">
        <v>89</v>
      </c>
      <c r="C196" s="7" t="s">
        <v>789</v>
      </c>
      <c r="D196" s="7" t="s">
        <v>790</v>
      </c>
      <c r="E196" s="7" t="s">
        <v>87</v>
      </c>
      <c r="F196" s="8">
        <v>45567</v>
      </c>
      <c r="G196" s="8">
        <v>45567</v>
      </c>
      <c r="H196" s="8">
        <v>45569</v>
      </c>
      <c r="I196" s="7" t="s">
        <v>72</v>
      </c>
      <c r="J196" s="7" t="s">
        <v>2363</v>
      </c>
      <c r="K196" s="7" t="s">
        <v>20</v>
      </c>
      <c r="L196" s="7" t="s">
        <v>23</v>
      </c>
      <c r="M196" s="7" t="s">
        <v>30</v>
      </c>
      <c r="N196" s="7" t="s">
        <v>27</v>
      </c>
      <c r="O196" s="7" t="s">
        <v>31</v>
      </c>
      <c r="P196" s="7">
        <v>10</v>
      </c>
      <c r="Q196" s="9">
        <v>1030</v>
      </c>
      <c r="R196" s="9">
        <v>1174.2</v>
      </c>
      <c r="S196" s="10">
        <v>0.04</v>
      </c>
      <c r="T196" s="9">
        <v>11272.32</v>
      </c>
      <c r="U196" s="9">
        <v>10300</v>
      </c>
      <c r="V196" s="9">
        <v>972.32</v>
      </c>
      <c r="W196" s="10">
        <v>8.6257309941520505E-2</v>
      </c>
    </row>
    <row r="197" spans="1:23" x14ac:dyDescent="0.3">
      <c r="A197" s="7" t="s">
        <v>791</v>
      </c>
      <c r="B197" s="7" t="s">
        <v>792</v>
      </c>
      <c r="C197" s="7" t="s">
        <v>793</v>
      </c>
      <c r="D197" s="7" t="s">
        <v>794</v>
      </c>
      <c r="E197" s="7" t="s">
        <v>119</v>
      </c>
      <c r="F197" s="8">
        <v>45576</v>
      </c>
      <c r="G197" s="8">
        <v>45576</v>
      </c>
      <c r="H197" s="8">
        <v>45578</v>
      </c>
      <c r="I197" s="7" t="s">
        <v>72</v>
      </c>
      <c r="J197" s="7" t="s">
        <v>1</v>
      </c>
      <c r="K197" s="7" t="s">
        <v>19</v>
      </c>
      <c r="L197" s="7" t="s">
        <v>23</v>
      </c>
      <c r="M197" s="7" t="s">
        <v>37</v>
      </c>
      <c r="N197" s="7" t="s">
        <v>38</v>
      </c>
      <c r="O197" s="7" t="s">
        <v>39</v>
      </c>
      <c r="P197" s="7">
        <v>9</v>
      </c>
      <c r="Q197" s="9">
        <v>250</v>
      </c>
      <c r="R197" s="9">
        <v>270</v>
      </c>
      <c r="S197" s="10">
        <v>0.02</v>
      </c>
      <c r="T197" s="9">
        <v>2381.4</v>
      </c>
      <c r="U197" s="9">
        <v>2250</v>
      </c>
      <c r="V197" s="9">
        <v>131.4</v>
      </c>
      <c r="W197" s="10">
        <v>5.5177626606198002E-2</v>
      </c>
    </row>
    <row r="198" spans="1:23" x14ac:dyDescent="0.3">
      <c r="A198" s="7" t="s">
        <v>795</v>
      </c>
      <c r="B198" s="7" t="s">
        <v>189</v>
      </c>
      <c r="C198" s="7" t="s">
        <v>796</v>
      </c>
      <c r="D198" s="7" t="s">
        <v>797</v>
      </c>
      <c r="E198" s="7" t="s">
        <v>87</v>
      </c>
      <c r="F198" s="8">
        <v>45645</v>
      </c>
      <c r="G198" s="8">
        <v>45645</v>
      </c>
      <c r="H198" s="8">
        <v>45647</v>
      </c>
      <c r="I198" s="7" t="s">
        <v>82</v>
      </c>
      <c r="J198" s="7" t="s">
        <v>2363</v>
      </c>
      <c r="K198" s="7" t="s">
        <v>19</v>
      </c>
      <c r="L198" s="7" t="s">
        <v>61</v>
      </c>
      <c r="M198" s="7" t="s">
        <v>30</v>
      </c>
      <c r="N198" s="7" t="s">
        <v>27</v>
      </c>
      <c r="O198" s="7" t="s">
        <v>31</v>
      </c>
      <c r="P198" s="7">
        <v>3</v>
      </c>
      <c r="Q198" s="9">
        <v>1030</v>
      </c>
      <c r="R198" s="9">
        <v>1174.2</v>
      </c>
      <c r="S198" s="10">
        <v>0.06</v>
      </c>
      <c r="T198" s="9">
        <v>3311.2440000000001</v>
      </c>
      <c r="U198" s="9">
        <v>3090</v>
      </c>
      <c r="V198" s="9">
        <v>221.244</v>
      </c>
      <c r="W198" s="10">
        <v>6.6815976110489006E-2</v>
      </c>
    </row>
    <row r="199" spans="1:23" x14ac:dyDescent="0.3">
      <c r="A199" s="7" t="s">
        <v>798</v>
      </c>
      <c r="B199" s="7" t="s">
        <v>799</v>
      </c>
      <c r="C199" s="7" t="s">
        <v>800</v>
      </c>
      <c r="D199" s="7" t="s">
        <v>801</v>
      </c>
      <c r="E199" s="7" t="s">
        <v>119</v>
      </c>
      <c r="F199" s="8">
        <v>45713</v>
      </c>
      <c r="G199" s="8">
        <v>45714</v>
      </c>
      <c r="H199" s="8">
        <v>45718</v>
      </c>
      <c r="I199" s="7" t="s">
        <v>72</v>
      </c>
      <c r="J199" s="7" t="s">
        <v>2362</v>
      </c>
      <c r="K199" s="7" t="s">
        <v>19</v>
      </c>
      <c r="L199" s="7" t="s">
        <v>22</v>
      </c>
      <c r="M199" s="7" t="s">
        <v>37</v>
      </c>
      <c r="N199" s="7" t="s">
        <v>38</v>
      </c>
      <c r="O199" s="7" t="s">
        <v>39</v>
      </c>
      <c r="P199" s="7">
        <v>10</v>
      </c>
      <c r="Q199" s="9">
        <v>250</v>
      </c>
      <c r="R199" s="9">
        <v>270</v>
      </c>
      <c r="S199" s="10">
        <v>0.08</v>
      </c>
      <c r="T199" s="9">
        <v>2484</v>
      </c>
      <c r="U199" s="9">
        <v>2500</v>
      </c>
      <c r="V199" s="9">
        <v>-16</v>
      </c>
      <c r="W199" s="10">
        <v>-6.4412238325281803E-3</v>
      </c>
    </row>
    <row r="200" spans="1:23" x14ac:dyDescent="0.3">
      <c r="A200" s="7" t="s">
        <v>802</v>
      </c>
      <c r="B200" s="7" t="s">
        <v>803</v>
      </c>
      <c r="C200" s="7" t="s">
        <v>804</v>
      </c>
      <c r="D200" s="7" t="s">
        <v>805</v>
      </c>
      <c r="E200" s="7" t="s">
        <v>132</v>
      </c>
      <c r="F200" s="8">
        <v>45792</v>
      </c>
      <c r="G200" s="8">
        <v>45792</v>
      </c>
      <c r="H200" s="8">
        <v>45797</v>
      </c>
      <c r="I200" s="7" t="s">
        <v>72</v>
      </c>
      <c r="J200" s="7" t="s">
        <v>2364</v>
      </c>
      <c r="K200" s="7" t="s">
        <v>21</v>
      </c>
      <c r="L200" s="7" t="s">
        <v>24</v>
      </c>
      <c r="M200" s="7" t="s">
        <v>2366</v>
      </c>
      <c r="N200" s="7" t="s">
        <v>27</v>
      </c>
      <c r="O200" s="7" t="s">
        <v>54</v>
      </c>
      <c r="P200" s="7">
        <v>8</v>
      </c>
      <c r="Q200" s="9">
        <v>430</v>
      </c>
      <c r="R200" s="9">
        <v>455.8</v>
      </c>
      <c r="S200" s="10">
        <v>0.1</v>
      </c>
      <c r="T200" s="9">
        <v>3281.76</v>
      </c>
      <c r="U200" s="9">
        <v>3440</v>
      </c>
      <c r="V200" s="9">
        <v>-158.24</v>
      </c>
      <c r="W200" s="10">
        <v>-4.8218029350104802E-2</v>
      </c>
    </row>
    <row r="201" spans="1:23" x14ac:dyDescent="0.3">
      <c r="A201" s="7" t="s">
        <v>806</v>
      </c>
      <c r="B201" s="7" t="s">
        <v>470</v>
      </c>
      <c r="C201" s="7" t="s">
        <v>807</v>
      </c>
      <c r="D201" s="7" t="s">
        <v>808</v>
      </c>
      <c r="E201" s="7" t="s">
        <v>322</v>
      </c>
      <c r="F201" s="8">
        <v>45958</v>
      </c>
      <c r="G201" s="8">
        <v>45959</v>
      </c>
      <c r="H201" s="8">
        <v>45963</v>
      </c>
      <c r="I201" s="7" t="s">
        <v>82</v>
      </c>
      <c r="J201" s="7" t="s">
        <v>1</v>
      </c>
      <c r="K201" s="7" t="s">
        <v>19</v>
      </c>
      <c r="L201" s="7" t="s">
        <v>23</v>
      </c>
      <c r="M201" s="7" t="s">
        <v>26</v>
      </c>
      <c r="N201" s="7" t="s">
        <v>27</v>
      </c>
      <c r="O201" s="7" t="s">
        <v>28</v>
      </c>
      <c r="P201" s="7">
        <v>3</v>
      </c>
      <c r="Q201" s="9">
        <v>3330</v>
      </c>
      <c r="R201" s="9">
        <v>3629.7</v>
      </c>
      <c r="S201" s="10">
        <v>7.0000000000000007E-2</v>
      </c>
      <c r="T201" s="9">
        <v>10126.862999999999</v>
      </c>
      <c r="U201" s="9">
        <v>9990</v>
      </c>
      <c r="V201" s="9">
        <v>136.863</v>
      </c>
      <c r="W201" s="10">
        <v>1.35148466015586E-2</v>
      </c>
    </row>
    <row r="202" spans="1:23" x14ac:dyDescent="0.3">
      <c r="A202" s="7" t="s">
        <v>809</v>
      </c>
      <c r="B202" s="7" t="s">
        <v>810</v>
      </c>
      <c r="C202" s="7" t="s">
        <v>811</v>
      </c>
      <c r="D202" s="7" t="s">
        <v>812</v>
      </c>
      <c r="E202" s="7" t="s">
        <v>164</v>
      </c>
      <c r="F202" s="8">
        <v>45551</v>
      </c>
      <c r="G202" s="8">
        <v>45551</v>
      </c>
      <c r="H202" s="8">
        <v>45556</v>
      </c>
      <c r="I202" s="7" t="s">
        <v>72</v>
      </c>
      <c r="J202" s="7" t="s">
        <v>2364</v>
      </c>
      <c r="K202" s="7" t="s">
        <v>21</v>
      </c>
      <c r="L202" s="7" t="s">
        <v>61</v>
      </c>
      <c r="M202" s="7" t="s">
        <v>43</v>
      </c>
      <c r="N202" s="7" t="s">
        <v>27</v>
      </c>
      <c r="O202" s="7" t="s">
        <v>31</v>
      </c>
      <c r="P202" s="7">
        <v>8</v>
      </c>
      <c r="Q202" s="9">
        <v>1630</v>
      </c>
      <c r="R202" s="9">
        <v>1744.1</v>
      </c>
      <c r="S202" s="10">
        <v>0.1</v>
      </c>
      <c r="T202" s="9">
        <v>12557.52</v>
      </c>
      <c r="U202" s="9">
        <v>13040</v>
      </c>
      <c r="V202" s="9">
        <v>-482.48</v>
      </c>
      <c r="W202" s="10">
        <v>-3.8421599169262702E-2</v>
      </c>
    </row>
    <row r="203" spans="1:23" x14ac:dyDescent="0.3">
      <c r="A203" s="7" t="s">
        <v>813</v>
      </c>
      <c r="B203" s="7" t="s">
        <v>252</v>
      </c>
      <c r="C203" s="7" t="s">
        <v>814</v>
      </c>
      <c r="D203" s="7" t="s">
        <v>94</v>
      </c>
      <c r="E203" s="7" t="s">
        <v>100</v>
      </c>
      <c r="F203" s="8">
        <v>45920</v>
      </c>
      <c r="G203" s="8">
        <v>45920</v>
      </c>
      <c r="H203" s="8">
        <v>45925</v>
      </c>
      <c r="I203" s="7" t="s">
        <v>72</v>
      </c>
      <c r="J203" s="7" t="s">
        <v>2362</v>
      </c>
      <c r="K203" s="7" t="s">
        <v>20</v>
      </c>
      <c r="L203" s="7" t="s">
        <v>24</v>
      </c>
      <c r="M203" s="7" t="s">
        <v>42</v>
      </c>
      <c r="N203" s="7" t="s">
        <v>27</v>
      </c>
      <c r="O203" s="7" t="s">
        <v>28</v>
      </c>
      <c r="P203" s="7">
        <v>10</v>
      </c>
      <c r="Q203" s="9">
        <v>3030</v>
      </c>
      <c r="R203" s="9">
        <v>3211.8</v>
      </c>
      <c r="S203" s="10">
        <v>0.01</v>
      </c>
      <c r="T203" s="9">
        <v>31796.82</v>
      </c>
      <c r="U203" s="9">
        <v>30300</v>
      </c>
      <c r="V203" s="9">
        <v>1496.82</v>
      </c>
      <c r="W203" s="10">
        <v>4.7074518772632003E-2</v>
      </c>
    </row>
    <row r="204" spans="1:23" x14ac:dyDescent="0.3">
      <c r="A204" s="7" t="s">
        <v>815</v>
      </c>
      <c r="B204" s="7" t="s">
        <v>816</v>
      </c>
      <c r="C204" s="7" t="s">
        <v>817</v>
      </c>
      <c r="D204" s="7" t="s">
        <v>818</v>
      </c>
      <c r="E204" s="7" t="s">
        <v>173</v>
      </c>
      <c r="F204" s="8">
        <v>45434</v>
      </c>
      <c r="G204" s="8">
        <v>45435</v>
      </c>
      <c r="H204" s="8">
        <v>45439</v>
      </c>
      <c r="I204" s="7" t="s">
        <v>72</v>
      </c>
      <c r="J204" s="7" t="s">
        <v>2</v>
      </c>
      <c r="K204" s="7" t="s">
        <v>20</v>
      </c>
      <c r="L204" s="7" t="s">
        <v>25</v>
      </c>
      <c r="M204" s="7" t="s">
        <v>48</v>
      </c>
      <c r="N204" s="7" t="s">
        <v>38</v>
      </c>
      <c r="O204" s="7" t="s">
        <v>41</v>
      </c>
      <c r="P204" s="7">
        <v>10</v>
      </c>
      <c r="Q204" s="9">
        <v>580</v>
      </c>
      <c r="R204" s="9">
        <v>667</v>
      </c>
      <c r="S204" s="10">
        <v>0.06</v>
      </c>
      <c r="T204" s="9">
        <v>6269.8</v>
      </c>
      <c r="U204" s="9">
        <v>5800</v>
      </c>
      <c r="V204" s="9">
        <v>469.8</v>
      </c>
      <c r="W204" s="10">
        <v>7.4930619796484702E-2</v>
      </c>
    </row>
    <row r="205" spans="1:23" x14ac:dyDescent="0.3">
      <c r="A205" s="7" t="s">
        <v>819</v>
      </c>
      <c r="B205" s="7" t="s">
        <v>820</v>
      </c>
      <c r="C205" s="7" t="s">
        <v>821</v>
      </c>
      <c r="D205" s="7" t="s">
        <v>822</v>
      </c>
      <c r="E205" s="7" t="s">
        <v>141</v>
      </c>
      <c r="F205" s="8">
        <v>45782</v>
      </c>
      <c r="G205" s="8">
        <v>45783</v>
      </c>
      <c r="H205" s="8">
        <v>45784</v>
      </c>
      <c r="I205" s="7" t="s">
        <v>72</v>
      </c>
      <c r="J205" s="7" t="s">
        <v>2363</v>
      </c>
      <c r="K205" s="7" t="s">
        <v>21</v>
      </c>
      <c r="L205" s="7" t="s">
        <v>24</v>
      </c>
      <c r="M205" s="7" t="s">
        <v>35</v>
      </c>
      <c r="N205" s="7" t="s">
        <v>33</v>
      </c>
      <c r="O205" s="7" t="s">
        <v>36</v>
      </c>
      <c r="P205" s="7">
        <v>13</v>
      </c>
      <c r="Q205" s="9">
        <v>1530</v>
      </c>
      <c r="R205" s="9">
        <v>1790.1</v>
      </c>
      <c r="S205" s="10">
        <v>0.1</v>
      </c>
      <c r="T205" s="9">
        <v>20944.169999999998</v>
      </c>
      <c r="U205" s="9">
        <v>19890</v>
      </c>
      <c r="V205" s="9">
        <v>1054.17</v>
      </c>
      <c r="W205" s="10">
        <v>5.0332383665716997E-2</v>
      </c>
    </row>
    <row r="206" spans="1:23" x14ac:dyDescent="0.3">
      <c r="A206" s="7" t="s">
        <v>823</v>
      </c>
      <c r="B206" s="7" t="s">
        <v>824</v>
      </c>
      <c r="C206" s="7" t="s">
        <v>825</v>
      </c>
      <c r="D206" s="7" t="s">
        <v>826</v>
      </c>
      <c r="E206" s="7" t="s">
        <v>119</v>
      </c>
      <c r="F206" s="8">
        <v>45763</v>
      </c>
      <c r="G206" s="8">
        <v>45763</v>
      </c>
      <c r="H206" s="8">
        <v>45765</v>
      </c>
      <c r="I206" s="7" t="s">
        <v>72</v>
      </c>
      <c r="J206" s="7" t="s">
        <v>2</v>
      </c>
      <c r="K206" s="7" t="s">
        <v>21</v>
      </c>
      <c r="L206" s="7" t="s">
        <v>23</v>
      </c>
      <c r="M206" s="7" t="s">
        <v>37</v>
      </c>
      <c r="N206" s="7" t="s">
        <v>38</v>
      </c>
      <c r="O206" s="7" t="s">
        <v>39</v>
      </c>
      <c r="P206" s="7">
        <v>9</v>
      </c>
      <c r="Q206" s="9">
        <v>250</v>
      </c>
      <c r="R206" s="9">
        <v>270</v>
      </c>
      <c r="S206" s="10">
        <v>0.04</v>
      </c>
      <c r="T206" s="9">
        <v>2332.8000000000002</v>
      </c>
      <c r="U206" s="9">
        <v>2250</v>
      </c>
      <c r="V206" s="9">
        <v>82.8</v>
      </c>
      <c r="W206" s="10">
        <v>3.5493827160493797E-2</v>
      </c>
    </row>
    <row r="207" spans="1:23" x14ac:dyDescent="0.3">
      <c r="A207" s="7" t="s">
        <v>827</v>
      </c>
      <c r="B207" s="7" t="s">
        <v>828</v>
      </c>
      <c r="C207" s="7" t="s">
        <v>829</v>
      </c>
      <c r="D207" s="7" t="s">
        <v>830</v>
      </c>
      <c r="E207" s="7" t="s">
        <v>95</v>
      </c>
      <c r="F207" s="8">
        <v>45761</v>
      </c>
      <c r="G207" s="8">
        <v>45761</v>
      </c>
      <c r="H207" s="8">
        <v>45765</v>
      </c>
      <c r="I207" s="7" t="s">
        <v>82</v>
      </c>
      <c r="J207" s="7" t="s">
        <v>2362</v>
      </c>
      <c r="K207" s="7" t="s">
        <v>20</v>
      </c>
      <c r="L207" s="7" t="s">
        <v>25</v>
      </c>
      <c r="M207" s="7" t="s">
        <v>49</v>
      </c>
      <c r="N207" s="7" t="s">
        <v>33</v>
      </c>
      <c r="O207" s="7" t="s">
        <v>34</v>
      </c>
      <c r="P207" s="7">
        <v>3</v>
      </c>
      <c r="Q207" s="9">
        <v>1080</v>
      </c>
      <c r="R207" s="9">
        <v>1112.4000000000001</v>
      </c>
      <c r="S207" s="10">
        <v>0.02</v>
      </c>
      <c r="T207" s="9">
        <v>3270.4560000000001</v>
      </c>
      <c r="U207" s="9">
        <v>3240</v>
      </c>
      <c r="V207" s="9">
        <v>30.456</v>
      </c>
      <c r="W207" s="10">
        <v>9.3124628492173601E-3</v>
      </c>
    </row>
    <row r="208" spans="1:23" x14ac:dyDescent="0.3">
      <c r="A208" s="7" t="s">
        <v>831</v>
      </c>
      <c r="B208" s="7" t="s">
        <v>450</v>
      </c>
      <c r="C208" s="7" t="s">
        <v>832</v>
      </c>
      <c r="D208" s="7" t="s">
        <v>833</v>
      </c>
      <c r="E208" s="7" t="s">
        <v>178</v>
      </c>
      <c r="F208" s="8">
        <v>45623</v>
      </c>
      <c r="G208" s="8">
        <v>45624</v>
      </c>
      <c r="H208" s="8">
        <v>45626</v>
      </c>
      <c r="I208" s="7" t="s">
        <v>82</v>
      </c>
      <c r="J208" s="7" t="s">
        <v>2</v>
      </c>
      <c r="K208" s="7" t="s">
        <v>20</v>
      </c>
      <c r="L208" s="7" t="s">
        <v>24</v>
      </c>
      <c r="M208" s="7" t="s">
        <v>47</v>
      </c>
      <c r="N208" s="7" t="s">
        <v>38</v>
      </c>
      <c r="O208" s="7" t="s">
        <v>39</v>
      </c>
      <c r="P208" s="7">
        <v>3</v>
      </c>
      <c r="Q208" s="9">
        <v>390</v>
      </c>
      <c r="R208" s="9">
        <v>468</v>
      </c>
      <c r="S208" s="10">
        <v>0.09</v>
      </c>
      <c r="T208" s="9">
        <v>1277.6400000000001</v>
      </c>
      <c r="U208" s="9">
        <v>1170</v>
      </c>
      <c r="V208" s="9">
        <v>107.64</v>
      </c>
      <c r="W208" s="10">
        <v>8.42490842490842E-2</v>
      </c>
    </row>
    <row r="209" spans="1:23" x14ac:dyDescent="0.3">
      <c r="A209" s="7" t="s">
        <v>834</v>
      </c>
      <c r="B209" s="7" t="s">
        <v>205</v>
      </c>
      <c r="C209" s="7" t="s">
        <v>835</v>
      </c>
      <c r="D209" s="7" t="s">
        <v>836</v>
      </c>
      <c r="E209" s="7" t="s">
        <v>100</v>
      </c>
      <c r="F209" s="8">
        <v>45578</v>
      </c>
      <c r="G209" s="8">
        <v>45578</v>
      </c>
      <c r="H209" s="8">
        <v>45582</v>
      </c>
      <c r="I209" s="7" t="s">
        <v>72</v>
      </c>
      <c r="J209" s="7" t="s">
        <v>2364</v>
      </c>
      <c r="K209" s="7" t="s">
        <v>21</v>
      </c>
      <c r="L209" s="7" t="s">
        <v>61</v>
      </c>
      <c r="M209" s="7" t="s">
        <v>42</v>
      </c>
      <c r="N209" s="7" t="s">
        <v>27</v>
      </c>
      <c r="O209" s="7" t="s">
        <v>28</v>
      </c>
      <c r="P209" s="7">
        <v>9</v>
      </c>
      <c r="Q209" s="9">
        <v>3030</v>
      </c>
      <c r="R209" s="9">
        <v>3211.8</v>
      </c>
      <c r="S209" s="10">
        <v>0.05</v>
      </c>
      <c r="T209" s="9">
        <v>27460.89</v>
      </c>
      <c r="U209" s="9">
        <v>27270</v>
      </c>
      <c r="V209" s="9">
        <v>190.89</v>
      </c>
      <c r="W209" s="10">
        <v>6.9513406156901702E-3</v>
      </c>
    </row>
    <row r="210" spans="1:23" x14ac:dyDescent="0.3">
      <c r="A210" s="7" t="s">
        <v>837</v>
      </c>
      <c r="B210" s="7" t="s">
        <v>689</v>
      </c>
      <c r="C210" s="7" t="s">
        <v>838</v>
      </c>
      <c r="D210" s="7" t="s">
        <v>839</v>
      </c>
      <c r="E210" s="7" t="s">
        <v>173</v>
      </c>
      <c r="F210" s="8">
        <v>46078</v>
      </c>
      <c r="G210" s="8">
        <v>46078</v>
      </c>
      <c r="H210" s="8">
        <v>46082</v>
      </c>
      <c r="I210" s="7" t="s">
        <v>72</v>
      </c>
      <c r="J210" s="7" t="s">
        <v>1</v>
      </c>
      <c r="K210" s="7" t="s">
        <v>20</v>
      </c>
      <c r="L210" s="7" t="s">
        <v>24</v>
      </c>
      <c r="M210" s="7" t="s">
        <v>48</v>
      </c>
      <c r="N210" s="7" t="s">
        <v>38</v>
      </c>
      <c r="O210" s="7" t="s">
        <v>41</v>
      </c>
      <c r="P210" s="7">
        <v>9</v>
      </c>
      <c r="Q210" s="9">
        <v>580</v>
      </c>
      <c r="R210" s="9">
        <v>667</v>
      </c>
      <c r="S210" s="10">
        <v>0.01</v>
      </c>
      <c r="T210" s="9">
        <v>5942.97</v>
      </c>
      <c r="U210" s="9">
        <v>5220</v>
      </c>
      <c r="V210" s="9">
        <v>722.97</v>
      </c>
      <c r="W210" s="10">
        <v>0.121651295564339</v>
      </c>
    </row>
    <row r="211" spans="1:23" x14ac:dyDescent="0.3">
      <c r="A211" s="7" t="s">
        <v>840</v>
      </c>
      <c r="B211" s="7" t="s">
        <v>335</v>
      </c>
      <c r="C211" s="7" t="s">
        <v>841</v>
      </c>
      <c r="D211" s="7" t="s">
        <v>842</v>
      </c>
      <c r="E211" s="7" t="s">
        <v>178</v>
      </c>
      <c r="F211" s="8">
        <v>45404</v>
      </c>
      <c r="G211" s="8">
        <v>45405</v>
      </c>
      <c r="H211" s="8">
        <v>45408</v>
      </c>
      <c r="I211" s="7" t="s">
        <v>82</v>
      </c>
      <c r="J211" s="7" t="s">
        <v>2364</v>
      </c>
      <c r="K211" s="7" t="s">
        <v>20</v>
      </c>
      <c r="L211" s="7" t="s">
        <v>23</v>
      </c>
      <c r="M211" s="7" t="s">
        <v>47</v>
      </c>
      <c r="N211" s="7" t="s">
        <v>38</v>
      </c>
      <c r="O211" s="7" t="s">
        <v>39</v>
      </c>
      <c r="P211" s="7">
        <v>2</v>
      </c>
      <c r="Q211" s="9">
        <v>390</v>
      </c>
      <c r="R211" s="9">
        <v>468</v>
      </c>
      <c r="S211" s="10">
        <v>0.08</v>
      </c>
      <c r="T211" s="9">
        <v>861.12</v>
      </c>
      <c r="U211" s="9">
        <v>780</v>
      </c>
      <c r="V211" s="9">
        <v>81.12</v>
      </c>
      <c r="W211" s="10">
        <v>9.4202898550724598E-2</v>
      </c>
    </row>
    <row r="212" spans="1:23" x14ac:dyDescent="0.3">
      <c r="A212" s="7" t="s">
        <v>843</v>
      </c>
      <c r="B212" s="7" t="s">
        <v>844</v>
      </c>
      <c r="C212" s="7" t="s">
        <v>845</v>
      </c>
      <c r="D212" s="7" t="s">
        <v>846</v>
      </c>
      <c r="E212" s="7" t="s">
        <v>178</v>
      </c>
      <c r="F212" s="8">
        <v>45494</v>
      </c>
      <c r="G212" s="8">
        <v>45494</v>
      </c>
      <c r="H212" s="8">
        <v>45499</v>
      </c>
      <c r="I212" s="7" t="s">
        <v>72</v>
      </c>
      <c r="J212" s="7" t="s">
        <v>2363</v>
      </c>
      <c r="K212" s="7" t="s">
        <v>19</v>
      </c>
      <c r="L212" s="7" t="s">
        <v>61</v>
      </c>
      <c r="M212" s="7" t="s">
        <v>47</v>
      </c>
      <c r="N212" s="7" t="s">
        <v>38</v>
      </c>
      <c r="O212" s="7" t="s">
        <v>39</v>
      </c>
      <c r="P212" s="7">
        <v>8</v>
      </c>
      <c r="Q212" s="9">
        <v>390</v>
      </c>
      <c r="R212" s="9">
        <v>468</v>
      </c>
      <c r="S212" s="10">
        <v>0.04</v>
      </c>
      <c r="T212" s="9">
        <v>3594.24</v>
      </c>
      <c r="U212" s="9">
        <v>3120</v>
      </c>
      <c r="V212" s="9">
        <v>474.24</v>
      </c>
      <c r="W212" s="10">
        <v>0.131944444444444</v>
      </c>
    </row>
    <row r="213" spans="1:23" x14ac:dyDescent="0.3">
      <c r="A213" s="7" t="s">
        <v>847</v>
      </c>
      <c r="B213" s="7" t="s">
        <v>125</v>
      </c>
      <c r="C213" s="7" t="s">
        <v>848</v>
      </c>
      <c r="D213" s="7" t="s">
        <v>849</v>
      </c>
      <c r="E213" s="7" t="s">
        <v>164</v>
      </c>
      <c r="F213" s="8">
        <v>45989</v>
      </c>
      <c r="G213" s="8">
        <v>45990</v>
      </c>
      <c r="H213" s="8">
        <v>45993</v>
      </c>
      <c r="I213" s="7" t="s">
        <v>82</v>
      </c>
      <c r="J213" s="7" t="s">
        <v>2</v>
      </c>
      <c r="K213" s="7" t="s">
        <v>19</v>
      </c>
      <c r="L213" s="7" t="s">
        <v>23</v>
      </c>
      <c r="M213" s="7" t="s">
        <v>43</v>
      </c>
      <c r="N213" s="7" t="s">
        <v>27</v>
      </c>
      <c r="O213" s="7" t="s">
        <v>31</v>
      </c>
      <c r="P213" s="7">
        <v>3</v>
      </c>
      <c r="Q213" s="9">
        <v>1630</v>
      </c>
      <c r="R213" s="9">
        <v>1744.1</v>
      </c>
      <c r="S213" s="10">
        <v>0.05</v>
      </c>
      <c r="T213" s="9">
        <v>4970.6850000000004</v>
      </c>
      <c r="U213" s="9">
        <v>4890</v>
      </c>
      <c r="V213" s="9">
        <v>80.685000000000002</v>
      </c>
      <c r="W213" s="10">
        <v>1.6232169208066902E-2</v>
      </c>
    </row>
    <row r="214" spans="1:23" x14ac:dyDescent="0.3">
      <c r="A214" s="7" t="s">
        <v>850</v>
      </c>
      <c r="B214" s="7" t="s">
        <v>851</v>
      </c>
      <c r="C214" s="7" t="s">
        <v>852</v>
      </c>
      <c r="D214" s="7" t="s">
        <v>853</v>
      </c>
      <c r="E214" s="7" t="s">
        <v>291</v>
      </c>
      <c r="F214" s="8">
        <v>45439</v>
      </c>
      <c r="G214" s="8">
        <v>45439</v>
      </c>
      <c r="H214" s="8">
        <v>45444</v>
      </c>
      <c r="I214" s="7" t="s">
        <v>72</v>
      </c>
      <c r="J214" s="7" t="s">
        <v>2363</v>
      </c>
      <c r="K214" s="7" t="s">
        <v>21</v>
      </c>
      <c r="L214" s="7" t="s">
        <v>23</v>
      </c>
      <c r="M214" s="7" t="s">
        <v>57</v>
      </c>
      <c r="N214" s="7" t="s">
        <v>27</v>
      </c>
      <c r="O214" s="7" t="s">
        <v>58</v>
      </c>
      <c r="P214" s="7">
        <v>11</v>
      </c>
      <c r="Q214" s="9">
        <v>480</v>
      </c>
      <c r="R214" s="9">
        <v>513.6</v>
      </c>
      <c r="S214" s="10">
        <v>0.1</v>
      </c>
      <c r="T214" s="9">
        <v>5084.6400000000003</v>
      </c>
      <c r="U214" s="9">
        <v>5280</v>
      </c>
      <c r="V214" s="9">
        <v>-195.36</v>
      </c>
      <c r="W214" s="10">
        <v>-3.8421599169262702E-2</v>
      </c>
    </row>
    <row r="215" spans="1:23" x14ac:dyDescent="0.3">
      <c r="A215" s="7" t="s">
        <v>854</v>
      </c>
      <c r="B215" s="7" t="s">
        <v>824</v>
      </c>
      <c r="C215" s="7" t="s">
        <v>855</v>
      </c>
      <c r="D215" s="7" t="s">
        <v>856</v>
      </c>
      <c r="E215" s="7" t="s">
        <v>322</v>
      </c>
      <c r="F215" s="8">
        <v>45429</v>
      </c>
      <c r="G215" s="8">
        <v>45429</v>
      </c>
      <c r="H215" s="8">
        <v>45432</v>
      </c>
      <c r="I215" s="7" t="s">
        <v>72</v>
      </c>
      <c r="J215" s="7" t="s">
        <v>2364</v>
      </c>
      <c r="K215" s="7" t="s">
        <v>19</v>
      </c>
      <c r="L215" s="7" t="s">
        <v>24</v>
      </c>
      <c r="M215" s="7" t="s">
        <v>26</v>
      </c>
      <c r="N215" s="7" t="s">
        <v>27</v>
      </c>
      <c r="O215" s="7" t="s">
        <v>28</v>
      </c>
      <c r="P215" s="7">
        <v>7</v>
      </c>
      <c r="Q215" s="9">
        <v>3330</v>
      </c>
      <c r="R215" s="9">
        <v>3629.7</v>
      </c>
      <c r="S215" s="10">
        <v>0</v>
      </c>
      <c r="T215" s="9">
        <v>25407.9</v>
      </c>
      <c r="U215" s="9">
        <v>23310</v>
      </c>
      <c r="V215" s="9">
        <v>2097.9</v>
      </c>
      <c r="W215" s="10">
        <v>8.2568807339449601E-2</v>
      </c>
    </row>
    <row r="216" spans="1:23" x14ac:dyDescent="0.3">
      <c r="A216" s="7" t="s">
        <v>857</v>
      </c>
      <c r="B216" s="7" t="s">
        <v>230</v>
      </c>
      <c r="C216" s="7" t="s">
        <v>858</v>
      </c>
      <c r="D216" s="7" t="s">
        <v>859</v>
      </c>
      <c r="E216" s="7" t="s">
        <v>291</v>
      </c>
      <c r="F216" s="8">
        <v>45484</v>
      </c>
      <c r="G216" s="8">
        <v>45485</v>
      </c>
      <c r="H216" s="8">
        <v>45489</v>
      </c>
      <c r="I216" s="7" t="s">
        <v>82</v>
      </c>
      <c r="J216" s="7" t="s">
        <v>2362</v>
      </c>
      <c r="K216" s="7" t="s">
        <v>19</v>
      </c>
      <c r="L216" s="7" t="s">
        <v>22</v>
      </c>
      <c r="M216" s="7" t="s">
        <v>57</v>
      </c>
      <c r="N216" s="7" t="s">
        <v>27</v>
      </c>
      <c r="O216" s="7" t="s">
        <v>58</v>
      </c>
      <c r="P216" s="7">
        <v>3</v>
      </c>
      <c r="Q216" s="9">
        <v>480</v>
      </c>
      <c r="R216" s="9">
        <v>513.6</v>
      </c>
      <c r="S216" s="10">
        <v>0.04</v>
      </c>
      <c r="T216" s="9">
        <v>1479.1679999999999</v>
      </c>
      <c r="U216" s="9">
        <v>1440</v>
      </c>
      <c r="V216" s="9">
        <v>39.167999999999999</v>
      </c>
      <c r="W216" s="10">
        <v>2.6479750778816199E-2</v>
      </c>
    </row>
    <row r="217" spans="1:23" x14ac:dyDescent="0.3">
      <c r="A217" s="7" t="s">
        <v>860</v>
      </c>
      <c r="B217" s="7" t="s">
        <v>490</v>
      </c>
      <c r="C217" s="7" t="s">
        <v>861</v>
      </c>
      <c r="D217" s="7" t="s">
        <v>302</v>
      </c>
      <c r="E217" s="7" t="s">
        <v>119</v>
      </c>
      <c r="F217" s="8">
        <v>45391</v>
      </c>
      <c r="G217" s="8">
        <v>45392</v>
      </c>
      <c r="H217" s="8">
        <v>45396</v>
      </c>
      <c r="I217" s="7" t="s">
        <v>72</v>
      </c>
      <c r="J217" s="7" t="s">
        <v>2</v>
      </c>
      <c r="K217" s="7" t="s">
        <v>20</v>
      </c>
      <c r="L217" s="7" t="s">
        <v>61</v>
      </c>
      <c r="M217" s="7" t="s">
        <v>37</v>
      </c>
      <c r="N217" s="7" t="s">
        <v>38</v>
      </c>
      <c r="O217" s="7" t="s">
        <v>39</v>
      </c>
      <c r="P217" s="7">
        <v>6</v>
      </c>
      <c r="Q217" s="9">
        <v>250</v>
      </c>
      <c r="R217" s="9">
        <v>270</v>
      </c>
      <c r="S217" s="10">
        <v>0.04</v>
      </c>
      <c r="T217" s="9">
        <v>1555.2</v>
      </c>
      <c r="U217" s="9">
        <v>1500</v>
      </c>
      <c r="V217" s="9">
        <v>55.2</v>
      </c>
      <c r="W217" s="10">
        <v>3.5493827160493797E-2</v>
      </c>
    </row>
    <row r="218" spans="1:23" x14ac:dyDescent="0.3">
      <c r="A218" s="7" t="s">
        <v>862</v>
      </c>
      <c r="B218" s="7" t="s">
        <v>863</v>
      </c>
      <c r="C218" s="7" t="s">
        <v>864</v>
      </c>
      <c r="D218" s="7" t="s">
        <v>865</v>
      </c>
      <c r="E218" s="7" t="s">
        <v>208</v>
      </c>
      <c r="F218" s="8">
        <v>45421</v>
      </c>
      <c r="G218" s="8">
        <v>45421</v>
      </c>
      <c r="H218" s="8">
        <v>45425</v>
      </c>
      <c r="I218" s="7" t="s">
        <v>72</v>
      </c>
      <c r="J218" s="7" t="s">
        <v>1</v>
      </c>
      <c r="K218" s="7" t="s">
        <v>20</v>
      </c>
      <c r="L218" s="7" t="s">
        <v>22</v>
      </c>
      <c r="M218" s="7" t="s">
        <v>50</v>
      </c>
      <c r="N218" s="7" t="s">
        <v>33</v>
      </c>
      <c r="O218" s="7" t="s">
        <v>36</v>
      </c>
      <c r="P218" s="7">
        <v>5</v>
      </c>
      <c r="Q218" s="9">
        <v>930</v>
      </c>
      <c r="R218" s="9">
        <v>1078.8</v>
      </c>
      <c r="S218" s="10">
        <v>0.03</v>
      </c>
      <c r="T218" s="9">
        <v>5232.18</v>
      </c>
      <c r="U218" s="9">
        <v>4650</v>
      </c>
      <c r="V218" s="9">
        <v>582.17999999999995</v>
      </c>
      <c r="W218" s="10">
        <v>0.111269107714184</v>
      </c>
    </row>
    <row r="219" spans="1:23" x14ac:dyDescent="0.3">
      <c r="A219" s="7" t="s">
        <v>866</v>
      </c>
      <c r="B219" s="7" t="s">
        <v>867</v>
      </c>
      <c r="C219" s="7" t="s">
        <v>868</v>
      </c>
      <c r="D219" s="7" t="s">
        <v>869</v>
      </c>
      <c r="E219" s="7" t="s">
        <v>81</v>
      </c>
      <c r="F219" s="8">
        <v>45554</v>
      </c>
      <c r="G219" s="8">
        <v>45554</v>
      </c>
      <c r="H219" s="8">
        <v>45556</v>
      </c>
      <c r="I219" s="7" t="s">
        <v>72</v>
      </c>
      <c r="J219" s="7" t="s">
        <v>2</v>
      </c>
      <c r="K219" s="7" t="s">
        <v>19</v>
      </c>
      <c r="L219" s="7" t="s">
        <v>25</v>
      </c>
      <c r="M219" s="7" t="s">
        <v>59</v>
      </c>
      <c r="N219" s="7" t="s">
        <v>27</v>
      </c>
      <c r="O219" s="7" t="s">
        <v>60</v>
      </c>
      <c r="P219" s="7">
        <v>7</v>
      </c>
      <c r="Q219" s="9">
        <v>1230</v>
      </c>
      <c r="R219" s="9">
        <v>1328.4</v>
      </c>
      <c r="S219" s="10">
        <v>7.0000000000000007E-2</v>
      </c>
      <c r="T219" s="9">
        <v>8647.884</v>
      </c>
      <c r="U219" s="9">
        <v>8610</v>
      </c>
      <c r="V219" s="9">
        <v>37.884</v>
      </c>
      <c r="W219" s="10">
        <v>4.3807248108323404E-3</v>
      </c>
    </row>
    <row r="220" spans="1:23" x14ac:dyDescent="0.3">
      <c r="A220" s="7" t="s">
        <v>870</v>
      </c>
      <c r="B220" s="7" t="s">
        <v>820</v>
      </c>
      <c r="C220" s="7" t="s">
        <v>871</v>
      </c>
      <c r="D220" s="7" t="s">
        <v>872</v>
      </c>
      <c r="E220" s="7" t="s">
        <v>164</v>
      </c>
      <c r="F220" s="8">
        <v>45851</v>
      </c>
      <c r="G220" s="8">
        <v>45852</v>
      </c>
      <c r="H220" s="8">
        <v>45853</v>
      </c>
      <c r="I220" s="7" t="s">
        <v>72</v>
      </c>
      <c r="J220" s="7" t="s">
        <v>2</v>
      </c>
      <c r="K220" s="7" t="s">
        <v>19</v>
      </c>
      <c r="L220" s="7" t="s">
        <v>22</v>
      </c>
      <c r="M220" s="7" t="s">
        <v>43</v>
      </c>
      <c r="N220" s="7" t="s">
        <v>27</v>
      </c>
      <c r="O220" s="7" t="s">
        <v>31</v>
      </c>
      <c r="P220" s="7">
        <v>10</v>
      </c>
      <c r="Q220" s="9">
        <v>1630</v>
      </c>
      <c r="R220" s="9">
        <v>1744.1</v>
      </c>
      <c r="S220" s="10">
        <v>0.08</v>
      </c>
      <c r="T220" s="9">
        <v>16045.72</v>
      </c>
      <c r="U220" s="9">
        <v>16300</v>
      </c>
      <c r="V220" s="9">
        <v>-254.28</v>
      </c>
      <c r="W220" s="10">
        <v>-1.5847216578626599E-2</v>
      </c>
    </row>
    <row r="221" spans="1:23" x14ac:dyDescent="0.3">
      <c r="A221" s="7" t="s">
        <v>873</v>
      </c>
      <c r="B221" s="7" t="s">
        <v>435</v>
      </c>
      <c r="C221" s="7" t="s">
        <v>874</v>
      </c>
      <c r="D221" s="7" t="s">
        <v>875</v>
      </c>
      <c r="E221" s="7" t="s">
        <v>208</v>
      </c>
      <c r="F221" s="8">
        <v>45783</v>
      </c>
      <c r="G221" s="8">
        <v>45784</v>
      </c>
      <c r="H221" s="8">
        <v>45785</v>
      </c>
      <c r="I221" s="7" t="s">
        <v>72</v>
      </c>
      <c r="J221" s="7" t="s">
        <v>2363</v>
      </c>
      <c r="K221" s="7" t="s">
        <v>20</v>
      </c>
      <c r="L221" s="7" t="s">
        <v>23</v>
      </c>
      <c r="M221" s="7" t="s">
        <v>50</v>
      </c>
      <c r="N221" s="7" t="s">
        <v>33</v>
      </c>
      <c r="O221" s="7" t="s">
        <v>36</v>
      </c>
      <c r="P221" s="7">
        <v>6</v>
      </c>
      <c r="Q221" s="9">
        <v>930</v>
      </c>
      <c r="R221" s="9">
        <v>1078.8</v>
      </c>
      <c r="S221" s="10">
        <v>0.09</v>
      </c>
      <c r="T221" s="9">
        <v>5890.2479999999996</v>
      </c>
      <c r="U221" s="9">
        <v>5580</v>
      </c>
      <c r="V221" s="9">
        <v>310.24799999999999</v>
      </c>
      <c r="W221" s="10">
        <v>5.2671466464569897E-2</v>
      </c>
    </row>
    <row r="222" spans="1:23" x14ac:dyDescent="0.3">
      <c r="A222" s="7" t="s">
        <v>876</v>
      </c>
      <c r="B222" s="7" t="s">
        <v>877</v>
      </c>
      <c r="C222" s="7" t="s">
        <v>878</v>
      </c>
      <c r="D222" s="7" t="s">
        <v>879</v>
      </c>
      <c r="E222" s="7" t="s">
        <v>95</v>
      </c>
      <c r="F222" s="8">
        <v>46019</v>
      </c>
      <c r="G222" s="8">
        <v>46019</v>
      </c>
      <c r="H222" s="8">
        <v>46022</v>
      </c>
      <c r="I222" s="7" t="s">
        <v>82</v>
      </c>
      <c r="J222" s="7" t="s">
        <v>2362</v>
      </c>
      <c r="K222" s="7" t="s">
        <v>20</v>
      </c>
      <c r="L222" s="7" t="s">
        <v>22</v>
      </c>
      <c r="M222" s="7" t="s">
        <v>49</v>
      </c>
      <c r="N222" s="7" t="s">
        <v>33</v>
      </c>
      <c r="O222" s="7" t="s">
        <v>34</v>
      </c>
      <c r="P222" s="7">
        <v>4</v>
      </c>
      <c r="Q222" s="9">
        <v>1080</v>
      </c>
      <c r="R222" s="9">
        <v>1112.4000000000001</v>
      </c>
      <c r="S222" s="10">
        <v>7.0000000000000007E-2</v>
      </c>
      <c r="T222" s="9">
        <v>4138.1279999999997</v>
      </c>
      <c r="U222" s="9">
        <v>4320</v>
      </c>
      <c r="V222" s="9">
        <v>-181.87200000000001</v>
      </c>
      <c r="W222" s="10">
        <v>-4.3950307965340898E-2</v>
      </c>
    </row>
    <row r="223" spans="1:23" x14ac:dyDescent="0.3">
      <c r="A223" s="7" t="s">
        <v>880</v>
      </c>
      <c r="B223" s="7" t="s">
        <v>709</v>
      </c>
      <c r="C223" s="7" t="s">
        <v>881</v>
      </c>
      <c r="D223" s="7" t="s">
        <v>882</v>
      </c>
      <c r="E223" s="7" t="s">
        <v>187</v>
      </c>
      <c r="F223" s="8">
        <v>46180</v>
      </c>
      <c r="G223" s="8">
        <v>46181</v>
      </c>
      <c r="H223" s="8">
        <v>46184</v>
      </c>
      <c r="I223" s="7" t="s">
        <v>72</v>
      </c>
      <c r="J223" s="7" t="s">
        <v>2362</v>
      </c>
      <c r="K223" s="7" t="s">
        <v>19</v>
      </c>
      <c r="L223" s="7" t="s">
        <v>61</v>
      </c>
      <c r="M223" s="7" t="s">
        <v>2367</v>
      </c>
      <c r="N223" s="7" t="s">
        <v>38</v>
      </c>
      <c r="O223" s="7" t="s">
        <v>41</v>
      </c>
      <c r="P223" s="7">
        <v>8</v>
      </c>
      <c r="Q223" s="9">
        <v>170</v>
      </c>
      <c r="R223" s="9">
        <v>188.7</v>
      </c>
      <c r="S223" s="10">
        <v>0.06</v>
      </c>
      <c r="T223" s="9">
        <v>1419.0239999999999</v>
      </c>
      <c r="U223" s="9">
        <v>1360</v>
      </c>
      <c r="V223" s="9">
        <v>59.024000000000001</v>
      </c>
      <c r="W223" s="10">
        <v>4.1594786275637299E-2</v>
      </c>
    </row>
    <row r="224" spans="1:23" x14ac:dyDescent="0.3">
      <c r="A224" s="7" t="s">
        <v>883</v>
      </c>
      <c r="B224" s="7" t="s">
        <v>863</v>
      </c>
      <c r="C224" s="7" t="s">
        <v>884</v>
      </c>
      <c r="D224" s="7" t="s">
        <v>885</v>
      </c>
      <c r="E224" s="7" t="s">
        <v>100</v>
      </c>
      <c r="F224" s="8">
        <v>45882</v>
      </c>
      <c r="G224" s="8">
        <v>45883</v>
      </c>
      <c r="H224" s="8">
        <v>45886</v>
      </c>
      <c r="I224" s="7" t="s">
        <v>72</v>
      </c>
      <c r="J224" s="7" t="s">
        <v>2</v>
      </c>
      <c r="K224" s="7" t="s">
        <v>21</v>
      </c>
      <c r="L224" s="7" t="s">
        <v>25</v>
      </c>
      <c r="M224" s="7" t="s">
        <v>42</v>
      </c>
      <c r="N224" s="7" t="s">
        <v>27</v>
      </c>
      <c r="O224" s="7" t="s">
        <v>28</v>
      </c>
      <c r="P224" s="7">
        <v>10</v>
      </c>
      <c r="Q224" s="9">
        <v>3030</v>
      </c>
      <c r="R224" s="9">
        <v>3211.8</v>
      </c>
      <c r="S224" s="10">
        <v>0.09</v>
      </c>
      <c r="T224" s="9">
        <v>29227.38</v>
      </c>
      <c r="U224" s="9">
        <v>30300</v>
      </c>
      <c r="V224" s="9">
        <v>-1072.6199999999999</v>
      </c>
      <c r="W224" s="10">
        <v>-3.66991499066971E-2</v>
      </c>
    </row>
    <row r="225" spans="1:23" x14ac:dyDescent="0.3">
      <c r="A225" s="7" t="s">
        <v>886</v>
      </c>
      <c r="B225" s="7" t="s">
        <v>252</v>
      </c>
      <c r="C225" s="7" t="s">
        <v>887</v>
      </c>
      <c r="D225" s="7" t="s">
        <v>888</v>
      </c>
      <c r="E225" s="7" t="s">
        <v>192</v>
      </c>
      <c r="F225" s="8">
        <v>45547</v>
      </c>
      <c r="G225" s="8">
        <v>45548</v>
      </c>
      <c r="H225" s="8">
        <v>45552</v>
      </c>
      <c r="I225" s="7" t="s">
        <v>72</v>
      </c>
      <c r="J225" s="7" t="s">
        <v>2364</v>
      </c>
      <c r="K225" s="7" t="s">
        <v>20</v>
      </c>
      <c r="L225" s="7" t="s">
        <v>24</v>
      </c>
      <c r="M225" s="7" t="s">
        <v>46</v>
      </c>
      <c r="N225" s="7" t="s">
        <v>38</v>
      </c>
      <c r="O225" s="7" t="s">
        <v>45</v>
      </c>
      <c r="P225" s="7">
        <v>5</v>
      </c>
      <c r="Q225" s="9">
        <v>350</v>
      </c>
      <c r="R225" s="9">
        <v>364</v>
      </c>
      <c r="S225" s="10">
        <v>0.01</v>
      </c>
      <c r="T225" s="9">
        <v>1801.8</v>
      </c>
      <c r="U225" s="9">
        <v>1750</v>
      </c>
      <c r="V225" s="9">
        <v>51.8</v>
      </c>
      <c r="W225" s="10">
        <v>2.87490287490288E-2</v>
      </c>
    </row>
    <row r="226" spans="1:23" x14ac:dyDescent="0.3">
      <c r="A226" s="7" t="s">
        <v>889</v>
      </c>
      <c r="B226" s="7" t="s">
        <v>214</v>
      </c>
      <c r="C226" s="7" t="s">
        <v>890</v>
      </c>
      <c r="D226" s="7" t="s">
        <v>787</v>
      </c>
      <c r="E226" s="7" t="s">
        <v>173</v>
      </c>
      <c r="F226" s="8">
        <v>45413</v>
      </c>
      <c r="G226" s="8">
        <v>45414</v>
      </c>
      <c r="H226" s="8">
        <v>45415</v>
      </c>
      <c r="I226" s="7" t="s">
        <v>82</v>
      </c>
      <c r="J226" s="7" t="s">
        <v>2363</v>
      </c>
      <c r="K226" s="7" t="s">
        <v>20</v>
      </c>
      <c r="L226" s="7" t="s">
        <v>22</v>
      </c>
      <c r="M226" s="7" t="s">
        <v>48</v>
      </c>
      <c r="N226" s="7" t="s">
        <v>38</v>
      </c>
      <c r="O226" s="7" t="s">
        <v>41</v>
      </c>
      <c r="P226" s="7">
        <v>3</v>
      </c>
      <c r="Q226" s="9">
        <v>580</v>
      </c>
      <c r="R226" s="9">
        <v>667</v>
      </c>
      <c r="S226" s="10">
        <v>0.04</v>
      </c>
      <c r="T226" s="9">
        <v>1920.96</v>
      </c>
      <c r="U226" s="9">
        <v>1740</v>
      </c>
      <c r="V226" s="9">
        <v>180.96</v>
      </c>
      <c r="W226" s="10">
        <v>9.4202898550724598E-2</v>
      </c>
    </row>
    <row r="227" spans="1:23" x14ac:dyDescent="0.3">
      <c r="A227" s="7" t="s">
        <v>891</v>
      </c>
      <c r="B227" s="7" t="s">
        <v>542</v>
      </c>
      <c r="C227" s="7" t="s">
        <v>892</v>
      </c>
      <c r="D227" s="7" t="s">
        <v>893</v>
      </c>
      <c r="E227" s="7" t="s">
        <v>132</v>
      </c>
      <c r="F227" s="8">
        <v>45662</v>
      </c>
      <c r="G227" s="8">
        <v>45662</v>
      </c>
      <c r="H227" s="8">
        <v>45667</v>
      </c>
      <c r="I227" s="7" t="s">
        <v>72</v>
      </c>
      <c r="J227" s="7" t="s">
        <v>1</v>
      </c>
      <c r="K227" s="7" t="s">
        <v>19</v>
      </c>
      <c r="L227" s="7" t="s">
        <v>61</v>
      </c>
      <c r="M227" s="7" t="s">
        <v>2366</v>
      </c>
      <c r="N227" s="7" t="s">
        <v>27</v>
      </c>
      <c r="O227" s="7" t="s">
        <v>54</v>
      </c>
      <c r="P227" s="7">
        <v>8</v>
      </c>
      <c r="Q227" s="9">
        <v>430</v>
      </c>
      <c r="R227" s="9">
        <v>455.8</v>
      </c>
      <c r="S227" s="10">
        <v>0.1</v>
      </c>
      <c r="T227" s="9">
        <v>3281.76</v>
      </c>
      <c r="U227" s="9">
        <v>3440</v>
      </c>
      <c r="V227" s="9">
        <v>-158.24</v>
      </c>
      <c r="W227" s="10">
        <v>-4.8218029350104802E-2</v>
      </c>
    </row>
    <row r="228" spans="1:23" x14ac:dyDescent="0.3">
      <c r="A228" s="7" t="s">
        <v>894</v>
      </c>
      <c r="B228" s="7" t="s">
        <v>293</v>
      </c>
      <c r="C228" s="7" t="s">
        <v>895</v>
      </c>
      <c r="D228" s="7" t="s">
        <v>896</v>
      </c>
      <c r="E228" s="7" t="s">
        <v>208</v>
      </c>
      <c r="F228" s="8">
        <v>45710</v>
      </c>
      <c r="G228" s="8">
        <v>45711</v>
      </c>
      <c r="H228" s="8">
        <v>45715</v>
      </c>
      <c r="I228" s="7" t="s">
        <v>82</v>
      </c>
      <c r="J228" s="7" t="s">
        <v>2362</v>
      </c>
      <c r="K228" s="7" t="s">
        <v>19</v>
      </c>
      <c r="L228" s="7" t="s">
        <v>22</v>
      </c>
      <c r="M228" s="7" t="s">
        <v>50</v>
      </c>
      <c r="N228" s="7" t="s">
        <v>33</v>
      </c>
      <c r="O228" s="7" t="s">
        <v>36</v>
      </c>
      <c r="P228" s="7">
        <v>4</v>
      </c>
      <c r="Q228" s="9">
        <v>930</v>
      </c>
      <c r="R228" s="9">
        <v>1078.8</v>
      </c>
      <c r="S228" s="10">
        <v>0.06</v>
      </c>
      <c r="T228" s="9">
        <v>4056.288</v>
      </c>
      <c r="U228" s="9">
        <v>3720</v>
      </c>
      <c r="V228" s="9">
        <v>336.28800000000001</v>
      </c>
      <c r="W228" s="10">
        <v>8.2905355832721905E-2</v>
      </c>
    </row>
    <row r="229" spans="1:23" x14ac:dyDescent="0.3">
      <c r="A229" s="7" t="s">
        <v>897</v>
      </c>
      <c r="B229" s="7" t="s">
        <v>898</v>
      </c>
      <c r="C229" s="7" t="s">
        <v>899</v>
      </c>
      <c r="D229" s="7" t="s">
        <v>900</v>
      </c>
      <c r="E229" s="7" t="s">
        <v>95</v>
      </c>
      <c r="F229" s="8">
        <v>45644</v>
      </c>
      <c r="G229" s="8">
        <v>45644</v>
      </c>
      <c r="H229" s="8">
        <v>45649</v>
      </c>
      <c r="I229" s="7" t="s">
        <v>72</v>
      </c>
      <c r="J229" s="7" t="s">
        <v>2363</v>
      </c>
      <c r="K229" s="7" t="s">
        <v>20</v>
      </c>
      <c r="L229" s="7" t="s">
        <v>23</v>
      </c>
      <c r="M229" s="7" t="s">
        <v>49</v>
      </c>
      <c r="N229" s="7" t="s">
        <v>33</v>
      </c>
      <c r="O229" s="7" t="s">
        <v>34</v>
      </c>
      <c r="P229" s="7">
        <v>10</v>
      </c>
      <c r="Q229" s="9">
        <v>1080</v>
      </c>
      <c r="R229" s="9">
        <v>1112.4000000000001</v>
      </c>
      <c r="S229" s="10">
        <v>0.03</v>
      </c>
      <c r="T229" s="9">
        <v>10790.28</v>
      </c>
      <c r="U229" s="9">
        <v>10800</v>
      </c>
      <c r="V229" s="9">
        <v>-9.7200000000000006</v>
      </c>
      <c r="W229" s="10">
        <v>-9.0081072965669101E-4</v>
      </c>
    </row>
    <row r="230" spans="1:23" x14ac:dyDescent="0.3">
      <c r="A230" s="7" t="s">
        <v>901</v>
      </c>
      <c r="B230" s="7" t="s">
        <v>902</v>
      </c>
      <c r="C230" s="7" t="s">
        <v>903</v>
      </c>
      <c r="D230" s="7" t="s">
        <v>808</v>
      </c>
      <c r="E230" s="7" t="s">
        <v>178</v>
      </c>
      <c r="F230" s="8">
        <v>45771</v>
      </c>
      <c r="G230" s="8">
        <v>45771</v>
      </c>
      <c r="H230" s="8">
        <v>45776</v>
      </c>
      <c r="I230" s="7" t="s">
        <v>72</v>
      </c>
      <c r="J230" s="7" t="s">
        <v>2362</v>
      </c>
      <c r="K230" s="7" t="s">
        <v>19</v>
      </c>
      <c r="L230" s="7" t="s">
        <v>61</v>
      </c>
      <c r="M230" s="7" t="s">
        <v>47</v>
      </c>
      <c r="N230" s="7" t="s">
        <v>38</v>
      </c>
      <c r="O230" s="7" t="s">
        <v>39</v>
      </c>
      <c r="P230" s="7">
        <v>9</v>
      </c>
      <c r="Q230" s="9">
        <v>390</v>
      </c>
      <c r="R230" s="9">
        <v>468</v>
      </c>
      <c r="S230" s="10">
        <v>0.09</v>
      </c>
      <c r="T230" s="9">
        <v>3832.92</v>
      </c>
      <c r="U230" s="9">
        <v>3510</v>
      </c>
      <c r="V230" s="9">
        <v>322.92</v>
      </c>
      <c r="W230" s="10">
        <v>8.42490842490842E-2</v>
      </c>
    </row>
    <row r="231" spans="1:23" x14ac:dyDescent="0.3">
      <c r="A231" s="7" t="s">
        <v>904</v>
      </c>
      <c r="B231" s="7" t="s">
        <v>905</v>
      </c>
      <c r="C231" s="7" t="s">
        <v>906</v>
      </c>
      <c r="D231" s="7" t="s">
        <v>907</v>
      </c>
      <c r="E231" s="7" t="s">
        <v>81</v>
      </c>
      <c r="F231" s="8">
        <v>46157</v>
      </c>
      <c r="G231" s="8">
        <v>46157</v>
      </c>
      <c r="H231" s="8">
        <v>46161</v>
      </c>
      <c r="I231" s="7" t="s">
        <v>72</v>
      </c>
      <c r="J231" s="7" t="s">
        <v>2364</v>
      </c>
      <c r="K231" s="7" t="s">
        <v>21</v>
      </c>
      <c r="L231" s="7" t="s">
        <v>23</v>
      </c>
      <c r="M231" s="7" t="s">
        <v>59</v>
      </c>
      <c r="N231" s="7" t="s">
        <v>27</v>
      </c>
      <c r="O231" s="7" t="s">
        <v>60</v>
      </c>
      <c r="P231" s="7">
        <v>10</v>
      </c>
      <c r="Q231" s="9">
        <v>1230</v>
      </c>
      <c r="R231" s="9">
        <v>1328.4</v>
      </c>
      <c r="S231" s="10">
        <v>0.01</v>
      </c>
      <c r="T231" s="9">
        <v>13151.16</v>
      </c>
      <c r="U231" s="9">
        <v>12300</v>
      </c>
      <c r="V231" s="9">
        <v>851.16</v>
      </c>
      <c r="W231" s="10">
        <v>6.4721286943509204E-2</v>
      </c>
    </row>
    <row r="232" spans="1:23" x14ac:dyDescent="0.3">
      <c r="A232" s="7" t="s">
        <v>908</v>
      </c>
      <c r="B232" s="7" t="s">
        <v>377</v>
      </c>
      <c r="C232" s="7" t="s">
        <v>909</v>
      </c>
      <c r="D232" s="7" t="s">
        <v>145</v>
      </c>
      <c r="E232" s="7" t="s">
        <v>87</v>
      </c>
      <c r="F232" s="8">
        <v>45295</v>
      </c>
      <c r="G232" s="8">
        <v>45295</v>
      </c>
      <c r="H232" s="8">
        <v>45299</v>
      </c>
      <c r="I232" s="7" t="s">
        <v>72</v>
      </c>
      <c r="J232" s="7" t="s">
        <v>2363</v>
      </c>
      <c r="K232" s="7" t="s">
        <v>21</v>
      </c>
      <c r="L232" s="7" t="s">
        <v>24</v>
      </c>
      <c r="M232" s="7" t="s">
        <v>30</v>
      </c>
      <c r="N232" s="7" t="s">
        <v>27</v>
      </c>
      <c r="O232" s="7" t="s">
        <v>31</v>
      </c>
      <c r="P232" s="7">
        <v>8</v>
      </c>
      <c r="Q232" s="9">
        <v>1030</v>
      </c>
      <c r="R232" s="9">
        <v>1174.2</v>
      </c>
      <c r="S232" s="10">
        <v>0.06</v>
      </c>
      <c r="T232" s="9">
        <v>8829.9840000000004</v>
      </c>
      <c r="U232" s="9">
        <v>8240</v>
      </c>
      <c r="V232" s="9">
        <v>589.98400000000004</v>
      </c>
      <c r="W232" s="10">
        <v>6.6815976110489006E-2</v>
      </c>
    </row>
    <row r="233" spans="1:23" x14ac:dyDescent="0.3">
      <c r="A233" s="7" t="s">
        <v>910</v>
      </c>
      <c r="B233" s="7" t="s">
        <v>911</v>
      </c>
      <c r="C233" s="7" t="s">
        <v>912</v>
      </c>
      <c r="D233" s="7" t="s">
        <v>913</v>
      </c>
      <c r="E233" s="7" t="s">
        <v>322</v>
      </c>
      <c r="F233" s="8">
        <v>45869</v>
      </c>
      <c r="G233" s="8">
        <v>45869</v>
      </c>
      <c r="H233" s="8">
        <v>45874</v>
      </c>
      <c r="I233" s="7" t="s">
        <v>82</v>
      </c>
      <c r="J233" s="7" t="s">
        <v>2362</v>
      </c>
      <c r="K233" s="7" t="s">
        <v>20</v>
      </c>
      <c r="L233" s="7" t="s">
        <v>22</v>
      </c>
      <c r="M233" s="7" t="s">
        <v>26</v>
      </c>
      <c r="N233" s="7" t="s">
        <v>27</v>
      </c>
      <c r="O233" s="7" t="s">
        <v>28</v>
      </c>
      <c r="P233" s="7">
        <v>1</v>
      </c>
      <c r="Q233" s="9">
        <v>3330</v>
      </c>
      <c r="R233" s="9">
        <v>3629.7</v>
      </c>
      <c r="S233" s="10">
        <v>0</v>
      </c>
      <c r="T233" s="9">
        <v>3629.7</v>
      </c>
      <c r="U233" s="9">
        <v>3330</v>
      </c>
      <c r="V233" s="9">
        <v>299.7</v>
      </c>
      <c r="W233" s="10">
        <v>8.2568807339449601E-2</v>
      </c>
    </row>
    <row r="234" spans="1:23" x14ac:dyDescent="0.3">
      <c r="A234" s="7" t="s">
        <v>914</v>
      </c>
      <c r="B234" s="7" t="s">
        <v>915</v>
      </c>
      <c r="C234" s="7" t="s">
        <v>916</v>
      </c>
      <c r="D234" s="7" t="s">
        <v>917</v>
      </c>
      <c r="E234" s="7" t="s">
        <v>81</v>
      </c>
      <c r="F234" s="8">
        <v>45435</v>
      </c>
      <c r="G234" s="8">
        <v>45436</v>
      </c>
      <c r="H234" s="8">
        <v>45438</v>
      </c>
      <c r="I234" s="7" t="s">
        <v>72</v>
      </c>
      <c r="J234" s="7" t="s">
        <v>2363</v>
      </c>
      <c r="K234" s="7" t="s">
        <v>21</v>
      </c>
      <c r="L234" s="7" t="s">
        <v>25</v>
      </c>
      <c r="M234" s="7" t="s">
        <v>59</v>
      </c>
      <c r="N234" s="7" t="s">
        <v>27</v>
      </c>
      <c r="O234" s="7" t="s">
        <v>60</v>
      </c>
      <c r="P234" s="7">
        <v>9</v>
      </c>
      <c r="Q234" s="9">
        <v>1230</v>
      </c>
      <c r="R234" s="9">
        <v>1328.4</v>
      </c>
      <c r="S234" s="10">
        <v>0.09</v>
      </c>
      <c r="T234" s="9">
        <v>10879.596</v>
      </c>
      <c r="U234" s="9">
        <v>11070</v>
      </c>
      <c r="V234" s="9">
        <v>-190.404</v>
      </c>
      <c r="W234" s="10">
        <v>-1.7501017501017499E-2</v>
      </c>
    </row>
    <row r="235" spans="1:23" x14ac:dyDescent="0.3">
      <c r="A235" s="7" t="s">
        <v>918</v>
      </c>
      <c r="B235" s="7" t="s">
        <v>180</v>
      </c>
      <c r="C235" s="7" t="s">
        <v>919</v>
      </c>
      <c r="D235" s="7" t="s">
        <v>920</v>
      </c>
      <c r="E235" s="7" t="s">
        <v>187</v>
      </c>
      <c r="F235" s="8">
        <v>45691</v>
      </c>
      <c r="G235" s="8">
        <v>45691</v>
      </c>
      <c r="H235" s="8">
        <v>45695</v>
      </c>
      <c r="I235" s="7" t="s">
        <v>82</v>
      </c>
      <c r="J235" s="7" t="s">
        <v>1</v>
      </c>
      <c r="K235" s="7" t="s">
        <v>20</v>
      </c>
      <c r="L235" s="7" t="s">
        <v>61</v>
      </c>
      <c r="M235" s="7" t="s">
        <v>2367</v>
      </c>
      <c r="N235" s="7" t="s">
        <v>38</v>
      </c>
      <c r="O235" s="7" t="s">
        <v>41</v>
      </c>
      <c r="P235" s="7">
        <v>1</v>
      </c>
      <c r="Q235" s="9">
        <v>170</v>
      </c>
      <c r="R235" s="9">
        <v>188.7</v>
      </c>
      <c r="S235" s="10">
        <v>0.02</v>
      </c>
      <c r="T235" s="9">
        <v>184.92599999999999</v>
      </c>
      <c r="U235" s="9">
        <v>170</v>
      </c>
      <c r="V235" s="9">
        <v>14.926</v>
      </c>
      <c r="W235" s="10">
        <v>8.0713366427652103E-2</v>
      </c>
    </row>
    <row r="236" spans="1:23" x14ac:dyDescent="0.3">
      <c r="A236" s="7" t="s">
        <v>921</v>
      </c>
      <c r="B236" s="7" t="s">
        <v>508</v>
      </c>
      <c r="C236" s="7" t="s">
        <v>922</v>
      </c>
      <c r="D236" s="7" t="s">
        <v>923</v>
      </c>
      <c r="E236" s="7" t="s">
        <v>141</v>
      </c>
      <c r="F236" s="8">
        <v>45547</v>
      </c>
      <c r="G236" s="8">
        <v>45547</v>
      </c>
      <c r="H236" s="8">
        <v>45550</v>
      </c>
      <c r="I236" s="7" t="s">
        <v>82</v>
      </c>
      <c r="J236" s="7" t="s">
        <v>1</v>
      </c>
      <c r="K236" s="7" t="s">
        <v>20</v>
      </c>
      <c r="L236" s="7" t="s">
        <v>25</v>
      </c>
      <c r="M236" s="7" t="s">
        <v>35</v>
      </c>
      <c r="N236" s="7" t="s">
        <v>33</v>
      </c>
      <c r="O236" s="7" t="s">
        <v>36</v>
      </c>
      <c r="P236" s="7">
        <v>3</v>
      </c>
      <c r="Q236" s="9">
        <v>1530</v>
      </c>
      <c r="R236" s="9">
        <v>1790.1</v>
      </c>
      <c r="S236" s="10">
        <v>0.09</v>
      </c>
      <c r="T236" s="9">
        <v>4886.973</v>
      </c>
      <c r="U236" s="9">
        <v>4590</v>
      </c>
      <c r="V236" s="9">
        <v>296.97300000000001</v>
      </c>
      <c r="W236" s="10">
        <v>6.07682915375223E-2</v>
      </c>
    </row>
    <row r="237" spans="1:23" x14ac:dyDescent="0.3">
      <c r="A237" s="7" t="s">
        <v>924</v>
      </c>
      <c r="B237" s="7" t="s">
        <v>925</v>
      </c>
      <c r="C237" s="7" t="s">
        <v>926</v>
      </c>
      <c r="D237" s="7" t="s">
        <v>927</v>
      </c>
      <c r="E237" s="7" t="s">
        <v>95</v>
      </c>
      <c r="F237" s="8">
        <v>45816</v>
      </c>
      <c r="G237" s="8">
        <v>45817</v>
      </c>
      <c r="H237" s="8">
        <v>45821</v>
      </c>
      <c r="I237" s="7" t="s">
        <v>82</v>
      </c>
      <c r="J237" s="7" t="s">
        <v>1</v>
      </c>
      <c r="K237" s="7" t="s">
        <v>20</v>
      </c>
      <c r="L237" s="7" t="s">
        <v>22</v>
      </c>
      <c r="M237" s="7" t="s">
        <v>49</v>
      </c>
      <c r="N237" s="7" t="s">
        <v>33</v>
      </c>
      <c r="O237" s="7" t="s">
        <v>34</v>
      </c>
      <c r="P237" s="7">
        <v>2</v>
      </c>
      <c r="Q237" s="9">
        <v>1080</v>
      </c>
      <c r="R237" s="9">
        <v>1112.4000000000001</v>
      </c>
      <c r="S237" s="10">
        <v>0.01</v>
      </c>
      <c r="T237" s="9">
        <v>2202.5520000000001</v>
      </c>
      <c r="U237" s="9">
        <v>2160</v>
      </c>
      <c r="V237" s="9">
        <v>42.552</v>
      </c>
      <c r="W237" s="10">
        <v>1.9319407668922199E-2</v>
      </c>
    </row>
    <row r="238" spans="1:23" x14ac:dyDescent="0.3">
      <c r="A238" s="7" t="s">
        <v>928</v>
      </c>
      <c r="B238" s="7" t="s">
        <v>929</v>
      </c>
      <c r="C238" s="7" t="s">
        <v>930</v>
      </c>
      <c r="D238" s="7" t="s">
        <v>931</v>
      </c>
      <c r="E238" s="7" t="s">
        <v>114</v>
      </c>
      <c r="F238" s="8">
        <v>45479</v>
      </c>
      <c r="G238" s="8">
        <v>45480</v>
      </c>
      <c r="H238" s="8">
        <v>45483</v>
      </c>
      <c r="I238" s="7" t="s">
        <v>72</v>
      </c>
      <c r="J238" s="7" t="s">
        <v>2364</v>
      </c>
      <c r="K238" s="7" t="s">
        <v>20</v>
      </c>
      <c r="L238" s="7" t="s">
        <v>61</v>
      </c>
      <c r="M238" s="7" t="s">
        <v>51</v>
      </c>
      <c r="N238" s="7" t="s">
        <v>33</v>
      </c>
      <c r="O238" s="7" t="s">
        <v>52</v>
      </c>
      <c r="P238" s="7">
        <v>7</v>
      </c>
      <c r="Q238" s="9">
        <v>280</v>
      </c>
      <c r="R238" s="9">
        <v>336</v>
      </c>
      <c r="S238" s="10">
        <v>0.08</v>
      </c>
      <c r="T238" s="9">
        <v>2163.84</v>
      </c>
      <c r="U238" s="9">
        <v>1960</v>
      </c>
      <c r="V238" s="9">
        <v>203.84</v>
      </c>
      <c r="W238" s="10">
        <v>9.4202898550724598E-2</v>
      </c>
    </row>
    <row r="239" spans="1:23" x14ac:dyDescent="0.3">
      <c r="A239" s="7" t="s">
        <v>932</v>
      </c>
      <c r="B239" s="7" t="s">
        <v>933</v>
      </c>
      <c r="C239" s="7" t="s">
        <v>934</v>
      </c>
      <c r="D239" s="7" t="s">
        <v>935</v>
      </c>
      <c r="E239" s="7" t="s">
        <v>164</v>
      </c>
      <c r="F239" s="8">
        <v>46149</v>
      </c>
      <c r="G239" s="8">
        <v>46150</v>
      </c>
      <c r="H239" s="8">
        <v>46154</v>
      </c>
      <c r="I239" s="7" t="s">
        <v>82</v>
      </c>
      <c r="J239" s="7" t="s">
        <v>2364</v>
      </c>
      <c r="K239" s="7" t="s">
        <v>19</v>
      </c>
      <c r="L239" s="7" t="s">
        <v>22</v>
      </c>
      <c r="M239" s="7" t="s">
        <v>43</v>
      </c>
      <c r="N239" s="7" t="s">
        <v>27</v>
      </c>
      <c r="O239" s="7" t="s">
        <v>31</v>
      </c>
      <c r="P239" s="7">
        <v>4</v>
      </c>
      <c r="Q239" s="9">
        <v>1630</v>
      </c>
      <c r="R239" s="9">
        <v>1744.1</v>
      </c>
      <c r="S239" s="10">
        <v>0.08</v>
      </c>
      <c r="T239" s="9">
        <v>6418.2879999999996</v>
      </c>
      <c r="U239" s="9">
        <v>6520</v>
      </c>
      <c r="V239" s="9">
        <v>-101.712</v>
      </c>
      <c r="W239" s="10">
        <v>-1.5847216578626599E-2</v>
      </c>
    </row>
    <row r="240" spans="1:23" x14ac:dyDescent="0.3">
      <c r="A240" s="7" t="s">
        <v>936</v>
      </c>
      <c r="B240" s="7" t="s">
        <v>166</v>
      </c>
      <c r="C240" s="7" t="s">
        <v>937</v>
      </c>
      <c r="D240" s="7" t="s">
        <v>938</v>
      </c>
      <c r="E240" s="7" t="s">
        <v>141</v>
      </c>
      <c r="F240" s="8">
        <v>46069</v>
      </c>
      <c r="G240" s="8">
        <v>46069</v>
      </c>
      <c r="H240" s="8">
        <v>46071</v>
      </c>
      <c r="I240" s="7" t="s">
        <v>72</v>
      </c>
      <c r="J240" s="7" t="s">
        <v>2362</v>
      </c>
      <c r="K240" s="7" t="s">
        <v>21</v>
      </c>
      <c r="L240" s="7" t="s">
        <v>23</v>
      </c>
      <c r="M240" s="7" t="s">
        <v>35</v>
      </c>
      <c r="N240" s="7" t="s">
        <v>33</v>
      </c>
      <c r="O240" s="7" t="s">
        <v>36</v>
      </c>
      <c r="P240" s="7">
        <v>11</v>
      </c>
      <c r="Q240" s="9">
        <v>1530</v>
      </c>
      <c r="R240" s="9">
        <v>1790.1</v>
      </c>
      <c r="S240" s="10">
        <v>7.0000000000000007E-2</v>
      </c>
      <c r="T240" s="9">
        <v>18312.723000000002</v>
      </c>
      <c r="U240" s="9">
        <v>16830</v>
      </c>
      <c r="V240" s="9">
        <v>1482.723</v>
      </c>
      <c r="W240" s="10">
        <v>8.0966822902306806E-2</v>
      </c>
    </row>
    <row r="241" spans="1:23" x14ac:dyDescent="0.3">
      <c r="A241" s="7" t="s">
        <v>939</v>
      </c>
      <c r="B241" s="7" t="s">
        <v>230</v>
      </c>
      <c r="C241" s="7" t="s">
        <v>940</v>
      </c>
      <c r="D241" s="7" t="s">
        <v>941</v>
      </c>
      <c r="E241" s="7" t="s">
        <v>192</v>
      </c>
      <c r="F241" s="8">
        <v>45846</v>
      </c>
      <c r="G241" s="8">
        <v>45846</v>
      </c>
      <c r="H241" s="8">
        <v>45849</v>
      </c>
      <c r="I241" s="7" t="s">
        <v>82</v>
      </c>
      <c r="J241" s="7" t="s">
        <v>2364</v>
      </c>
      <c r="K241" s="7" t="s">
        <v>19</v>
      </c>
      <c r="L241" s="7" t="s">
        <v>23</v>
      </c>
      <c r="M241" s="7" t="s">
        <v>46</v>
      </c>
      <c r="N241" s="7" t="s">
        <v>38</v>
      </c>
      <c r="O241" s="7" t="s">
        <v>45</v>
      </c>
      <c r="P241" s="7">
        <v>4</v>
      </c>
      <c r="Q241" s="9">
        <v>350</v>
      </c>
      <c r="R241" s="9">
        <v>364</v>
      </c>
      <c r="S241" s="10">
        <v>0.1</v>
      </c>
      <c r="T241" s="9">
        <v>1310.4000000000001</v>
      </c>
      <c r="U241" s="9">
        <v>1400</v>
      </c>
      <c r="V241" s="9">
        <v>-89.6</v>
      </c>
      <c r="W241" s="10">
        <v>-6.8376068376068397E-2</v>
      </c>
    </row>
    <row r="242" spans="1:23" x14ac:dyDescent="0.3">
      <c r="A242" s="7" t="s">
        <v>942</v>
      </c>
      <c r="B242" s="7" t="s">
        <v>943</v>
      </c>
      <c r="C242" s="7" t="s">
        <v>944</v>
      </c>
      <c r="D242" s="7" t="s">
        <v>945</v>
      </c>
      <c r="E242" s="7" t="s">
        <v>178</v>
      </c>
      <c r="F242" s="8">
        <v>46053</v>
      </c>
      <c r="G242" s="8">
        <v>46053</v>
      </c>
      <c r="H242" s="8">
        <v>46055</v>
      </c>
      <c r="I242" s="7" t="s">
        <v>72</v>
      </c>
      <c r="J242" s="7" t="s">
        <v>2</v>
      </c>
      <c r="K242" s="7" t="s">
        <v>21</v>
      </c>
      <c r="L242" s="7" t="s">
        <v>23</v>
      </c>
      <c r="M242" s="7" t="s">
        <v>47</v>
      </c>
      <c r="N242" s="7" t="s">
        <v>38</v>
      </c>
      <c r="O242" s="7" t="s">
        <v>39</v>
      </c>
      <c r="P242" s="7">
        <v>15</v>
      </c>
      <c r="Q242" s="9">
        <v>390</v>
      </c>
      <c r="R242" s="9">
        <v>468</v>
      </c>
      <c r="S242" s="10">
        <v>0.08</v>
      </c>
      <c r="T242" s="9">
        <v>6458.4</v>
      </c>
      <c r="U242" s="9">
        <v>5850</v>
      </c>
      <c r="V242" s="9">
        <v>608.4</v>
      </c>
      <c r="W242" s="10">
        <v>9.4202898550724598E-2</v>
      </c>
    </row>
    <row r="243" spans="1:23" x14ac:dyDescent="0.3">
      <c r="A243" s="7" t="s">
        <v>946</v>
      </c>
      <c r="B243" s="7" t="s">
        <v>385</v>
      </c>
      <c r="C243" s="7" t="s">
        <v>947</v>
      </c>
      <c r="D243" s="7" t="s">
        <v>948</v>
      </c>
      <c r="E243" s="7" t="s">
        <v>81</v>
      </c>
      <c r="F243" s="8">
        <v>46157</v>
      </c>
      <c r="G243" s="8">
        <v>46157</v>
      </c>
      <c r="H243" s="8">
        <v>46159</v>
      </c>
      <c r="I243" s="7" t="s">
        <v>72</v>
      </c>
      <c r="J243" s="7" t="s">
        <v>2</v>
      </c>
      <c r="K243" s="7" t="s">
        <v>21</v>
      </c>
      <c r="L243" s="7" t="s">
        <v>61</v>
      </c>
      <c r="M243" s="7" t="s">
        <v>59</v>
      </c>
      <c r="N243" s="7" t="s">
        <v>27</v>
      </c>
      <c r="O243" s="7" t="s">
        <v>60</v>
      </c>
      <c r="P243" s="7">
        <v>8</v>
      </c>
      <c r="Q243" s="9">
        <v>1230</v>
      </c>
      <c r="R243" s="9">
        <v>1328.4</v>
      </c>
      <c r="S243" s="10">
        <v>0.04</v>
      </c>
      <c r="T243" s="9">
        <v>10202.111999999999</v>
      </c>
      <c r="U243" s="9">
        <v>9840</v>
      </c>
      <c r="V243" s="9">
        <v>362.11200000000002</v>
      </c>
      <c r="W243" s="10">
        <v>3.5493827160493797E-2</v>
      </c>
    </row>
    <row r="244" spans="1:23" x14ac:dyDescent="0.3">
      <c r="A244" s="7" t="s">
        <v>949</v>
      </c>
      <c r="B244" s="7" t="s">
        <v>589</v>
      </c>
      <c r="C244" s="7" t="s">
        <v>950</v>
      </c>
      <c r="D244" s="7" t="s">
        <v>951</v>
      </c>
      <c r="E244" s="7" t="s">
        <v>109</v>
      </c>
      <c r="F244" s="8">
        <v>45691</v>
      </c>
      <c r="G244" s="8">
        <v>45692</v>
      </c>
      <c r="H244" s="8">
        <v>45694</v>
      </c>
      <c r="I244" s="7" t="s">
        <v>72</v>
      </c>
      <c r="J244" s="7" t="s">
        <v>1</v>
      </c>
      <c r="K244" s="7" t="s">
        <v>19</v>
      </c>
      <c r="L244" s="7" t="s">
        <v>24</v>
      </c>
      <c r="M244" s="7" t="s">
        <v>2365</v>
      </c>
      <c r="N244" s="7" t="s">
        <v>27</v>
      </c>
      <c r="O244" s="7" t="s">
        <v>56</v>
      </c>
      <c r="P244" s="7">
        <v>10</v>
      </c>
      <c r="Q244" s="9">
        <v>650</v>
      </c>
      <c r="R244" s="9">
        <v>663</v>
      </c>
      <c r="S244" s="10">
        <v>0.05</v>
      </c>
      <c r="T244" s="9">
        <v>6298.5</v>
      </c>
      <c r="U244" s="9">
        <v>6500</v>
      </c>
      <c r="V244" s="9">
        <v>-201.5</v>
      </c>
      <c r="W244" s="10">
        <v>-3.1991744066047503E-2</v>
      </c>
    </row>
    <row r="245" spans="1:23" x14ac:dyDescent="0.3">
      <c r="A245" s="7" t="s">
        <v>952</v>
      </c>
      <c r="B245" s="7" t="s">
        <v>743</v>
      </c>
      <c r="C245" s="7" t="s">
        <v>953</v>
      </c>
      <c r="D245" s="7" t="s">
        <v>954</v>
      </c>
      <c r="E245" s="7" t="s">
        <v>119</v>
      </c>
      <c r="F245" s="8">
        <v>45820</v>
      </c>
      <c r="G245" s="8">
        <v>45820</v>
      </c>
      <c r="H245" s="8">
        <v>45823</v>
      </c>
      <c r="I245" s="7" t="s">
        <v>82</v>
      </c>
      <c r="J245" s="7" t="s">
        <v>2</v>
      </c>
      <c r="K245" s="7" t="s">
        <v>19</v>
      </c>
      <c r="L245" s="7" t="s">
        <v>24</v>
      </c>
      <c r="M245" s="7" t="s">
        <v>37</v>
      </c>
      <c r="N245" s="7" t="s">
        <v>38</v>
      </c>
      <c r="O245" s="7" t="s">
        <v>39</v>
      </c>
      <c r="P245" s="7">
        <v>2</v>
      </c>
      <c r="Q245" s="9">
        <v>250</v>
      </c>
      <c r="R245" s="9">
        <v>270</v>
      </c>
      <c r="S245" s="10">
        <v>0.04</v>
      </c>
      <c r="T245" s="9">
        <v>518.4</v>
      </c>
      <c r="U245" s="9">
        <v>500</v>
      </c>
      <c r="V245" s="9">
        <v>18.399999999999999</v>
      </c>
      <c r="W245" s="10">
        <v>3.5493827160493797E-2</v>
      </c>
    </row>
    <row r="246" spans="1:23" x14ac:dyDescent="0.3">
      <c r="A246" s="7" t="s">
        <v>955</v>
      </c>
      <c r="B246" s="7" t="s">
        <v>877</v>
      </c>
      <c r="C246" s="7" t="s">
        <v>956</v>
      </c>
      <c r="D246" s="7" t="s">
        <v>957</v>
      </c>
      <c r="E246" s="7" t="s">
        <v>192</v>
      </c>
      <c r="F246" s="8">
        <v>45526</v>
      </c>
      <c r="G246" s="8">
        <v>45527</v>
      </c>
      <c r="H246" s="8">
        <v>45531</v>
      </c>
      <c r="I246" s="7" t="s">
        <v>72</v>
      </c>
      <c r="J246" s="7" t="s">
        <v>2</v>
      </c>
      <c r="K246" s="7" t="s">
        <v>21</v>
      </c>
      <c r="L246" s="7" t="s">
        <v>25</v>
      </c>
      <c r="M246" s="7" t="s">
        <v>46</v>
      </c>
      <c r="N246" s="7" t="s">
        <v>38</v>
      </c>
      <c r="O246" s="7" t="s">
        <v>45</v>
      </c>
      <c r="P246" s="7">
        <v>8</v>
      </c>
      <c r="Q246" s="9">
        <v>350</v>
      </c>
      <c r="R246" s="9">
        <v>364</v>
      </c>
      <c r="S246" s="10">
        <v>0.1</v>
      </c>
      <c r="T246" s="9">
        <v>2620.8000000000002</v>
      </c>
      <c r="U246" s="9">
        <v>2800</v>
      </c>
      <c r="V246" s="9">
        <v>-179.2</v>
      </c>
      <c r="W246" s="10">
        <v>-6.8376068376068397E-2</v>
      </c>
    </row>
    <row r="247" spans="1:23" x14ac:dyDescent="0.3">
      <c r="A247" s="7" t="s">
        <v>958</v>
      </c>
      <c r="B247" s="7" t="s">
        <v>442</v>
      </c>
      <c r="C247" s="7" t="s">
        <v>959</v>
      </c>
      <c r="D247" s="7" t="s">
        <v>960</v>
      </c>
      <c r="E247" s="7" t="s">
        <v>81</v>
      </c>
      <c r="F247" s="8">
        <v>45925</v>
      </c>
      <c r="G247" s="8">
        <v>45925</v>
      </c>
      <c r="H247" s="8">
        <v>45930</v>
      </c>
      <c r="I247" s="7" t="s">
        <v>72</v>
      </c>
      <c r="J247" s="7" t="s">
        <v>1</v>
      </c>
      <c r="K247" s="7" t="s">
        <v>21</v>
      </c>
      <c r="L247" s="7" t="s">
        <v>23</v>
      </c>
      <c r="M247" s="7" t="s">
        <v>59</v>
      </c>
      <c r="N247" s="7" t="s">
        <v>27</v>
      </c>
      <c r="O247" s="7" t="s">
        <v>60</v>
      </c>
      <c r="P247" s="7">
        <v>6</v>
      </c>
      <c r="Q247" s="9">
        <v>1230</v>
      </c>
      <c r="R247" s="9">
        <v>1328.4</v>
      </c>
      <c r="S247" s="10">
        <v>0.01</v>
      </c>
      <c r="T247" s="9">
        <v>7890.6959999999999</v>
      </c>
      <c r="U247" s="9">
        <v>7380</v>
      </c>
      <c r="V247" s="9">
        <v>510.69600000000003</v>
      </c>
      <c r="W247" s="10">
        <v>6.4721286943509204E-2</v>
      </c>
    </row>
    <row r="248" spans="1:23" x14ac:dyDescent="0.3">
      <c r="A248" s="7" t="s">
        <v>961</v>
      </c>
      <c r="B248" s="7" t="s">
        <v>943</v>
      </c>
      <c r="C248" s="7" t="s">
        <v>962</v>
      </c>
      <c r="D248" s="7" t="s">
        <v>963</v>
      </c>
      <c r="E248" s="7" t="s">
        <v>178</v>
      </c>
      <c r="F248" s="8">
        <v>45734</v>
      </c>
      <c r="G248" s="8">
        <v>45734</v>
      </c>
      <c r="H248" s="8">
        <v>45739</v>
      </c>
      <c r="I248" s="7" t="s">
        <v>72</v>
      </c>
      <c r="J248" s="7" t="s">
        <v>2</v>
      </c>
      <c r="K248" s="7" t="s">
        <v>20</v>
      </c>
      <c r="L248" s="7" t="s">
        <v>25</v>
      </c>
      <c r="M248" s="7" t="s">
        <v>47</v>
      </c>
      <c r="N248" s="7" t="s">
        <v>38</v>
      </c>
      <c r="O248" s="7" t="s">
        <v>39</v>
      </c>
      <c r="P248" s="7">
        <v>9</v>
      </c>
      <c r="Q248" s="9">
        <v>390</v>
      </c>
      <c r="R248" s="9">
        <v>468</v>
      </c>
      <c r="S248" s="10">
        <v>0.06</v>
      </c>
      <c r="T248" s="9">
        <v>3959.28</v>
      </c>
      <c r="U248" s="9">
        <v>3510</v>
      </c>
      <c r="V248" s="9">
        <v>449.28</v>
      </c>
      <c r="W248" s="10">
        <v>0.11347517730496499</v>
      </c>
    </row>
    <row r="249" spans="1:23" x14ac:dyDescent="0.3">
      <c r="A249" s="7" t="s">
        <v>964</v>
      </c>
      <c r="B249" s="7" t="s">
        <v>660</v>
      </c>
      <c r="C249" s="7" t="s">
        <v>965</v>
      </c>
      <c r="D249" s="7" t="s">
        <v>966</v>
      </c>
      <c r="E249" s="7" t="s">
        <v>114</v>
      </c>
      <c r="F249" s="8">
        <v>45494</v>
      </c>
      <c r="G249" s="8">
        <v>45495</v>
      </c>
      <c r="H249" s="8">
        <v>45496</v>
      </c>
      <c r="I249" s="7" t="s">
        <v>72</v>
      </c>
      <c r="J249" s="7" t="s">
        <v>2364</v>
      </c>
      <c r="K249" s="7" t="s">
        <v>21</v>
      </c>
      <c r="L249" s="7" t="s">
        <v>22</v>
      </c>
      <c r="M249" s="7" t="s">
        <v>51</v>
      </c>
      <c r="N249" s="7" t="s">
        <v>33</v>
      </c>
      <c r="O249" s="7" t="s">
        <v>52</v>
      </c>
      <c r="P249" s="7">
        <v>9</v>
      </c>
      <c r="Q249" s="9">
        <v>280</v>
      </c>
      <c r="R249" s="9">
        <v>336</v>
      </c>
      <c r="S249" s="10">
        <v>0.02</v>
      </c>
      <c r="T249" s="9">
        <v>2963.52</v>
      </c>
      <c r="U249" s="9">
        <v>2520</v>
      </c>
      <c r="V249" s="9">
        <v>443.52</v>
      </c>
      <c r="W249" s="10">
        <v>0.14965986394557801</v>
      </c>
    </row>
    <row r="250" spans="1:23" x14ac:dyDescent="0.3">
      <c r="A250" s="7" t="s">
        <v>967</v>
      </c>
      <c r="B250" s="7" t="s">
        <v>84</v>
      </c>
      <c r="C250" s="7" t="s">
        <v>968</v>
      </c>
      <c r="D250" s="7" t="s">
        <v>969</v>
      </c>
      <c r="E250" s="7" t="s">
        <v>119</v>
      </c>
      <c r="F250" s="8">
        <v>45420</v>
      </c>
      <c r="G250" s="8">
        <v>45421</v>
      </c>
      <c r="H250" s="8">
        <v>45423</v>
      </c>
      <c r="I250" s="7" t="s">
        <v>82</v>
      </c>
      <c r="J250" s="7" t="s">
        <v>1</v>
      </c>
      <c r="K250" s="7" t="s">
        <v>20</v>
      </c>
      <c r="L250" s="7" t="s">
        <v>24</v>
      </c>
      <c r="M250" s="7" t="s">
        <v>37</v>
      </c>
      <c r="N250" s="7" t="s">
        <v>38</v>
      </c>
      <c r="O250" s="7" t="s">
        <v>39</v>
      </c>
      <c r="P250" s="7">
        <v>3</v>
      </c>
      <c r="Q250" s="9">
        <v>250</v>
      </c>
      <c r="R250" s="9">
        <v>270</v>
      </c>
      <c r="S250" s="10">
        <v>0.1</v>
      </c>
      <c r="T250" s="9">
        <v>729</v>
      </c>
      <c r="U250" s="9">
        <v>750</v>
      </c>
      <c r="V250" s="9">
        <v>-21</v>
      </c>
      <c r="W250" s="10">
        <v>-2.8806584362139901E-2</v>
      </c>
    </row>
    <row r="251" spans="1:23" x14ac:dyDescent="0.3">
      <c r="A251" s="7" t="s">
        <v>970</v>
      </c>
      <c r="B251" s="7" t="s">
        <v>971</v>
      </c>
      <c r="C251" s="7" t="s">
        <v>972</v>
      </c>
      <c r="D251" s="7" t="s">
        <v>973</v>
      </c>
      <c r="E251" s="7" t="s">
        <v>87</v>
      </c>
      <c r="F251" s="8">
        <v>46128</v>
      </c>
      <c r="G251" s="8">
        <v>46129</v>
      </c>
      <c r="H251" s="8">
        <v>46131</v>
      </c>
      <c r="I251" s="7" t="s">
        <v>72</v>
      </c>
      <c r="J251" s="7" t="s">
        <v>2362</v>
      </c>
      <c r="K251" s="7" t="s">
        <v>19</v>
      </c>
      <c r="L251" s="7" t="s">
        <v>22</v>
      </c>
      <c r="M251" s="7" t="s">
        <v>30</v>
      </c>
      <c r="N251" s="7" t="s">
        <v>27</v>
      </c>
      <c r="O251" s="7" t="s">
        <v>31</v>
      </c>
      <c r="P251" s="7">
        <v>8</v>
      </c>
      <c r="Q251" s="9">
        <v>1030</v>
      </c>
      <c r="R251" s="9">
        <v>1174.2</v>
      </c>
      <c r="S251" s="10">
        <v>0.04</v>
      </c>
      <c r="T251" s="9">
        <v>9017.8559999999998</v>
      </c>
      <c r="U251" s="9">
        <v>8240</v>
      </c>
      <c r="V251" s="9">
        <v>777.85599999999999</v>
      </c>
      <c r="W251" s="10">
        <v>8.6257309941520505E-2</v>
      </c>
    </row>
    <row r="252" spans="1:23" x14ac:dyDescent="0.3">
      <c r="A252" s="7" t="s">
        <v>974</v>
      </c>
      <c r="B252" s="7" t="s">
        <v>975</v>
      </c>
      <c r="C252" s="7" t="s">
        <v>976</v>
      </c>
      <c r="D252" s="7" t="s">
        <v>977</v>
      </c>
      <c r="E252" s="7" t="s">
        <v>187</v>
      </c>
      <c r="F252" s="8">
        <v>45986</v>
      </c>
      <c r="G252" s="8">
        <v>45986</v>
      </c>
      <c r="H252" s="8">
        <v>45990</v>
      </c>
      <c r="I252" s="7" t="s">
        <v>72</v>
      </c>
      <c r="J252" s="7" t="s">
        <v>2364</v>
      </c>
      <c r="K252" s="7" t="s">
        <v>21</v>
      </c>
      <c r="L252" s="7" t="s">
        <v>61</v>
      </c>
      <c r="M252" s="7" t="s">
        <v>2367</v>
      </c>
      <c r="N252" s="7" t="s">
        <v>38</v>
      </c>
      <c r="O252" s="7" t="s">
        <v>41</v>
      </c>
      <c r="P252" s="7">
        <v>12</v>
      </c>
      <c r="Q252" s="9">
        <v>170</v>
      </c>
      <c r="R252" s="9">
        <v>188.7</v>
      </c>
      <c r="S252" s="10">
        <v>0.04</v>
      </c>
      <c r="T252" s="9">
        <v>2173.8240000000001</v>
      </c>
      <c r="U252" s="9">
        <v>2040</v>
      </c>
      <c r="V252" s="9">
        <v>133.82400000000001</v>
      </c>
      <c r="W252" s="10">
        <v>6.1561561561561597E-2</v>
      </c>
    </row>
    <row r="253" spans="1:23" x14ac:dyDescent="0.3">
      <c r="A253" s="7" t="s">
        <v>978</v>
      </c>
      <c r="B253" s="7" t="s">
        <v>979</v>
      </c>
      <c r="C253" s="7" t="s">
        <v>980</v>
      </c>
      <c r="D253" s="7" t="s">
        <v>981</v>
      </c>
      <c r="E253" s="7" t="s">
        <v>178</v>
      </c>
      <c r="F253" s="8">
        <v>45311</v>
      </c>
      <c r="G253" s="8">
        <v>45312</v>
      </c>
      <c r="H253" s="8">
        <v>45315</v>
      </c>
      <c r="I253" s="7" t="s">
        <v>72</v>
      </c>
      <c r="J253" s="7" t="s">
        <v>2363</v>
      </c>
      <c r="K253" s="7" t="s">
        <v>21</v>
      </c>
      <c r="L253" s="7" t="s">
        <v>61</v>
      </c>
      <c r="M253" s="7" t="s">
        <v>47</v>
      </c>
      <c r="N253" s="7" t="s">
        <v>38</v>
      </c>
      <c r="O253" s="7" t="s">
        <v>39</v>
      </c>
      <c r="P253" s="7">
        <v>7</v>
      </c>
      <c r="Q253" s="9">
        <v>390</v>
      </c>
      <c r="R253" s="9">
        <v>468</v>
      </c>
      <c r="S253" s="10">
        <v>0.02</v>
      </c>
      <c r="T253" s="9">
        <v>3210.48</v>
      </c>
      <c r="U253" s="9">
        <v>2730</v>
      </c>
      <c r="V253" s="9">
        <v>480.48</v>
      </c>
      <c r="W253" s="10">
        <v>0.14965986394557801</v>
      </c>
    </row>
    <row r="254" spans="1:23" x14ac:dyDescent="0.3">
      <c r="A254" s="7" t="s">
        <v>982</v>
      </c>
      <c r="B254" s="7" t="s">
        <v>983</v>
      </c>
      <c r="C254" s="7" t="s">
        <v>984</v>
      </c>
      <c r="D254" s="7" t="s">
        <v>985</v>
      </c>
      <c r="E254" s="7" t="s">
        <v>291</v>
      </c>
      <c r="F254" s="8">
        <v>45388</v>
      </c>
      <c r="G254" s="8">
        <v>45389</v>
      </c>
      <c r="H254" s="8">
        <v>45393</v>
      </c>
      <c r="I254" s="7" t="s">
        <v>82</v>
      </c>
      <c r="J254" s="7" t="s">
        <v>2364</v>
      </c>
      <c r="K254" s="7" t="s">
        <v>19</v>
      </c>
      <c r="L254" s="7" t="s">
        <v>25</v>
      </c>
      <c r="M254" s="7" t="s">
        <v>57</v>
      </c>
      <c r="N254" s="7" t="s">
        <v>27</v>
      </c>
      <c r="O254" s="7" t="s">
        <v>58</v>
      </c>
      <c r="P254" s="7">
        <v>4</v>
      </c>
      <c r="Q254" s="9">
        <v>480</v>
      </c>
      <c r="R254" s="9">
        <v>513.6</v>
      </c>
      <c r="S254" s="10">
        <v>0.02</v>
      </c>
      <c r="T254" s="9">
        <v>2013.3119999999999</v>
      </c>
      <c r="U254" s="9">
        <v>1920</v>
      </c>
      <c r="V254" s="9">
        <v>93.311999999999998</v>
      </c>
      <c r="W254" s="10">
        <v>4.6347510967003597E-2</v>
      </c>
    </row>
    <row r="255" spans="1:23" x14ac:dyDescent="0.3">
      <c r="A255" s="7" t="s">
        <v>986</v>
      </c>
      <c r="B255" s="7" t="s">
        <v>210</v>
      </c>
      <c r="C255" s="7" t="s">
        <v>987</v>
      </c>
      <c r="D255" s="7" t="s">
        <v>108</v>
      </c>
      <c r="E255" s="7" t="s">
        <v>77</v>
      </c>
      <c r="F255" s="8">
        <v>46039</v>
      </c>
      <c r="G255" s="8">
        <v>46039</v>
      </c>
      <c r="H255" s="8">
        <v>46042</v>
      </c>
      <c r="I255" s="7" t="s">
        <v>72</v>
      </c>
      <c r="J255" s="7" t="s">
        <v>2364</v>
      </c>
      <c r="K255" s="7" t="s">
        <v>20</v>
      </c>
      <c r="L255" s="7" t="s">
        <v>61</v>
      </c>
      <c r="M255" s="7" t="s">
        <v>44</v>
      </c>
      <c r="N255" s="7" t="s">
        <v>38</v>
      </c>
      <c r="O255" s="7" t="s">
        <v>45</v>
      </c>
      <c r="P255" s="7">
        <v>5</v>
      </c>
      <c r="Q255" s="9">
        <v>210</v>
      </c>
      <c r="R255" s="9">
        <v>222.6</v>
      </c>
      <c r="S255" s="10">
        <v>0.02</v>
      </c>
      <c r="T255" s="9">
        <v>1090.74</v>
      </c>
      <c r="U255" s="9">
        <v>1050</v>
      </c>
      <c r="V255" s="9">
        <v>40.74</v>
      </c>
      <c r="W255" s="10">
        <v>3.73507893723527E-2</v>
      </c>
    </row>
    <row r="256" spans="1:23" x14ac:dyDescent="0.3">
      <c r="A256" s="7" t="s">
        <v>988</v>
      </c>
      <c r="B256" s="7" t="s">
        <v>983</v>
      </c>
      <c r="C256" s="7" t="s">
        <v>989</v>
      </c>
      <c r="D256" s="7" t="s">
        <v>990</v>
      </c>
      <c r="E256" s="7" t="s">
        <v>141</v>
      </c>
      <c r="F256" s="8">
        <v>45675</v>
      </c>
      <c r="G256" s="8">
        <v>45675</v>
      </c>
      <c r="H256" s="8">
        <v>45679</v>
      </c>
      <c r="I256" s="7" t="s">
        <v>72</v>
      </c>
      <c r="J256" s="7" t="s">
        <v>2363</v>
      </c>
      <c r="K256" s="7" t="s">
        <v>20</v>
      </c>
      <c r="L256" s="7" t="s">
        <v>22</v>
      </c>
      <c r="M256" s="7" t="s">
        <v>35</v>
      </c>
      <c r="N256" s="7" t="s">
        <v>33</v>
      </c>
      <c r="O256" s="7" t="s">
        <v>36</v>
      </c>
      <c r="P256" s="7">
        <v>7</v>
      </c>
      <c r="Q256" s="9">
        <v>1530</v>
      </c>
      <c r="R256" s="9">
        <v>1790.1</v>
      </c>
      <c r="S256" s="10">
        <v>0.08</v>
      </c>
      <c r="T256" s="9">
        <v>11528.244000000001</v>
      </c>
      <c r="U256" s="9">
        <v>10710</v>
      </c>
      <c r="V256" s="9">
        <v>818.24400000000003</v>
      </c>
      <c r="W256" s="10">
        <v>7.0977331846897099E-2</v>
      </c>
    </row>
    <row r="257" spans="1:23" x14ac:dyDescent="0.3">
      <c r="A257" s="7" t="s">
        <v>991</v>
      </c>
      <c r="B257" s="7" t="s">
        <v>226</v>
      </c>
      <c r="C257" s="7" t="s">
        <v>992</v>
      </c>
      <c r="D257" s="7" t="s">
        <v>993</v>
      </c>
      <c r="E257" s="7" t="s">
        <v>173</v>
      </c>
      <c r="F257" s="8">
        <v>45399</v>
      </c>
      <c r="G257" s="8">
        <v>45399</v>
      </c>
      <c r="H257" s="8">
        <v>45404</v>
      </c>
      <c r="I257" s="7" t="s">
        <v>82</v>
      </c>
      <c r="J257" s="7" t="s">
        <v>1</v>
      </c>
      <c r="K257" s="7" t="s">
        <v>19</v>
      </c>
      <c r="L257" s="7" t="s">
        <v>23</v>
      </c>
      <c r="M257" s="7" t="s">
        <v>48</v>
      </c>
      <c r="N257" s="7" t="s">
        <v>38</v>
      </c>
      <c r="O257" s="7" t="s">
        <v>41</v>
      </c>
      <c r="P257" s="7">
        <v>1</v>
      </c>
      <c r="Q257" s="9">
        <v>580</v>
      </c>
      <c r="R257" s="9">
        <v>667</v>
      </c>
      <c r="S257" s="10">
        <v>0.06</v>
      </c>
      <c r="T257" s="9">
        <v>626.98</v>
      </c>
      <c r="U257" s="9">
        <v>580</v>
      </c>
      <c r="V257" s="9">
        <v>46.98</v>
      </c>
      <c r="W257" s="10">
        <v>7.4930619796484702E-2</v>
      </c>
    </row>
    <row r="258" spans="1:23" x14ac:dyDescent="0.3">
      <c r="A258" s="7" t="s">
        <v>994</v>
      </c>
      <c r="B258" s="7" t="s">
        <v>995</v>
      </c>
      <c r="C258" s="7" t="s">
        <v>996</v>
      </c>
      <c r="D258" s="7" t="s">
        <v>997</v>
      </c>
      <c r="E258" s="7" t="s">
        <v>208</v>
      </c>
      <c r="F258" s="8">
        <v>45371</v>
      </c>
      <c r="G258" s="8">
        <v>45372</v>
      </c>
      <c r="H258" s="8">
        <v>45375</v>
      </c>
      <c r="I258" s="7" t="s">
        <v>72</v>
      </c>
      <c r="J258" s="7" t="s">
        <v>2</v>
      </c>
      <c r="K258" s="7" t="s">
        <v>21</v>
      </c>
      <c r="L258" s="7" t="s">
        <v>25</v>
      </c>
      <c r="M258" s="7" t="s">
        <v>50</v>
      </c>
      <c r="N258" s="7" t="s">
        <v>33</v>
      </c>
      <c r="O258" s="7" t="s">
        <v>36</v>
      </c>
      <c r="P258" s="7">
        <v>12</v>
      </c>
      <c r="Q258" s="9">
        <v>930</v>
      </c>
      <c r="R258" s="9">
        <v>1078.8</v>
      </c>
      <c r="S258" s="10">
        <v>7.0000000000000007E-2</v>
      </c>
      <c r="T258" s="9">
        <v>12039.407999999999</v>
      </c>
      <c r="U258" s="9">
        <v>11160</v>
      </c>
      <c r="V258" s="9">
        <v>879.40800000000002</v>
      </c>
      <c r="W258" s="10">
        <v>7.3044123099740399E-2</v>
      </c>
    </row>
    <row r="259" spans="1:23" x14ac:dyDescent="0.3">
      <c r="A259" s="7" t="s">
        <v>998</v>
      </c>
      <c r="B259" s="7" t="s">
        <v>311</v>
      </c>
      <c r="C259" s="7" t="s">
        <v>999</v>
      </c>
      <c r="D259" s="7" t="s">
        <v>1000</v>
      </c>
      <c r="E259" s="7" t="s">
        <v>114</v>
      </c>
      <c r="F259" s="8">
        <v>45688</v>
      </c>
      <c r="G259" s="8">
        <v>45689</v>
      </c>
      <c r="H259" s="8">
        <v>45693</v>
      </c>
      <c r="I259" s="7" t="s">
        <v>82</v>
      </c>
      <c r="J259" s="7" t="s">
        <v>2362</v>
      </c>
      <c r="K259" s="7" t="s">
        <v>19</v>
      </c>
      <c r="L259" s="7" t="s">
        <v>25</v>
      </c>
      <c r="M259" s="7" t="s">
        <v>51</v>
      </c>
      <c r="N259" s="7" t="s">
        <v>33</v>
      </c>
      <c r="O259" s="7" t="s">
        <v>52</v>
      </c>
      <c r="P259" s="7">
        <v>2</v>
      </c>
      <c r="Q259" s="9">
        <v>280</v>
      </c>
      <c r="R259" s="9">
        <v>336</v>
      </c>
      <c r="S259" s="10">
        <v>0.09</v>
      </c>
      <c r="T259" s="9">
        <v>611.52</v>
      </c>
      <c r="U259" s="9">
        <v>560</v>
      </c>
      <c r="V259" s="9">
        <v>51.52</v>
      </c>
      <c r="W259" s="10">
        <v>8.42490842490842E-2</v>
      </c>
    </row>
    <row r="260" spans="1:23" x14ac:dyDescent="0.3">
      <c r="A260" s="7" t="s">
        <v>1001</v>
      </c>
      <c r="B260" s="7" t="s">
        <v>1002</v>
      </c>
      <c r="C260" s="7" t="s">
        <v>1003</v>
      </c>
      <c r="D260" s="7" t="s">
        <v>1004</v>
      </c>
      <c r="E260" s="7" t="s">
        <v>71</v>
      </c>
      <c r="F260" s="8">
        <v>45978</v>
      </c>
      <c r="G260" s="8">
        <v>45978</v>
      </c>
      <c r="H260" s="8">
        <v>45980</v>
      </c>
      <c r="I260" s="7" t="s">
        <v>82</v>
      </c>
      <c r="J260" s="7" t="s">
        <v>2362</v>
      </c>
      <c r="K260" s="7" t="s">
        <v>19</v>
      </c>
      <c r="L260" s="7" t="s">
        <v>25</v>
      </c>
      <c r="M260" s="7" t="s">
        <v>32</v>
      </c>
      <c r="N260" s="7" t="s">
        <v>33</v>
      </c>
      <c r="O260" s="7" t="s">
        <v>34</v>
      </c>
      <c r="P260" s="7">
        <v>3</v>
      </c>
      <c r="Q260" s="9">
        <v>730</v>
      </c>
      <c r="R260" s="9">
        <v>824.9</v>
      </c>
      <c r="S260" s="10">
        <v>0</v>
      </c>
      <c r="T260" s="9">
        <v>2474.6999999999998</v>
      </c>
      <c r="U260" s="9">
        <v>2190</v>
      </c>
      <c r="V260" s="9">
        <v>284.7</v>
      </c>
      <c r="W260" s="10">
        <v>0.11504424778761101</v>
      </c>
    </row>
    <row r="261" spans="1:23" x14ac:dyDescent="0.3">
      <c r="A261" s="7" t="s">
        <v>1005</v>
      </c>
      <c r="B261" s="7" t="s">
        <v>1006</v>
      </c>
      <c r="C261" s="7" t="s">
        <v>1007</v>
      </c>
      <c r="D261" s="7" t="s">
        <v>257</v>
      </c>
      <c r="E261" s="7" t="s">
        <v>100</v>
      </c>
      <c r="F261" s="8">
        <v>45651</v>
      </c>
      <c r="G261" s="8">
        <v>45652</v>
      </c>
      <c r="H261" s="8">
        <v>45656</v>
      </c>
      <c r="I261" s="7" t="s">
        <v>82</v>
      </c>
      <c r="J261" s="7" t="s">
        <v>2364</v>
      </c>
      <c r="K261" s="7" t="s">
        <v>19</v>
      </c>
      <c r="L261" s="7" t="s">
        <v>24</v>
      </c>
      <c r="M261" s="7" t="s">
        <v>42</v>
      </c>
      <c r="N261" s="7" t="s">
        <v>27</v>
      </c>
      <c r="O261" s="7" t="s">
        <v>28</v>
      </c>
      <c r="P261" s="7">
        <v>2</v>
      </c>
      <c r="Q261" s="9">
        <v>3030</v>
      </c>
      <c r="R261" s="9">
        <v>3211.8</v>
      </c>
      <c r="S261" s="10">
        <v>0.04</v>
      </c>
      <c r="T261" s="9">
        <v>6166.6559999999999</v>
      </c>
      <c r="U261" s="9">
        <v>6060</v>
      </c>
      <c r="V261" s="9">
        <v>106.65600000000001</v>
      </c>
      <c r="W261" s="10">
        <v>1.7295597484276701E-2</v>
      </c>
    </row>
    <row r="262" spans="1:23" x14ac:dyDescent="0.3">
      <c r="A262" s="7" t="s">
        <v>1008</v>
      </c>
      <c r="B262" s="7" t="s">
        <v>1009</v>
      </c>
      <c r="C262" s="7" t="s">
        <v>1010</v>
      </c>
      <c r="D262" s="7" t="s">
        <v>1011</v>
      </c>
      <c r="E262" s="7" t="s">
        <v>81</v>
      </c>
      <c r="F262" s="8">
        <v>45734</v>
      </c>
      <c r="G262" s="8">
        <v>45734</v>
      </c>
      <c r="H262" s="8">
        <v>45737</v>
      </c>
      <c r="I262" s="7" t="s">
        <v>72</v>
      </c>
      <c r="J262" s="7" t="s">
        <v>1</v>
      </c>
      <c r="K262" s="7" t="s">
        <v>20</v>
      </c>
      <c r="L262" s="7" t="s">
        <v>25</v>
      </c>
      <c r="M262" s="7" t="s">
        <v>59</v>
      </c>
      <c r="N262" s="7" t="s">
        <v>27</v>
      </c>
      <c r="O262" s="7" t="s">
        <v>60</v>
      </c>
      <c r="P262" s="7">
        <v>7</v>
      </c>
      <c r="Q262" s="9">
        <v>1230</v>
      </c>
      <c r="R262" s="9">
        <v>1328.4</v>
      </c>
      <c r="S262" s="10">
        <v>0.01</v>
      </c>
      <c r="T262" s="9">
        <v>9205.8119999999999</v>
      </c>
      <c r="U262" s="9">
        <v>8610</v>
      </c>
      <c r="V262" s="9">
        <v>595.81200000000001</v>
      </c>
      <c r="W262" s="10">
        <v>6.4721286943509204E-2</v>
      </c>
    </row>
    <row r="263" spans="1:23" x14ac:dyDescent="0.3">
      <c r="A263" s="7" t="s">
        <v>1012</v>
      </c>
      <c r="B263" s="7" t="s">
        <v>377</v>
      </c>
      <c r="C263" s="7" t="s">
        <v>1013</v>
      </c>
      <c r="D263" s="7" t="s">
        <v>1014</v>
      </c>
      <c r="E263" s="7" t="s">
        <v>95</v>
      </c>
      <c r="F263" s="8">
        <v>45486</v>
      </c>
      <c r="G263" s="8">
        <v>45487</v>
      </c>
      <c r="H263" s="8">
        <v>45488</v>
      </c>
      <c r="I263" s="7" t="s">
        <v>72</v>
      </c>
      <c r="J263" s="7" t="s">
        <v>2</v>
      </c>
      <c r="K263" s="7" t="s">
        <v>20</v>
      </c>
      <c r="L263" s="7" t="s">
        <v>61</v>
      </c>
      <c r="M263" s="7" t="s">
        <v>49</v>
      </c>
      <c r="N263" s="7" t="s">
        <v>33</v>
      </c>
      <c r="O263" s="7" t="s">
        <v>34</v>
      </c>
      <c r="P263" s="7">
        <v>5</v>
      </c>
      <c r="Q263" s="9">
        <v>1080</v>
      </c>
      <c r="R263" s="9">
        <v>1112.4000000000001</v>
      </c>
      <c r="S263" s="10">
        <v>0.03</v>
      </c>
      <c r="T263" s="9">
        <v>5395.14</v>
      </c>
      <c r="U263" s="9">
        <v>5400</v>
      </c>
      <c r="V263" s="9">
        <v>-4.8600000000000003</v>
      </c>
      <c r="W263" s="10">
        <v>-9.0081072965669101E-4</v>
      </c>
    </row>
    <row r="264" spans="1:23" x14ac:dyDescent="0.3">
      <c r="A264" s="7" t="s">
        <v>1015</v>
      </c>
      <c r="B264" s="7" t="s">
        <v>79</v>
      </c>
      <c r="C264" s="7" t="s">
        <v>1016</v>
      </c>
      <c r="D264" s="7" t="s">
        <v>1017</v>
      </c>
      <c r="E264" s="7" t="s">
        <v>77</v>
      </c>
      <c r="F264" s="8">
        <v>45542</v>
      </c>
      <c r="G264" s="8">
        <v>45542</v>
      </c>
      <c r="H264" s="8">
        <v>45544</v>
      </c>
      <c r="I264" s="7" t="s">
        <v>72</v>
      </c>
      <c r="J264" s="7" t="s">
        <v>2364</v>
      </c>
      <c r="K264" s="7" t="s">
        <v>21</v>
      </c>
      <c r="L264" s="7" t="s">
        <v>23</v>
      </c>
      <c r="M264" s="7" t="s">
        <v>44</v>
      </c>
      <c r="N264" s="7" t="s">
        <v>38</v>
      </c>
      <c r="O264" s="7" t="s">
        <v>45</v>
      </c>
      <c r="P264" s="7">
        <v>11</v>
      </c>
      <c r="Q264" s="9">
        <v>210</v>
      </c>
      <c r="R264" s="9">
        <v>222.6</v>
      </c>
      <c r="S264" s="10">
        <v>0.01</v>
      </c>
      <c r="T264" s="9">
        <v>2424.114</v>
      </c>
      <c r="U264" s="9">
        <v>2310</v>
      </c>
      <c r="V264" s="9">
        <v>114.114</v>
      </c>
      <c r="W264" s="10">
        <v>4.7074518772632003E-2</v>
      </c>
    </row>
    <row r="265" spans="1:23" x14ac:dyDescent="0.3">
      <c r="A265" s="7" t="s">
        <v>1018</v>
      </c>
      <c r="B265" s="7" t="s">
        <v>1019</v>
      </c>
      <c r="C265" s="7" t="s">
        <v>1020</v>
      </c>
      <c r="D265" s="7" t="s">
        <v>1021</v>
      </c>
      <c r="E265" s="7" t="s">
        <v>192</v>
      </c>
      <c r="F265" s="8">
        <v>45549</v>
      </c>
      <c r="G265" s="8">
        <v>45549</v>
      </c>
      <c r="H265" s="8">
        <v>45553</v>
      </c>
      <c r="I265" s="7" t="s">
        <v>72</v>
      </c>
      <c r="J265" s="7" t="s">
        <v>2</v>
      </c>
      <c r="K265" s="7" t="s">
        <v>20</v>
      </c>
      <c r="L265" s="7" t="s">
        <v>23</v>
      </c>
      <c r="M265" s="7" t="s">
        <v>46</v>
      </c>
      <c r="N265" s="7" t="s">
        <v>38</v>
      </c>
      <c r="O265" s="7" t="s">
        <v>45</v>
      </c>
      <c r="P265" s="7">
        <v>5</v>
      </c>
      <c r="Q265" s="9">
        <v>350</v>
      </c>
      <c r="R265" s="9">
        <v>364</v>
      </c>
      <c r="S265" s="10">
        <v>0.08</v>
      </c>
      <c r="T265" s="9">
        <v>1674.4</v>
      </c>
      <c r="U265" s="9">
        <v>1750</v>
      </c>
      <c r="V265" s="9">
        <v>-75.599999999999994</v>
      </c>
      <c r="W265" s="10">
        <v>-4.51505016722408E-2</v>
      </c>
    </row>
    <row r="266" spans="1:23" x14ac:dyDescent="0.3">
      <c r="A266" s="7" t="s">
        <v>1022</v>
      </c>
      <c r="B266" s="7" t="s">
        <v>518</v>
      </c>
      <c r="C266" s="7" t="s">
        <v>1023</v>
      </c>
      <c r="D266" s="7" t="s">
        <v>1024</v>
      </c>
      <c r="E266" s="7" t="s">
        <v>100</v>
      </c>
      <c r="F266" s="8">
        <v>46170</v>
      </c>
      <c r="G266" s="8">
        <v>46171</v>
      </c>
      <c r="H266" s="8">
        <v>46175</v>
      </c>
      <c r="I266" s="7" t="s">
        <v>72</v>
      </c>
      <c r="J266" s="7" t="s">
        <v>2362</v>
      </c>
      <c r="K266" s="7" t="s">
        <v>21</v>
      </c>
      <c r="L266" s="7" t="s">
        <v>24</v>
      </c>
      <c r="M266" s="7" t="s">
        <v>42</v>
      </c>
      <c r="N266" s="7" t="s">
        <v>27</v>
      </c>
      <c r="O266" s="7" t="s">
        <v>28</v>
      </c>
      <c r="P266" s="7">
        <v>6</v>
      </c>
      <c r="Q266" s="9">
        <v>3030</v>
      </c>
      <c r="R266" s="9">
        <v>3211.8</v>
      </c>
      <c r="S266" s="10">
        <v>0.02</v>
      </c>
      <c r="T266" s="9">
        <v>18885.383999999998</v>
      </c>
      <c r="U266" s="9">
        <v>18180</v>
      </c>
      <c r="V266" s="9">
        <v>705.38400000000001</v>
      </c>
      <c r="W266" s="10">
        <v>3.73507893723527E-2</v>
      </c>
    </row>
    <row r="267" spans="1:23" x14ac:dyDescent="0.3">
      <c r="A267" s="7" t="s">
        <v>1025</v>
      </c>
      <c r="B267" s="7" t="s">
        <v>365</v>
      </c>
      <c r="C267" s="7" t="s">
        <v>1026</v>
      </c>
      <c r="D267" s="7" t="s">
        <v>1027</v>
      </c>
      <c r="E267" s="7" t="s">
        <v>81</v>
      </c>
      <c r="F267" s="8">
        <v>46051</v>
      </c>
      <c r="G267" s="8">
        <v>46052</v>
      </c>
      <c r="H267" s="8">
        <v>46054</v>
      </c>
      <c r="I267" s="7" t="s">
        <v>72</v>
      </c>
      <c r="J267" s="7" t="s">
        <v>2</v>
      </c>
      <c r="K267" s="7" t="s">
        <v>20</v>
      </c>
      <c r="L267" s="7" t="s">
        <v>24</v>
      </c>
      <c r="M267" s="7" t="s">
        <v>59</v>
      </c>
      <c r="N267" s="7" t="s">
        <v>27</v>
      </c>
      <c r="O267" s="7" t="s">
        <v>60</v>
      </c>
      <c r="P267" s="7">
        <v>10</v>
      </c>
      <c r="Q267" s="9">
        <v>1230</v>
      </c>
      <c r="R267" s="9">
        <v>1328.4</v>
      </c>
      <c r="S267" s="10">
        <v>0.08</v>
      </c>
      <c r="T267" s="9">
        <v>12221.28</v>
      </c>
      <c r="U267" s="9">
        <v>12300</v>
      </c>
      <c r="V267" s="9">
        <v>-78.72</v>
      </c>
      <c r="W267" s="10">
        <v>-6.4412238325281803E-3</v>
      </c>
    </row>
    <row r="268" spans="1:23" x14ac:dyDescent="0.3">
      <c r="A268" s="7" t="s">
        <v>1028</v>
      </c>
      <c r="B268" s="7" t="s">
        <v>147</v>
      </c>
      <c r="C268" s="7" t="s">
        <v>1029</v>
      </c>
      <c r="D268" s="7" t="s">
        <v>448</v>
      </c>
      <c r="E268" s="7" t="s">
        <v>192</v>
      </c>
      <c r="F268" s="8">
        <v>45721</v>
      </c>
      <c r="G268" s="8">
        <v>45722</v>
      </c>
      <c r="H268" s="8">
        <v>45724</v>
      </c>
      <c r="I268" s="7" t="s">
        <v>72</v>
      </c>
      <c r="J268" s="7" t="s">
        <v>2</v>
      </c>
      <c r="K268" s="7" t="s">
        <v>19</v>
      </c>
      <c r="L268" s="7" t="s">
        <v>61</v>
      </c>
      <c r="M268" s="7" t="s">
        <v>46</v>
      </c>
      <c r="N268" s="7" t="s">
        <v>38</v>
      </c>
      <c r="O268" s="7" t="s">
        <v>45</v>
      </c>
      <c r="P268" s="7">
        <v>10</v>
      </c>
      <c r="Q268" s="9">
        <v>350</v>
      </c>
      <c r="R268" s="9">
        <v>364</v>
      </c>
      <c r="S268" s="10">
        <v>0</v>
      </c>
      <c r="T268" s="9">
        <v>3640</v>
      </c>
      <c r="U268" s="9">
        <v>3500</v>
      </c>
      <c r="V268" s="9">
        <v>140</v>
      </c>
      <c r="W268" s="10">
        <v>3.8461538461538498E-2</v>
      </c>
    </row>
    <row r="269" spans="1:23" x14ac:dyDescent="0.3">
      <c r="A269" s="7" t="s">
        <v>1030</v>
      </c>
      <c r="B269" s="7" t="s">
        <v>764</v>
      </c>
      <c r="C269" s="7" t="s">
        <v>1031</v>
      </c>
      <c r="D269" s="7" t="s">
        <v>1032</v>
      </c>
      <c r="E269" s="7" t="s">
        <v>187</v>
      </c>
      <c r="F269" s="8">
        <v>45508</v>
      </c>
      <c r="G269" s="8">
        <v>45508</v>
      </c>
      <c r="H269" s="8">
        <v>45510</v>
      </c>
      <c r="I269" s="7" t="s">
        <v>82</v>
      </c>
      <c r="J269" s="7" t="s">
        <v>2363</v>
      </c>
      <c r="K269" s="7" t="s">
        <v>20</v>
      </c>
      <c r="L269" s="7" t="s">
        <v>22</v>
      </c>
      <c r="M269" s="7" t="s">
        <v>2367</v>
      </c>
      <c r="N269" s="7" t="s">
        <v>38</v>
      </c>
      <c r="O269" s="7" t="s">
        <v>41</v>
      </c>
      <c r="P269" s="7">
        <v>3</v>
      </c>
      <c r="Q269" s="9">
        <v>170</v>
      </c>
      <c r="R269" s="9">
        <v>188.7</v>
      </c>
      <c r="S269" s="10">
        <v>0.1</v>
      </c>
      <c r="T269" s="9">
        <v>509.49</v>
      </c>
      <c r="U269" s="9">
        <v>510</v>
      </c>
      <c r="V269" s="9">
        <v>-0.51</v>
      </c>
      <c r="W269" s="10">
        <v>-1.0010010010009999E-3</v>
      </c>
    </row>
    <row r="270" spans="1:23" x14ac:dyDescent="0.3">
      <c r="A270" s="7" t="s">
        <v>1033</v>
      </c>
      <c r="B270" s="7" t="s">
        <v>331</v>
      </c>
      <c r="C270" s="7" t="s">
        <v>1034</v>
      </c>
      <c r="D270" s="7" t="s">
        <v>1035</v>
      </c>
      <c r="E270" s="7" t="s">
        <v>173</v>
      </c>
      <c r="F270" s="8">
        <v>45862</v>
      </c>
      <c r="G270" s="8">
        <v>45862</v>
      </c>
      <c r="H270" s="8">
        <v>45866</v>
      </c>
      <c r="I270" s="7" t="s">
        <v>82</v>
      </c>
      <c r="J270" s="7" t="s">
        <v>2364</v>
      </c>
      <c r="K270" s="7" t="s">
        <v>20</v>
      </c>
      <c r="L270" s="7" t="s">
        <v>22</v>
      </c>
      <c r="M270" s="7" t="s">
        <v>48</v>
      </c>
      <c r="N270" s="7" t="s">
        <v>38</v>
      </c>
      <c r="O270" s="7" t="s">
        <v>41</v>
      </c>
      <c r="P270" s="7">
        <v>2</v>
      </c>
      <c r="Q270" s="9">
        <v>580</v>
      </c>
      <c r="R270" s="9">
        <v>667</v>
      </c>
      <c r="S270" s="10">
        <v>0.06</v>
      </c>
      <c r="T270" s="9">
        <v>1253.96</v>
      </c>
      <c r="U270" s="9">
        <v>1160</v>
      </c>
      <c r="V270" s="9">
        <v>93.96</v>
      </c>
      <c r="W270" s="10">
        <v>7.4930619796484702E-2</v>
      </c>
    </row>
    <row r="271" spans="1:23" x14ac:dyDescent="0.3">
      <c r="A271" s="7" t="s">
        <v>1036</v>
      </c>
      <c r="B271" s="7" t="s">
        <v>315</v>
      </c>
      <c r="C271" s="7" t="s">
        <v>1037</v>
      </c>
      <c r="D271" s="7" t="s">
        <v>1038</v>
      </c>
      <c r="E271" s="7" t="s">
        <v>77</v>
      </c>
      <c r="F271" s="8">
        <v>45622</v>
      </c>
      <c r="G271" s="8">
        <v>45623</v>
      </c>
      <c r="H271" s="8">
        <v>45624</v>
      </c>
      <c r="I271" s="7" t="s">
        <v>82</v>
      </c>
      <c r="J271" s="7" t="s">
        <v>1</v>
      </c>
      <c r="K271" s="7" t="s">
        <v>20</v>
      </c>
      <c r="L271" s="7" t="s">
        <v>23</v>
      </c>
      <c r="M271" s="7" t="s">
        <v>44</v>
      </c>
      <c r="N271" s="7" t="s">
        <v>38</v>
      </c>
      <c r="O271" s="7" t="s">
        <v>45</v>
      </c>
      <c r="P271" s="7">
        <v>4</v>
      </c>
      <c r="Q271" s="9">
        <v>210</v>
      </c>
      <c r="R271" s="9">
        <v>222.6</v>
      </c>
      <c r="S271" s="10">
        <v>0.03</v>
      </c>
      <c r="T271" s="9">
        <v>863.68799999999999</v>
      </c>
      <c r="U271" s="9">
        <v>840</v>
      </c>
      <c r="V271" s="9">
        <v>23.687999999999999</v>
      </c>
      <c r="W271" s="10">
        <v>2.74265707060883E-2</v>
      </c>
    </row>
    <row r="272" spans="1:23" x14ac:dyDescent="0.3">
      <c r="A272" s="7" t="s">
        <v>1039</v>
      </c>
      <c r="B272" s="7" t="s">
        <v>1040</v>
      </c>
      <c r="C272" s="7" t="s">
        <v>1041</v>
      </c>
      <c r="D272" s="7" t="s">
        <v>1042</v>
      </c>
      <c r="E272" s="7" t="s">
        <v>81</v>
      </c>
      <c r="F272" s="8">
        <v>45316</v>
      </c>
      <c r="G272" s="8">
        <v>45317</v>
      </c>
      <c r="H272" s="8">
        <v>45320</v>
      </c>
      <c r="I272" s="7" t="s">
        <v>72</v>
      </c>
      <c r="J272" s="7" t="s">
        <v>2362</v>
      </c>
      <c r="K272" s="7" t="s">
        <v>20</v>
      </c>
      <c r="L272" s="7" t="s">
        <v>24</v>
      </c>
      <c r="M272" s="7" t="s">
        <v>59</v>
      </c>
      <c r="N272" s="7" t="s">
        <v>27</v>
      </c>
      <c r="O272" s="7" t="s">
        <v>60</v>
      </c>
      <c r="P272" s="7">
        <v>8</v>
      </c>
      <c r="Q272" s="9">
        <v>1230</v>
      </c>
      <c r="R272" s="9">
        <v>1328.4</v>
      </c>
      <c r="S272" s="10">
        <v>7.0000000000000007E-2</v>
      </c>
      <c r="T272" s="9">
        <v>9883.2960000000003</v>
      </c>
      <c r="U272" s="9">
        <v>9840</v>
      </c>
      <c r="V272" s="9">
        <v>43.295999999999999</v>
      </c>
      <c r="W272" s="10">
        <v>4.3807248108323404E-3</v>
      </c>
    </row>
    <row r="273" spans="1:23" x14ac:dyDescent="0.3">
      <c r="A273" s="7" t="s">
        <v>1043</v>
      </c>
      <c r="B273" s="7" t="s">
        <v>97</v>
      </c>
      <c r="C273" s="7" t="s">
        <v>1044</v>
      </c>
      <c r="D273" s="7" t="s">
        <v>1045</v>
      </c>
      <c r="E273" s="7" t="s">
        <v>132</v>
      </c>
      <c r="F273" s="8">
        <v>45435</v>
      </c>
      <c r="G273" s="8">
        <v>45436</v>
      </c>
      <c r="H273" s="8">
        <v>45440</v>
      </c>
      <c r="I273" s="7" t="s">
        <v>72</v>
      </c>
      <c r="J273" s="7" t="s">
        <v>2362</v>
      </c>
      <c r="K273" s="7" t="s">
        <v>21</v>
      </c>
      <c r="L273" s="7" t="s">
        <v>25</v>
      </c>
      <c r="M273" s="7" t="s">
        <v>2366</v>
      </c>
      <c r="N273" s="7" t="s">
        <v>27</v>
      </c>
      <c r="O273" s="7" t="s">
        <v>54</v>
      </c>
      <c r="P273" s="7">
        <v>6</v>
      </c>
      <c r="Q273" s="9">
        <v>430</v>
      </c>
      <c r="R273" s="9">
        <v>455.8</v>
      </c>
      <c r="S273" s="10">
        <v>0.01</v>
      </c>
      <c r="T273" s="9">
        <v>2707.4520000000002</v>
      </c>
      <c r="U273" s="9">
        <v>2580</v>
      </c>
      <c r="V273" s="9">
        <v>127.452</v>
      </c>
      <c r="W273" s="10">
        <v>4.7074518772632003E-2</v>
      </c>
    </row>
    <row r="274" spans="1:23" x14ac:dyDescent="0.3">
      <c r="A274" s="7" t="s">
        <v>1046</v>
      </c>
      <c r="B274" s="7" t="s">
        <v>689</v>
      </c>
      <c r="C274" s="7" t="s">
        <v>1047</v>
      </c>
      <c r="D274" s="7" t="s">
        <v>1048</v>
      </c>
      <c r="E274" s="7" t="s">
        <v>87</v>
      </c>
      <c r="F274" s="8">
        <v>45941</v>
      </c>
      <c r="G274" s="8">
        <v>45941</v>
      </c>
      <c r="H274" s="8">
        <v>45945</v>
      </c>
      <c r="I274" s="7" t="s">
        <v>72</v>
      </c>
      <c r="J274" s="7" t="s">
        <v>2364</v>
      </c>
      <c r="K274" s="7" t="s">
        <v>20</v>
      </c>
      <c r="L274" s="7" t="s">
        <v>24</v>
      </c>
      <c r="M274" s="7" t="s">
        <v>30</v>
      </c>
      <c r="N274" s="7" t="s">
        <v>27</v>
      </c>
      <c r="O274" s="7" t="s">
        <v>31</v>
      </c>
      <c r="P274" s="7">
        <v>7</v>
      </c>
      <c r="Q274" s="9">
        <v>1030</v>
      </c>
      <c r="R274" s="9">
        <v>1174.2</v>
      </c>
      <c r="S274" s="10">
        <v>0.03</v>
      </c>
      <c r="T274" s="9">
        <v>7972.8180000000002</v>
      </c>
      <c r="U274" s="9">
        <v>7210</v>
      </c>
      <c r="V274" s="9">
        <v>762.81799999999998</v>
      </c>
      <c r="W274" s="10">
        <v>9.5677337674082097E-2</v>
      </c>
    </row>
    <row r="275" spans="1:23" x14ac:dyDescent="0.3">
      <c r="A275" s="7" t="s">
        <v>1049</v>
      </c>
      <c r="B275" s="7" t="s">
        <v>271</v>
      </c>
      <c r="C275" s="7" t="s">
        <v>1050</v>
      </c>
      <c r="D275" s="7" t="s">
        <v>1051</v>
      </c>
      <c r="E275" s="7" t="s">
        <v>164</v>
      </c>
      <c r="F275" s="8">
        <v>45363</v>
      </c>
      <c r="G275" s="8">
        <v>45363</v>
      </c>
      <c r="H275" s="8">
        <v>45366</v>
      </c>
      <c r="I275" s="7" t="s">
        <v>82</v>
      </c>
      <c r="J275" s="7" t="s">
        <v>2363</v>
      </c>
      <c r="K275" s="7" t="s">
        <v>20</v>
      </c>
      <c r="L275" s="7" t="s">
        <v>22</v>
      </c>
      <c r="M275" s="7" t="s">
        <v>43</v>
      </c>
      <c r="N275" s="7" t="s">
        <v>27</v>
      </c>
      <c r="O275" s="7" t="s">
        <v>31</v>
      </c>
      <c r="P275" s="7">
        <v>4</v>
      </c>
      <c r="Q275" s="9">
        <v>1630</v>
      </c>
      <c r="R275" s="9">
        <v>1744.1</v>
      </c>
      <c r="S275" s="10">
        <v>0.01</v>
      </c>
      <c r="T275" s="9">
        <v>6906.6360000000004</v>
      </c>
      <c r="U275" s="9">
        <v>6520</v>
      </c>
      <c r="V275" s="9">
        <v>386.63600000000002</v>
      </c>
      <c r="W275" s="10">
        <v>5.5980364391579301E-2</v>
      </c>
    </row>
    <row r="276" spans="1:23" x14ac:dyDescent="0.3">
      <c r="A276" s="7" t="s">
        <v>1052</v>
      </c>
      <c r="B276" s="7" t="s">
        <v>1053</v>
      </c>
      <c r="C276" s="7" t="s">
        <v>1054</v>
      </c>
      <c r="D276" s="7" t="s">
        <v>1055</v>
      </c>
      <c r="E276" s="7" t="s">
        <v>77</v>
      </c>
      <c r="F276" s="8">
        <v>45630</v>
      </c>
      <c r="G276" s="8">
        <v>45631</v>
      </c>
      <c r="H276" s="8">
        <v>45632</v>
      </c>
      <c r="I276" s="7" t="s">
        <v>82</v>
      </c>
      <c r="J276" s="7" t="s">
        <v>1</v>
      </c>
      <c r="K276" s="7" t="s">
        <v>20</v>
      </c>
      <c r="L276" s="7" t="s">
        <v>23</v>
      </c>
      <c r="M276" s="7" t="s">
        <v>44</v>
      </c>
      <c r="N276" s="7" t="s">
        <v>38</v>
      </c>
      <c r="O276" s="7" t="s">
        <v>45</v>
      </c>
      <c r="P276" s="7">
        <v>3</v>
      </c>
      <c r="Q276" s="9">
        <v>210</v>
      </c>
      <c r="R276" s="9">
        <v>222.6</v>
      </c>
      <c r="S276" s="10">
        <v>0.01</v>
      </c>
      <c r="T276" s="9">
        <v>661.12199999999996</v>
      </c>
      <c r="U276" s="9">
        <v>630</v>
      </c>
      <c r="V276" s="9">
        <v>31.122</v>
      </c>
      <c r="W276" s="10">
        <v>4.7074518772632003E-2</v>
      </c>
    </row>
    <row r="277" spans="1:23" x14ac:dyDescent="0.3">
      <c r="A277" s="7" t="s">
        <v>1056</v>
      </c>
      <c r="B277" s="7" t="s">
        <v>1057</v>
      </c>
      <c r="C277" s="7" t="s">
        <v>1058</v>
      </c>
      <c r="D277" s="7" t="s">
        <v>1059</v>
      </c>
      <c r="E277" s="7" t="s">
        <v>291</v>
      </c>
      <c r="F277" s="8">
        <v>46168</v>
      </c>
      <c r="G277" s="8">
        <v>46168</v>
      </c>
      <c r="H277" s="8">
        <v>46173</v>
      </c>
      <c r="I277" s="7" t="s">
        <v>82</v>
      </c>
      <c r="J277" s="7" t="s">
        <v>2</v>
      </c>
      <c r="K277" s="7" t="s">
        <v>19</v>
      </c>
      <c r="L277" s="7" t="s">
        <v>25</v>
      </c>
      <c r="M277" s="7" t="s">
        <v>57</v>
      </c>
      <c r="N277" s="7" t="s">
        <v>27</v>
      </c>
      <c r="O277" s="7" t="s">
        <v>58</v>
      </c>
      <c r="P277" s="7">
        <v>2</v>
      </c>
      <c r="Q277" s="9">
        <v>480</v>
      </c>
      <c r="R277" s="9">
        <v>513.6</v>
      </c>
      <c r="S277" s="10">
        <v>0.02</v>
      </c>
      <c r="T277" s="9">
        <v>1006.6559999999999</v>
      </c>
      <c r="U277" s="9">
        <v>960</v>
      </c>
      <c r="V277" s="9">
        <v>46.655999999999999</v>
      </c>
      <c r="W277" s="10">
        <v>4.6347510967003597E-2</v>
      </c>
    </row>
    <row r="278" spans="1:23" x14ac:dyDescent="0.3">
      <c r="A278" s="7" t="s">
        <v>1060</v>
      </c>
      <c r="B278" s="7" t="s">
        <v>1061</v>
      </c>
      <c r="C278" s="7" t="s">
        <v>1062</v>
      </c>
      <c r="D278" s="7" t="s">
        <v>1063</v>
      </c>
      <c r="E278" s="7" t="s">
        <v>178</v>
      </c>
      <c r="F278" s="8">
        <v>45575</v>
      </c>
      <c r="G278" s="8">
        <v>45576</v>
      </c>
      <c r="H278" s="8">
        <v>45579</v>
      </c>
      <c r="I278" s="7" t="s">
        <v>82</v>
      </c>
      <c r="J278" s="7" t="s">
        <v>2</v>
      </c>
      <c r="K278" s="7" t="s">
        <v>20</v>
      </c>
      <c r="L278" s="7" t="s">
        <v>24</v>
      </c>
      <c r="M278" s="7" t="s">
        <v>47</v>
      </c>
      <c r="N278" s="7" t="s">
        <v>38</v>
      </c>
      <c r="O278" s="7" t="s">
        <v>39</v>
      </c>
      <c r="P278" s="7">
        <v>1</v>
      </c>
      <c r="Q278" s="9">
        <v>390</v>
      </c>
      <c r="R278" s="9">
        <v>468</v>
      </c>
      <c r="S278" s="10">
        <v>0</v>
      </c>
      <c r="T278" s="9">
        <v>468</v>
      </c>
      <c r="U278" s="9">
        <v>390</v>
      </c>
      <c r="V278" s="9">
        <v>78</v>
      </c>
      <c r="W278" s="10">
        <v>0.16666666666666699</v>
      </c>
    </row>
    <row r="279" spans="1:23" x14ac:dyDescent="0.3">
      <c r="A279" s="7" t="s">
        <v>1064</v>
      </c>
      <c r="B279" s="7" t="s">
        <v>1065</v>
      </c>
      <c r="C279" s="7" t="s">
        <v>1066</v>
      </c>
      <c r="D279" s="7" t="s">
        <v>1067</v>
      </c>
      <c r="E279" s="7" t="s">
        <v>109</v>
      </c>
      <c r="F279" s="8">
        <v>46044</v>
      </c>
      <c r="G279" s="8">
        <v>46044</v>
      </c>
      <c r="H279" s="8">
        <v>46046</v>
      </c>
      <c r="I279" s="7" t="s">
        <v>72</v>
      </c>
      <c r="J279" s="7" t="s">
        <v>1</v>
      </c>
      <c r="K279" s="7" t="s">
        <v>20</v>
      </c>
      <c r="L279" s="7" t="s">
        <v>22</v>
      </c>
      <c r="M279" s="7" t="s">
        <v>2365</v>
      </c>
      <c r="N279" s="7" t="s">
        <v>27</v>
      </c>
      <c r="O279" s="7" t="s">
        <v>56</v>
      </c>
      <c r="P279" s="7">
        <v>8</v>
      </c>
      <c r="Q279" s="9">
        <v>650</v>
      </c>
      <c r="R279" s="9">
        <v>663</v>
      </c>
      <c r="S279" s="10">
        <v>0.05</v>
      </c>
      <c r="T279" s="9">
        <v>5038.8</v>
      </c>
      <c r="U279" s="9">
        <v>5200</v>
      </c>
      <c r="V279" s="9">
        <v>-161.19999999999999</v>
      </c>
      <c r="W279" s="10">
        <v>-3.1991744066047503E-2</v>
      </c>
    </row>
    <row r="280" spans="1:23" x14ac:dyDescent="0.3">
      <c r="A280" s="7" t="s">
        <v>1068</v>
      </c>
      <c r="B280" s="7" t="s">
        <v>1009</v>
      </c>
      <c r="C280" s="7" t="s">
        <v>1069</v>
      </c>
      <c r="D280" s="7" t="s">
        <v>1070</v>
      </c>
      <c r="E280" s="7" t="s">
        <v>208</v>
      </c>
      <c r="F280" s="8">
        <v>45829</v>
      </c>
      <c r="G280" s="8">
        <v>45829</v>
      </c>
      <c r="H280" s="8">
        <v>45832</v>
      </c>
      <c r="I280" s="7" t="s">
        <v>72</v>
      </c>
      <c r="J280" s="7" t="s">
        <v>1</v>
      </c>
      <c r="K280" s="7" t="s">
        <v>19</v>
      </c>
      <c r="L280" s="7" t="s">
        <v>22</v>
      </c>
      <c r="M280" s="7" t="s">
        <v>50</v>
      </c>
      <c r="N280" s="7" t="s">
        <v>33</v>
      </c>
      <c r="O280" s="7" t="s">
        <v>36</v>
      </c>
      <c r="P280" s="7">
        <v>8</v>
      </c>
      <c r="Q280" s="9">
        <v>930</v>
      </c>
      <c r="R280" s="9">
        <v>1078.8</v>
      </c>
      <c r="S280" s="10">
        <v>0</v>
      </c>
      <c r="T280" s="9">
        <v>8630.4</v>
      </c>
      <c r="U280" s="9">
        <v>7440</v>
      </c>
      <c r="V280" s="9">
        <v>1190.4000000000001</v>
      </c>
      <c r="W280" s="10">
        <v>0.13793103448275901</v>
      </c>
    </row>
    <row r="281" spans="1:23" x14ac:dyDescent="0.3">
      <c r="A281" s="7" t="s">
        <v>1071</v>
      </c>
      <c r="B281" s="7" t="s">
        <v>180</v>
      </c>
      <c r="C281" s="7" t="s">
        <v>1072</v>
      </c>
      <c r="D281" s="7" t="s">
        <v>1073</v>
      </c>
      <c r="E281" s="7" t="s">
        <v>119</v>
      </c>
      <c r="F281" s="8">
        <v>45582</v>
      </c>
      <c r="G281" s="8">
        <v>45582</v>
      </c>
      <c r="H281" s="8">
        <v>45584</v>
      </c>
      <c r="I281" s="7" t="s">
        <v>72</v>
      </c>
      <c r="J281" s="7" t="s">
        <v>2364</v>
      </c>
      <c r="K281" s="7" t="s">
        <v>19</v>
      </c>
      <c r="L281" s="7" t="s">
        <v>61</v>
      </c>
      <c r="M281" s="7" t="s">
        <v>37</v>
      </c>
      <c r="N281" s="7" t="s">
        <v>38</v>
      </c>
      <c r="O281" s="7" t="s">
        <v>39</v>
      </c>
      <c r="P281" s="7">
        <v>10</v>
      </c>
      <c r="Q281" s="9">
        <v>250</v>
      </c>
      <c r="R281" s="9">
        <v>270</v>
      </c>
      <c r="S281" s="10">
        <v>0</v>
      </c>
      <c r="T281" s="9">
        <v>2700</v>
      </c>
      <c r="U281" s="9">
        <v>2500</v>
      </c>
      <c r="V281" s="9">
        <v>200</v>
      </c>
      <c r="W281" s="10">
        <v>7.4074074074074098E-2</v>
      </c>
    </row>
    <row r="282" spans="1:23" x14ac:dyDescent="0.3">
      <c r="A282" s="7" t="s">
        <v>1074</v>
      </c>
      <c r="B282" s="7" t="s">
        <v>486</v>
      </c>
      <c r="C282" s="7" t="s">
        <v>1075</v>
      </c>
      <c r="D282" s="7" t="s">
        <v>1076</v>
      </c>
      <c r="E282" s="7" t="s">
        <v>141</v>
      </c>
      <c r="F282" s="8">
        <v>45976</v>
      </c>
      <c r="G282" s="8">
        <v>45976</v>
      </c>
      <c r="H282" s="8">
        <v>45978</v>
      </c>
      <c r="I282" s="7" t="s">
        <v>82</v>
      </c>
      <c r="J282" s="7" t="s">
        <v>2362</v>
      </c>
      <c r="K282" s="7" t="s">
        <v>20</v>
      </c>
      <c r="L282" s="7" t="s">
        <v>24</v>
      </c>
      <c r="M282" s="7" t="s">
        <v>35</v>
      </c>
      <c r="N282" s="7" t="s">
        <v>33</v>
      </c>
      <c r="O282" s="7" t="s">
        <v>36</v>
      </c>
      <c r="P282" s="7">
        <v>3</v>
      </c>
      <c r="Q282" s="9">
        <v>1530</v>
      </c>
      <c r="R282" s="9">
        <v>1790.1</v>
      </c>
      <c r="S282" s="10">
        <v>0.01</v>
      </c>
      <c r="T282" s="9">
        <v>5316.5969999999998</v>
      </c>
      <c r="U282" s="9">
        <v>4590</v>
      </c>
      <c r="V282" s="9">
        <v>726.59699999999998</v>
      </c>
      <c r="W282" s="10">
        <v>0.13666580333247</v>
      </c>
    </row>
    <row r="283" spans="1:23" x14ac:dyDescent="0.3">
      <c r="A283" s="7" t="s">
        <v>1077</v>
      </c>
      <c r="B283" s="7" t="s">
        <v>271</v>
      </c>
      <c r="C283" s="7" t="s">
        <v>1078</v>
      </c>
      <c r="D283" s="7" t="s">
        <v>1079</v>
      </c>
      <c r="E283" s="7" t="s">
        <v>119</v>
      </c>
      <c r="F283" s="8">
        <v>45810</v>
      </c>
      <c r="G283" s="8">
        <v>45811</v>
      </c>
      <c r="H283" s="8">
        <v>45814</v>
      </c>
      <c r="I283" s="7" t="s">
        <v>72</v>
      </c>
      <c r="J283" s="7" t="s">
        <v>2</v>
      </c>
      <c r="K283" s="7" t="s">
        <v>21</v>
      </c>
      <c r="L283" s="7" t="s">
        <v>61</v>
      </c>
      <c r="M283" s="7" t="s">
        <v>37</v>
      </c>
      <c r="N283" s="7" t="s">
        <v>38</v>
      </c>
      <c r="O283" s="7" t="s">
        <v>39</v>
      </c>
      <c r="P283" s="7">
        <v>7</v>
      </c>
      <c r="Q283" s="9">
        <v>250</v>
      </c>
      <c r="R283" s="9">
        <v>270</v>
      </c>
      <c r="S283" s="10">
        <v>0.06</v>
      </c>
      <c r="T283" s="9">
        <v>1776.6</v>
      </c>
      <c r="U283" s="9">
        <v>1750</v>
      </c>
      <c r="V283" s="9">
        <v>26.6</v>
      </c>
      <c r="W283" s="10">
        <v>1.49724192277384E-2</v>
      </c>
    </row>
    <row r="284" spans="1:23" x14ac:dyDescent="0.3">
      <c r="A284" s="7" t="s">
        <v>1080</v>
      </c>
      <c r="B284" s="7" t="s">
        <v>1081</v>
      </c>
      <c r="C284" s="7" t="s">
        <v>1082</v>
      </c>
      <c r="D284" s="7" t="s">
        <v>1083</v>
      </c>
      <c r="E284" s="7" t="s">
        <v>164</v>
      </c>
      <c r="F284" s="8">
        <v>45978</v>
      </c>
      <c r="G284" s="8">
        <v>45978</v>
      </c>
      <c r="H284" s="8">
        <v>45981</v>
      </c>
      <c r="I284" s="7" t="s">
        <v>72</v>
      </c>
      <c r="J284" s="7" t="s">
        <v>2</v>
      </c>
      <c r="K284" s="7" t="s">
        <v>20</v>
      </c>
      <c r="L284" s="7" t="s">
        <v>23</v>
      </c>
      <c r="M284" s="7" t="s">
        <v>43</v>
      </c>
      <c r="N284" s="7" t="s">
        <v>27</v>
      </c>
      <c r="O284" s="7" t="s">
        <v>31</v>
      </c>
      <c r="P284" s="7">
        <v>9</v>
      </c>
      <c r="Q284" s="9">
        <v>1630</v>
      </c>
      <c r="R284" s="9">
        <v>1744.1</v>
      </c>
      <c r="S284" s="10">
        <v>0.02</v>
      </c>
      <c r="T284" s="9">
        <v>15382.962</v>
      </c>
      <c r="U284" s="9">
        <v>14670</v>
      </c>
      <c r="V284" s="9">
        <v>712.96199999999999</v>
      </c>
      <c r="W284" s="10">
        <v>4.6347510967003597E-2</v>
      </c>
    </row>
    <row r="285" spans="1:23" x14ac:dyDescent="0.3">
      <c r="A285" s="7" t="s">
        <v>1084</v>
      </c>
      <c r="B285" s="7" t="s">
        <v>389</v>
      </c>
      <c r="C285" s="7" t="s">
        <v>1085</v>
      </c>
      <c r="D285" s="7" t="s">
        <v>1086</v>
      </c>
      <c r="E285" s="7" t="s">
        <v>187</v>
      </c>
      <c r="F285" s="8">
        <v>45366</v>
      </c>
      <c r="G285" s="8">
        <v>45367</v>
      </c>
      <c r="H285" s="8">
        <v>45369</v>
      </c>
      <c r="I285" s="7" t="s">
        <v>72</v>
      </c>
      <c r="J285" s="7" t="s">
        <v>2363</v>
      </c>
      <c r="K285" s="7" t="s">
        <v>21</v>
      </c>
      <c r="L285" s="7" t="s">
        <v>23</v>
      </c>
      <c r="M285" s="7" t="s">
        <v>2367</v>
      </c>
      <c r="N285" s="7" t="s">
        <v>38</v>
      </c>
      <c r="O285" s="7" t="s">
        <v>41</v>
      </c>
      <c r="P285" s="7">
        <v>8</v>
      </c>
      <c r="Q285" s="9">
        <v>170</v>
      </c>
      <c r="R285" s="9">
        <v>188.7</v>
      </c>
      <c r="S285" s="10">
        <v>7.0000000000000007E-2</v>
      </c>
      <c r="T285" s="9">
        <v>1403.9280000000001</v>
      </c>
      <c r="U285" s="9">
        <v>1360</v>
      </c>
      <c r="V285" s="9">
        <v>43.927999999999997</v>
      </c>
      <c r="W285" s="10">
        <v>3.1289353869999002E-2</v>
      </c>
    </row>
    <row r="286" spans="1:23" x14ac:dyDescent="0.3">
      <c r="A286" s="7" t="s">
        <v>1087</v>
      </c>
      <c r="B286" s="7" t="s">
        <v>971</v>
      </c>
      <c r="C286" s="7" t="s">
        <v>1088</v>
      </c>
      <c r="D286" s="7" t="s">
        <v>1089</v>
      </c>
      <c r="E286" s="7" t="s">
        <v>132</v>
      </c>
      <c r="F286" s="8">
        <v>45746</v>
      </c>
      <c r="G286" s="8">
        <v>45746</v>
      </c>
      <c r="H286" s="8">
        <v>45750</v>
      </c>
      <c r="I286" s="7" t="s">
        <v>72</v>
      </c>
      <c r="J286" s="7" t="s">
        <v>2364</v>
      </c>
      <c r="K286" s="7" t="s">
        <v>19</v>
      </c>
      <c r="L286" s="7" t="s">
        <v>23</v>
      </c>
      <c r="M286" s="7" t="s">
        <v>2366</v>
      </c>
      <c r="N286" s="7" t="s">
        <v>27</v>
      </c>
      <c r="O286" s="7" t="s">
        <v>54</v>
      </c>
      <c r="P286" s="7">
        <v>6</v>
      </c>
      <c r="Q286" s="9">
        <v>430</v>
      </c>
      <c r="R286" s="9">
        <v>455.8</v>
      </c>
      <c r="S286" s="10">
        <v>0.02</v>
      </c>
      <c r="T286" s="9">
        <v>2680.1039999999998</v>
      </c>
      <c r="U286" s="9">
        <v>2580</v>
      </c>
      <c r="V286" s="9">
        <v>100.104</v>
      </c>
      <c r="W286" s="10">
        <v>3.73507893723527E-2</v>
      </c>
    </row>
    <row r="287" spans="1:23" x14ac:dyDescent="0.3">
      <c r="A287" s="7" t="s">
        <v>1090</v>
      </c>
      <c r="B287" s="7" t="s">
        <v>474</v>
      </c>
      <c r="C287" s="7" t="s">
        <v>1091</v>
      </c>
      <c r="D287" s="7" t="s">
        <v>1092</v>
      </c>
      <c r="E287" s="7" t="s">
        <v>322</v>
      </c>
      <c r="F287" s="8">
        <v>45659</v>
      </c>
      <c r="G287" s="8">
        <v>45660</v>
      </c>
      <c r="H287" s="8">
        <v>45661</v>
      </c>
      <c r="I287" s="7" t="s">
        <v>82</v>
      </c>
      <c r="J287" s="7" t="s">
        <v>1</v>
      </c>
      <c r="K287" s="7" t="s">
        <v>19</v>
      </c>
      <c r="L287" s="7" t="s">
        <v>25</v>
      </c>
      <c r="M287" s="7" t="s">
        <v>26</v>
      </c>
      <c r="N287" s="7" t="s">
        <v>27</v>
      </c>
      <c r="O287" s="7" t="s">
        <v>28</v>
      </c>
      <c r="P287" s="7">
        <v>1</v>
      </c>
      <c r="Q287" s="9">
        <v>3330</v>
      </c>
      <c r="R287" s="9">
        <v>3629.7</v>
      </c>
      <c r="S287" s="10">
        <v>0.02</v>
      </c>
      <c r="T287" s="9">
        <v>3557.1060000000002</v>
      </c>
      <c r="U287" s="9">
        <v>3330</v>
      </c>
      <c r="V287" s="9">
        <v>227.10599999999999</v>
      </c>
      <c r="W287" s="10">
        <v>6.3845721774948502E-2</v>
      </c>
    </row>
    <row r="288" spans="1:23" x14ac:dyDescent="0.3">
      <c r="A288" s="7" t="s">
        <v>1093</v>
      </c>
      <c r="B288" s="7" t="s">
        <v>1094</v>
      </c>
      <c r="C288" s="7" t="s">
        <v>1095</v>
      </c>
      <c r="D288" s="7" t="s">
        <v>1096</v>
      </c>
      <c r="E288" s="7" t="s">
        <v>164</v>
      </c>
      <c r="F288" s="8">
        <v>45918</v>
      </c>
      <c r="G288" s="8">
        <v>45918</v>
      </c>
      <c r="H288" s="8">
        <v>45923</v>
      </c>
      <c r="I288" s="7" t="s">
        <v>72</v>
      </c>
      <c r="J288" s="7" t="s">
        <v>1</v>
      </c>
      <c r="K288" s="7" t="s">
        <v>21</v>
      </c>
      <c r="L288" s="7" t="s">
        <v>24</v>
      </c>
      <c r="M288" s="7" t="s">
        <v>43</v>
      </c>
      <c r="N288" s="7" t="s">
        <v>27</v>
      </c>
      <c r="O288" s="7" t="s">
        <v>31</v>
      </c>
      <c r="P288" s="7">
        <v>9</v>
      </c>
      <c r="Q288" s="9">
        <v>1630</v>
      </c>
      <c r="R288" s="9">
        <v>1744.1</v>
      </c>
      <c r="S288" s="10">
        <v>0.01</v>
      </c>
      <c r="T288" s="9">
        <v>15539.931</v>
      </c>
      <c r="U288" s="9">
        <v>14670</v>
      </c>
      <c r="V288" s="9">
        <v>869.93100000000004</v>
      </c>
      <c r="W288" s="10">
        <v>5.5980364391579301E-2</v>
      </c>
    </row>
    <row r="289" spans="1:23" x14ac:dyDescent="0.3">
      <c r="A289" s="7" t="s">
        <v>1097</v>
      </c>
      <c r="B289" s="7" t="s">
        <v>1098</v>
      </c>
      <c r="C289" s="7" t="s">
        <v>1099</v>
      </c>
      <c r="D289" s="7" t="s">
        <v>1100</v>
      </c>
      <c r="E289" s="7" t="s">
        <v>114</v>
      </c>
      <c r="F289" s="8">
        <v>45460</v>
      </c>
      <c r="G289" s="8">
        <v>45461</v>
      </c>
      <c r="H289" s="8">
        <v>45462</v>
      </c>
      <c r="I289" s="7" t="s">
        <v>72</v>
      </c>
      <c r="J289" s="7" t="s">
        <v>2364</v>
      </c>
      <c r="K289" s="7" t="s">
        <v>20</v>
      </c>
      <c r="L289" s="7" t="s">
        <v>23</v>
      </c>
      <c r="M289" s="7" t="s">
        <v>51</v>
      </c>
      <c r="N289" s="7" t="s">
        <v>33</v>
      </c>
      <c r="O289" s="7" t="s">
        <v>52</v>
      </c>
      <c r="P289" s="7">
        <v>7</v>
      </c>
      <c r="Q289" s="9">
        <v>280</v>
      </c>
      <c r="R289" s="9">
        <v>336</v>
      </c>
      <c r="S289" s="10">
        <v>0.01</v>
      </c>
      <c r="T289" s="9">
        <v>2328.48</v>
      </c>
      <c r="U289" s="9">
        <v>1960</v>
      </c>
      <c r="V289" s="9">
        <v>368.48</v>
      </c>
      <c r="W289" s="10">
        <v>0.158249158249158</v>
      </c>
    </row>
    <row r="290" spans="1:23" x14ac:dyDescent="0.3">
      <c r="A290" s="7" t="s">
        <v>1101</v>
      </c>
      <c r="B290" s="7" t="s">
        <v>785</v>
      </c>
      <c r="C290" s="7" t="s">
        <v>1102</v>
      </c>
      <c r="D290" s="7" t="s">
        <v>1103</v>
      </c>
      <c r="E290" s="7" t="s">
        <v>217</v>
      </c>
      <c r="F290" s="8">
        <v>45567</v>
      </c>
      <c r="G290" s="8">
        <v>45567</v>
      </c>
      <c r="H290" s="8">
        <v>45571</v>
      </c>
      <c r="I290" s="7" t="s">
        <v>72</v>
      </c>
      <c r="J290" s="7" t="s">
        <v>2364</v>
      </c>
      <c r="K290" s="7" t="s">
        <v>20</v>
      </c>
      <c r="L290" s="7" t="s">
        <v>22</v>
      </c>
      <c r="M290" s="7" t="s">
        <v>29</v>
      </c>
      <c r="N290" s="7" t="s">
        <v>27</v>
      </c>
      <c r="O290" s="7" t="s">
        <v>28</v>
      </c>
      <c r="P290" s="7">
        <v>5</v>
      </c>
      <c r="Q290" s="9">
        <v>3930</v>
      </c>
      <c r="R290" s="9">
        <v>4362.3</v>
      </c>
      <c r="S290" s="10">
        <v>7.0000000000000007E-2</v>
      </c>
      <c r="T290" s="9">
        <v>20284.695</v>
      </c>
      <c r="U290" s="9">
        <v>19650</v>
      </c>
      <c r="V290" s="9">
        <v>634.69500000000005</v>
      </c>
      <c r="W290" s="10">
        <v>3.1289353869999002E-2</v>
      </c>
    </row>
    <row r="291" spans="1:23" x14ac:dyDescent="0.3">
      <c r="A291" s="7" t="s">
        <v>1104</v>
      </c>
      <c r="B291" s="7" t="s">
        <v>68</v>
      </c>
      <c r="C291" s="7" t="s">
        <v>1105</v>
      </c>
      <c r="D291" s="7" t="s">
        <v>1106</v>
      </c>
      <c r="E291" s="7" t="s">
        <v>322</v>
      </c>
      <c r="F291" s="8">
        <v>45762</v>
      </c>
      <c r="G291" s="8">
        <v>45762</v>
      </c>
      <c r="H291" s="8">
        <v>45764</v>
      </c>
      <c r="I291" s="7" t="s">
        <v>72</v>
      </c>
      <c r="J291" s="7" t="s">
        <v>2364</v>
      </c>
      <c r="K291" s="7" t="s">
        <v>20</v>
      </c>
      <c r="L291" s="7" t="s">
        <v>61</v>
      </c>
      <c r="M291" s="7" t="s">
        <v>26</v>
      </c>
      <c r="N291" s="7" t="s">
        <v>27</v>
      </c>
      <c r="O291" s="7" t="s">
        <v>28</v>
      </c>
      <c r="P291" s="7">
        <v>10</v>
      </c>
      <c r="Q291" s="9">
        <v>3330</v>
      </c>
      <c r="R291" s="9">
        <v>3629.7</v>
      </c>
      <c r="S291" s="10">
        <v>0.06</v>
      </c>
      <c r="T291" s="9">
        <v>34119.18</v>
      </c>
      <c r="U291" s="9">
        <v>33300</v>
      </c>
      <c r="V291" s="9">
        <v>819.18</v>
      </c>
      <c r="W291" s="10">
        <v>2.4009369510052701E-2</v>
      </c>
    </row>
    <row r="292" spans="1:23" x14ac:dyDescent="0.3">
      <c r="A292" s="7" t="s">
        <v>1107</v>
      </c>
      <c r="B292" s="7" t="s">
        <v>1108</v>
      </c>
      <c r="C292" s="7" t="s">
        <v>1109</v>
      </c>
      <c r="D292" s="7" t="s">
        <v>1110</v>
      </c>
      <c r="E292" s="7" t="s">
        <v>95</v>
      </c>
      <c r="F292" s="8">
        <v>45498</v>
      </c>
      <c r="G292" s="8">
        <v>45498</v>
      </c>
      <c r="H292" s="8">
        <v>45502</v>
      </c>
      <c r="I292" s="7" t="s">
        <v>72</v>
      </c>
      <c r="J292" s="7" t="s">
        <v>2363</v>
      </c>
      <c r="K292" s="7" t="s">
        <v>21</v>
      </c>
      <c r="L292" s="7" t="s">
        <v>61</v>
      </c>
      <c r="M292" s="7" t="s">
        <v>49</v>
      </c>
      <c r="N292" s="7" t="s">
        <v>33</v>
      </c>
      <c r="O292" s="7" t="s">
        <v>34</v>
      </c>
      <c r="P292" s="7">
        <v>6</v>
      </c>
      <c r="Q292" s="9">
        <v>1080</v>
      </c>
      <c r="R292" s="9">
        <v>1112.4000000000001</v>
      </c>
      <c r="S292" s="10">
        <v>0.06</v>
      </c>
      <c r="T292" s="9">
        <v>6273.9359999999997</v>
      </c>
      <c r="U292" s="9">
        <v>6480</v>
      </c>
      <c r="V292" s="9">
        <v>-206.06399999999999</v>
      </c>
      <c r="W292" s="10">
        <v>-3.2844453625284001E-2</v>
      </c>
    </row>
    <row r="293" spans="1:23" x14ac:dyDescent="0.3">
      <c r="A293" s="7" t="s">
        <v>1111</v>
      </c>
      <c r="B293" s="7" t="s">
        <v>1112</v>
      </c>
      <c r="C293" s="7" t="s">
        <v>1113</v>
      </c>
      <c r="D293" s="7" t="s">
        <v>1114</v>
      </c>
      <c r="E293" s="7" t="s">
        <v>141</v>
      </c>
      <c r="F293" s="8">
        <v>45309</v>
      </c>
      <c r="G293" s="8">
        <v>45309</v>
      </c>
      <c r="H293" s="8">
        <v>45311</v>
      </c>
      <c r="I293" s="7" t="s">
        <v>72</v>
      </c>
      <c r="J293" s="7" t="s">
        <v>1</v>
      </c>
      <c r="K293" s="7" t="s">
        <v>20</v>
      </c>
      <c r="L293" s="7" t="s">
        <v>23</v>
      </c>
      <c r="M293" s="7" t="s">
        <v>35</v>
      </c>
      <c r="N293" s="7" t="s">
        <v>33</v>
      </c>
      <c r="O293" s="7" t="s">
        <v>36</v>
      </c>
      <c r="P293" s="7">
        <v>10</v>
      </c>
      <c r="Q293" s="9">
        <v>1530</v>
      </c>
      <c r="R293" s="9">
        <v>1790.1</v>
      </c>
      <c r="S293" s="10">
        <v>7.0000000000000007E-2</v>
      </c>
      <c r="T293" s="9">
        <v>16647.93</v>
      </c>
      <c r="U293" s="9">
        <v>15300</v>
      </c>
      <c r="V293" s="9">
        <v>1347.93</v>
      </c>
      <c r="W293" s="10">
        <v>8.0966822902306806E-2</v>
      </c>
    </row>
    <row r="294" spans="1:23" x14ac:dyDescent="0.3">
      <c r="A294" s="7" t="s">
        <v>1115</v>
      </c>
      <c r="B294" s="7" t="s">
        <v>335</v>
      </c>
      <c r="C294" s="7" t="s">
        <v>1116</v>
      </c>
      <c r="D294" s="7" t="s">
        <v>1117</v>
      </c>
      <c r="E294" s="7" t="s">
        <v>164</v>
      </c>
      <c r="F294" s="8">
        <v>46164</v>
      </c>
      <c r="G294" s="8">
        <v>46164</v>
      </c>
      <c r="H294" s="8">
        <v>46169</v>
      </c>
      <c r="I294" s="7" t="s">
        <v>72</v>
      </c>
      <c r="J294" s="7" t="s">
        <v>1</v>
      </c>
      <c r="K294" s="7" t="s">
        <v>21</v>
      </c>
      <c r="L294" s="7" t="s">
        <v>23</v>
      </c>
      <c r="M294" s="7" t="s">
        <v>43</v>
      </c>
      <c r="N294" s="7" t="s">
        <v>27</v>
      </c>
      <c r="O294" s="7" t="s">
        <v>31</v>
      </c>
      <c r="P294" s="7">
        <v>6</v>
      </c>
      <c r="Q294" s="9">
        <v>1630</v>
      </c>
      <c r="R294" s="9">
        <v>1744.1</v>
      </c>
      <c r="S294" s="10">
        <v>0.1</v>
      </c>
      <c r="T294" s="9">
        <v>9418.14</v>
      </c>
      <c r="U294" s="9">
        <v>9780</v>
      </c>
      <c r="V294" s="9">
        <v>-361.86</v>
      </c>
      <c r="W294" s="10">
        <v>-3.8421599169262702E-2</v>
      </c>
    </row>
    <row r="295" spans="1:23" x14ac:dyDescent="0.3">
      <c r="A295" s="7" t="s">
        <v>1118</v>
      </c>
      <c r="B295" s="7" t="s">
        <v>134</v>
      </c>
      <c r="C295" s="7" t="s">
        <v>1119</v>
      </c>
      <c r="D295" s="7" t="s">
        <v>1120</v>
      </c>
      <c r="E295" s="7" t="s">
        <v>132</v>
      </c>
      <c r="F295" s="8">
        <v>45486</v>
      </c>
      <c r="G295" s="8">
        <v>45486</v>
      </c>
      <c r="H295" s="8">
        <v>45489</v>
      </c>
      <c r="I295" s="7" t="s">
        <v>72</v>
      </c>
      <c r="J295" s="7" t="s">
        <v>2362</v>
      </c>
      <c r="K295" s="7" t="s">
        <v>19</v>
      </c>
      <c r="L295" s="7" t="s">
        <v>61</v>
      </c>
      <c r="M295" s="7" t="s">
        <v>2366</v>
      </c>
      <c r="N295" s="7" t="s">
        <v>27</v>
      </c>
      <c r="O295" s="7" t="s">
        <v>54</v>
      </c>
      <c r="P295" s="7">
        <v>10</v>
      </c>
      <c r="Q295" s="9">
        <v>430</v>
      </c>
      <c r="R295" s="9">
        <v>455.8</v>
      </c>
      <c r="S295" s="10">
        <v>0.08</v>
      </c>
      <c r="T295" s="9">
        <v>4193.3599999999997</v>
      </c>
      <c r="U295" s="9">
        <v>4300</v>
      </c>
      <c r="V295" s="9">
        <v>-106.64</v>
      </c>
      <c r="W295" s="10">
        <v>-2.5430680885972098E-2</v>
      </c>
    </row>
    <row r="296" spans="1:23" x14ac:dyDescent="0.3">
      <c r="A296" s="7" t="s">
        <v>1121</v>
      </c>
      <c r="B296" s="7" t="s">
        <v>1122</v>
      </c>
      <c r="C296" s="7" t="s">
        <v>1123</v>
      </c>
      <c r="D296" s="7" t="s">
        <v>1124</v>
      </c>
      <c r="E296" s="7" t="s">
        <v>217</v>
      </c>
      <c r="F296" s="8">
        <v>45589</v>
      </c>
      <c r="G296" s="8">
        <v>45589</v>
      </c>
      <c r="H296" s="8">
        <v>45592</v>
      </c>
      <c r="I296" s="7" t="s">
        <v>72</v>
      </c>
      <c r="J296" s="7" t="s">
        <v>1</v>
      </c>
      <c r="K296" s="7" t="s">
        <v>20</v>
      </c>
      <c r="L296" s="7" t="s">
        <v>23</v>
      </c>
      <c r="M296" s="7" t="s">
        <v>29</v>
      </c>
      <c r="N296" s="7" t="s">
        <v>27</v>
      </c>
      <c r="O296" s="7" t="s">
        <v>28</v>
      </c>
      <c r="P296" s="7">
        <v>9</v>
      </c>
      <c r="Q296" s="9">
        <v>3930</v>
      </c>
      <c r="R296" s="9">
        <v>4362.3</v>
      </c>
      <c r="S296" s="10">
        <v>0.1</v>
      </c>
      <c r="T296" s="9">
        <v>35334.629999999997</v>
      </c>
      <c r="U296" s="9">
        <v>35370</v>
      </c>
      <c r="V296" s="9">
        <v>-35.369999999999997</v>
      </c>
      <c r="W296" s="10">
        <v>-1.0010010010009999E-3</v>
      </c>
    </row>
    <row r="297" spans="1:23" x14ac:dyDescent="0.3">
      <c r="A297" s="7" t="s">
        <v>1125</v>
      </c>
      <c r="B297" s="7" t="s">
        <v>1094</v>
      </c>
      <c r="C297" s="7" t="s">
        <v>1126</v>
      </c>
      <c r="D297" s="7" t="s">
        <v>1127</v>
      </c>
      <c r="E297" s="7" t="s">
        <v>87</v>
      </c>
      <c r="F297" s="8">
        <v>45398</v>
      </c>
      <c r="G297" s="8">
        <v>45399</v>
      </c>
      <c r="H297" s="8">
        <v>45403</v>
      </c>
      <c r="I297" s="7" t="s">
        <v>72</v>
      </c>
      <c r="J297" s="7" t="s">
        <v>2362</v>
      </c>
      <c r="K297" s="7" t="s">
        <v>21</v>
      </c>
      <c r="L297" s="7" t="s">
        <v>24</v>
      </c>
      <c r="M297" s="7" t="s">
        <v>30</v>
      </c>
      <c r="N297" s="7" t="s">
        <v>27</v>
      </c>
      <c r="O297" s="7" t="s">
        <v>31</v>
      </c>
      <c r="P297" s="7">
        <v>13</v>
      </c>
      <c r="Q297" s="9">
        <v>1030</v>
      </c>
      <c r="R297" s="9">
        <v>1174.2</v>
      </c>
      <c r="S297" s="10">
        <v>0</v>
      </c>
      <c r="T297" s="9">
        <v>15264.6</v>
      </c>
      <c r="U297" s="9">
        <v>13390</v>
      </c>
      <c r="V297" s="9">
        <v>1874.6</v>
      </c>
      <c r="W297" s="10">
        <v>0.12280701754386</v>
      </c>
    </row>
    <row r="298" spans="1:23" x14ac:dyDescent="0.3">
      <c r="A298" s="7" t="s">
        <v>1128</v>
      </c>
      <c r="B298" s="7" t="s">
        <v>121</v>
      </c>
      <c r="C298" s="7" t="s">
        <v>1129</v>
      </c>
      <c r="D298" s="7" t="s">
        <v>794</v>
      </c>
      <c r="E298" s="7" t="s">
        <v>81</v>
      </c>
      <c r="F298" s="8">
        <v>45982</v>
      </c>
      <c r="G298" s="8">
        <v>45983</v>
      </c>
      <c r="H298" s="8">
        <v>45984</v>
      </c>
      <c r="I298" s="7" t="s">
        <v>82</v>
      </c>
      <c r="J298" s="7" t="s">
        <v>2364</v>
      </c>
      <c r="K298" s="7" t="s">
        <v>19</v>
      </c>
      <c r="L298" s="7" t="s">
        <v>24</v>
      </c>
      <c r="M298" s="7" t="s">
        <v>59</v>
      </c>
      <c r="N298" s="7" t="s">
        <v>27</v>
      </c>
      <c r="O298" s="7" t="s">
        <v>60</v>
      </c>
      <c r="P298" s="7">
        <v>4</v>
      </c>
      <c r="Q298" s="9">
        <v>1230</v>
      </c>
      <c r="R298" s="9">
        <v>1328.4</v>
      </c>
      <c r="S298" s="10">
        <v>0.02</v>
      </c>
      <c r="T298" s="9">
        <v>5207.3280000000004</v>
      </c>
      <c r="U298" s="9">
        <v>4920</v>
      </c>
      <c r="V298" s="9">
        <v>287.32799999999997</v>
      </c>
      <c r="W298" s="10">
        <v>5.5177626606198002E-2</v>
      </c>
    </row>
    <row r="299" spans="1:23" x14ac:dyDescent="0.3">
      <c r="A299" s="7" t="s">
        <v>1130</v>
      </c>
      <c r="B299" s="7" t="s">
        <v>1131</v>
      </c>
      <c r="C299" s="7" t="s">
        <v>1132</v>
      </c>
      <c r="D299" s="7" t="s">
        <v>1133</v>
      </c>
      <c r="E299" s="7" t="s">
        <v>109</v>
      </c>
      <c r="F299" s="8">
        <v>45869</v>
      </c>
      <c r="G299" s="8">
        <v>45870</v>
      </c>
      <c r="H299" s="8">
        <v>45871</v>
      </c>
      <c r="I299" s="7" t="s">
        <v>72</v>
      </c>
      <c r="J299" s="7" t="s">
        <v>2363</v>
      </c>
      <c r="K299" s="7" t="s">
        <v>21</v>
      </c>
      <c r="L299" s="7" t="s">
        <v>22</v>
      </c>
      <c r="M299" s="7" t="s">
        <v>2365</v>
      </c>
      <c r="N299" s="7" t="s">
        <v>27</v>
      </c>
      <c r="O299" s="7" t="s">
        <v>56</v>
      </c>
      <c r="P299" s="7">
        <v>7</v>
      </c>
      <c r="Q299" s="9">
        <v>650</v>
      </c>
      <c r="R299" s="9">
        <v>663</v>
      </c>
      <c r="S299" s="10">
        <v>0.05</v>
      </c>
      <c r="T299" s="9">
        <v>4408.95</v>
      </c>
      <c r="U299" s="9">
        <v>4550</v>
      </c>
      <c r="V299" s="9">
        <v>-141.05000000000001</v>
      </c>
      <c r="W299" s="10">
        <v>-3.1991744066047503E-2</v>
      </c>
    </row>
    <row r="300" spans="1:23" x14ac:dyDescent="0.3">
      <c r="A300" s="7" t="s">
        <v>1134</v>
      </c>
      <c r="B300" s="7" t="s">
        <v>538</v>
      </c>
      <c r="C300" s="7" t="s">
        <v>1135</v>
      </c>
      <c r="D300" s="7" t="s">
        <v>1136</v>
      </c>
      <c r="E300" s="7" t="s">
        <v>95</v>
      </c>
      <c r="F300" s="8">
        <v>46169</v>
      </c>
      <c r="G300" s="8">
        <v>46169</v>
      </c>
      <c r="H300" s="8">
        <v>46172</v>
      </c>
      <c r="I300" s="7" t="s">
        <v>72</v>
      </c>
      <c r="J300" s="7" t="s">
        <v>2362</v>
      </c>
      <c r="K300" s="7" t="s">
        <v>20</v>
      </c>
      <c r="L300" s="7" t="s">
        <v>25</v>
      </c>
      <c r="M300" s="7" t="s">
        <v>49</v>
      </c>
      <c r="N300" s="7" t="s">
        <v>33</v>
      </c>
      <c r="O300" s="7" t="s">
        <v>34</v>
      </c>
      <c r="P300" s="7">
        <v>6</v>
      </c>
      <c r="Q300" s="9">
        <v>1080</v>
      </c>
      <c r="R300" s="9">
        <v>1112.4000000000001</v>
      </c>
      <c r="S300" s="10">
        <v>0</v>
      </c>
      <c r="T300" s="9">
        <v>6674.4</v>
      </c>
      <c r="U300" s="9">
        <v>6480</v>
      </c>
      <c r="V300" s="9">
        <v>194.4</v>
      </c>
      <c r="W300" s="10">
        <v>2.9126213592233E-2</v>
      </c>
    </row>
    <row r="301" spans="1:23" x14ac:dyDescent="0.3">
      <c r="A301" s="7" t="s">
        <v>1137</v>
      </c>
      <c r="B301" s="7" t="s">
        <v>393</v>
      </c>
      <c r="C301" s="7" t="s">
        <v>1138</v>
      </c>
      <c r="D301" s="7" t="s">
        <v>1139</v>
      </c>
      <c r="E301" s="7" t="s">
        <v>95</v>
      </c>
      <c r="F301" s="8">
        <v>45836</v>
      </c>
      <c r="G301" s="8">
        <v>45836</v>
      </c>
      <c r="H301" s="8">
        <v>45838</v>
      </c>
      <c r="I301" s="7" t="s">
        <v>72</v>
      </c>
      <c r="J301" s="7" t="s">
        <v>2364</v>
      </c>
      <c r="K301" s="7" t="s">
        <v>20</v>
      </c>
      <c r="L301" s="7" t="s">
        <v>24</v>
      </c>
      <c r="M301" s="7" t="s">
        <v>49</v>
      </c>
      <c r="N301" s="7" t="s">
        <v>33</v>
      </c>
      <c r="O301" s="7" t="s">
        <v>34</v>
      </c>
      <c r="P301" s="7">
        <v>6</v>
      </c>
      <c r="Q301" s="9">
        <v>1080</v>
      </c>
      <c r="R301" s="9">
        <v>1112.4000000000001</v>
      </c>
      <c r="S301" s="10">
        <v>0.02</v>
      </c>
      <c r="T301" s="9">
        <v>6540.9120000000003</v>
      </c>
      <c r="U301" s="9">
        <v>6480</v>
      </c>
      <c r="V301" s="9">
        <v>60.911999999999999</v>
      </c>
      <c r="W301" s="10">
        <v>9.3124628492173601E-3</v>
      </c>
    </row>
    <row r="302" spans="1:23" x14ac:dyDescent="0.3">
      <c r="A302" s="7" t="s">
        <v>1140</v>
      </c>
      <c r="B302" s="7" t="s">
        <v>679</v>
      </c>
      <c r="C302" s="7" t="s">
        <v>1141</v>
      </c>
      <c r="D302" s="7" t="s">
        <v>317</v>
      </c>
      <c r="E302" s="7" t="s">
        <v>141</v>
      </c>
      <c r="F302" s="8">
        <v>45761</v>
      </c>
      <c r="G302" s="8">
        <v>45762</v>
      </c>
      <c r="H302" s="8">
        <v>45766</v>
      </c>
      <c r="I302" s="7" t="s">
        <v>72</v>
      </c>
      <c r="J302" s="7" t="s">
        <v>2364</v>
      </c>
      <c r="K302" s="7" t="s">
        <v>20</v>
      </c>
      <c r="L302" s="7" t="s">
        <v>23</v>
      </c>
      <c r="M302" s="7" t="s">
        <v>35</v>
      </c>
      <c r="N302" s="7" t="s">
        <v>33</v>
      </c>
      <c r="O302" s="7" t="s">
        <v>36</v>
      </c>
      <c r="P302" s="7">
        <v>9</v>
      </c>
      <c r="Q302" s="9">
        <v>1530</v>
      </c>
      <c r="R302" s="9">
        <v>1790.1</v>
      </c>
      <c r="S302" s="10">
        <v>0.03</v>
      </c>
      <c r="T302" s="9">
        <v>15627.573</v>
      </c>
      <c r="U302" s="9">
        <v>13770</v>
      </c>
      <c r="V302" s="9">
        <v>1857.5730000000001</v>
      </c>
      <c r="W302" s="10">
        <v>0.118865098246542</v>
      </c>
    </row>
    <row r="303" spans="1:23" x14ac:dyDescent="0.3">
      <c r="A303" s="7" t="s">
        <v>1142</v>
      </c>
      <c r="B303" s="7" t="s">
        <v>240</v>
      </c>
      <c r="C303" s="7" t="s">
        <v>1143</v>
      </c>
      <c r="D303" s="7" t="s">
        <v>1144</v>
      </c>
      <c r="E303" s="7" t="s">
        <v>100</v>
      </c>
      <c r="F303" s="8">
        <v>45897</v>
      </c>
      <c r="G303" s="8">
        <v>45898</v>
      </c>
      <c r="H303" s="8">
        <v>45901</v>
      </c>
      <c r="I303" s="7" t="s">
        <v>72</v>
      </c>
      <c r="J303" s="7" t="s">
        <v>2363</v>
      </c>
      <c r="K303" s="7" t="s">
        <v>21</v>
      </c>
      <c r="L303" s="7" t="s">
        <v>24</v>
      </c>
      <c r="M303" s="7" t="s">
        <v>42</v>
      </c>
      <c r="N303" s="7" t="s">
        <v>27</v>
      </c>
      <c r="O303" s="7" t="s">
        <v>28</v>
      </c>
      <c r="P303" s="7">
        <v>11</v>
      </c>
      <c r="Q303" s="9">
        <v>3030</v>
      </c>
      <c r="R303" s="9">
        <v>3211.8</v>
      </c>
      <c r="S303" s="10">
        <v>0.1</v>
      </c>
      <c r="T303" s="9">
        <v>31796.82</v>
      </c>
      <c r="U303" s="9">
        <v>33330</v>
      </c>
      <c r="V303" s="9">
        <v>-1533.18</v>
      </c>
      <c r="W303" s="10">
        <v>-4.8218029350104802E-2</v>
      </c>
    </row>
    <row r="304" spans="1:23" x14ac:dyDescent="0.3">
      <c r="A304" s="7" t="s">
        <v>1145</v>
      </c>
      <c r="B304" s="7" t="s">
        <v>1057</v>
      </c>
      <c r="C304" s="7" t="s">
        <v>1146</v>
      </c>
      <c r="D304" s="7" t="s">
        <v>153</v>
      </c>
      <c r="E304" s="7" t="s">
        <v>322</v>
      </c>
      <c r="F304" s="8">
        <v>46065</v>
      </c>
      <c r="G304" s="8">
        <v>46065</v>
      </c>
      <c r="H304" s="8">
        <v>46069</v>
      </c>
      <c r="I304" s="7" t="s">
        <v>82</v>
      </c>
      <c r="J304" s="7" t="s">
        <v>2</v>
      </c>
      <c r="K304" s="7" t="s">
        <v>19</v>
      </c>
      <c r="L304" s="7" t="s">
        <v>22</v>
      </c>
      <c r="M304" s="7" t="s">
        <v>26</v>
      </c>
      <c r="N304" s="7" t="s">
        <v>27</v>
      </c>
      <c r="O304" s="7" t="s">
        <v>28</v>
      </c>
      <c r="P304" s="7">
        <v>4</v>
      </c>
      <c r="Q304" s="9">
        <v>3330</v>
      </c>
      <c r="R304" s="9">
        <v>3629.7</v>
      </c>
      <c r="S304" s="10">
        <v>0.1</v>
      </c>
      <c r="T304" s="9">
        <v>13066.92</v>
      </c>
      <c r="U304" s="9">
        <v>13320</v>
      </c>
      <c r="V304" s="9">
        <v>-253.08</v>
      </c>
      <c r="W304" s="10">
        <v>-1.9367991845056099E-2</v>
      </c>
    </row>
    <row r="305" spans="1:23" x14ac:dyDescent="0.3">
      <c r="A305" s="7" t="s">
        <v>1147</v>
      </c>
      <c r="B305" s="7" t="s">
        <v>230</v>
      </c>
      <c r="C305" s="7" t="s">
        <v>1148</v>
      </c>
      <c r="D305" s="7" t="s">
        <v>1149</v>
      </c>
      <c r="E305" s="7" t="s">
        <v>192</v>
      </c>
      <c r="F305" s="8">
        <v>45795</v>
      </c>
      <c r="G305" s="8">
        <v>45796</v>
      </c>
      <c r="H305" s="8">
        <v>45797</v>
      </c>
      <c r="I305" s="7" t="s">
        <v>82</v>
      </c>
      <c r="J305" s="7" t="s">
        <v>2</v>
      </c>
      <c r="K305" s="7" t="s">
        <v>20</v>
      </c>
      <c r="L305" s="7" t="s">
        <v>22</v>
      </c>
      <c r="M305" s="7" t="s">
        <v>46</v>
      </c>
      <c r="N305" s="7" t="s">
        <v>38</v>
      </c>
      <c r="O305" s="7" t="s">
        <v>45</v>
      </c>
      <c r="P305" s="7">
        <v>2</v>
      </c>
      <c r="Q305" s="9">
        <v>350</v>
      </c>
      <c r="R305" s="9">
        <v>364</v>
      </c>
      <c r="S305" s="10">
        <v>0.05</v>
      </c>
      <c r="T305" s="9">
        <v>691.6</v>
      </c>
      <c r="U305" s="9">
        <v>700</v>
      </c>
      <c r="V305" s="9">
        <v>-8.4</v>
      </c>
      <c r="W305" s="10">
        <v>-1.21457489878543E-2</v>
      </c>
    </row>
    <row r="306" spans="1:23" x14ac:dyDescent="0.3">
      <c r="A306" s="7" t="s">
        <v>1150</v>
      </c>
      <c r="B306" s="7" t="s">
        <v>381</v>
      </c>
      <c r="C306" s="7" t="s">
        <v>1151</v>
      </c>
      <c r="D306" s="7" t="s">
        <v>1152</v>
      </c>
      <c r="E306" s="7" t="s">
        <v>77</v>
      </c>
      <c r="F306" s="8">
        <v>45455</v>
      </c>
      <c r="G306" s="8">
        <v>45455</v>
      </c>
      <c r="H306" s="8">
        <v>45459</v>
      </c>
      <c r="I306" s="7" t="s">
        <v>72</v>
      </c>
      <c r="J306" s="7" t="s">
        <v>2362</v>
      </c>
      <c r="K306" s="7" t="s">
        <v>20</v>
      </c>
      <c r="L306" s="7" t="s">
        <v>61</v>
      </c>
      <c r="M306" s="7" t="s">
        <v>44</v>
      </c>
      <c r="N306" s="7" t="s">
        <v>38</v>
      </c>
      <c r="O306" s="7" t="s">
        <v>45</v>
      </c>
      <c r="P306" s="7">
        <v>5</v>
      </c>
      <c r="Q306" s="9">
        <v>210</v>
      </c>
      <c r="R306" s="9">
        <v>222.6</v>
      </c>
      <c r="S306" s="10">
        <v>7.0000000000000007E-2</v>
      </c>
      <c r="T306" s="9">
        <v>1035.0899999999999</v>
      </c>
      <c r="U306" s="9">
        <v>1050</v>
      </c>
      <c r="V306" s="9">
        <v>-14.91</v>
      </c>
      <c r="W306" s="10">
        <v>-1.44045445323595E-2</v>
      </c>
    </row>
    <row r="307" spans="1:23" x14ac:dyDescent="0.3">
      <c r="A307" s="7" t="s">
        <v>1153</v>
      </c>
      <c r="B307" s="7" t="s">
        <v>1154</v>
      </c>
      <c r="C307" s="7" t="s">
        <v>1155</v>
      </c>
      <c r="D307" s="7" t="s">
        <v>1156</v>
      </c>
      <c r="E307" s="7" t="s">
        <v>173</v>
      </c>
      <c r="F307" s="8">
        <v>45509</v>
      </c>
      <c r="G307" s="8">
        <v>45510</v>
      </c>
      <c r="H307" s="8">
        <v>45511</v>
      </c>
      <c r="I307" s="7" t="s">
        <v>82</v>
      </c>
      <c r="J307" s="7" t="s">
        <v>2364</v>
      </c>
      <c r="K307" s="7" t="s">
        <v>20</v>
      </c>
      <c r="L307" s="7" t="s">
        <v>23</v>
      </c>
      <c r="M307" s="7" t="s">
        <v>48</v>
      </c>
      <c r="N307" s="7" t="s">
        <v>38</v>
      </c>
      <c r="O307" s="7" t="s">
        <v>41</v>
      </c>
      <c r="P307" s="7">
        <v>1</v>
      </c>
      <c r="Q307" s="9">
        <v>580</v>
      </c>
      <c r="R307" s="9">
        <v>667</v>
      </c>
      <c r="S307" s="10">
        <v>0.09</v>
      </c>
      <c r="T307" s="9">
        <v>606.97</v>
      </c>
      <c r="U307" s="9">
        <v>580</v>
      </c>
      <c r="V307" s="9">
        <v>26.97</v>
      </c>
      <c r="W307" s="10">
        <v>4.4433827042522703E-2</v>
      </c>
    </row>
    <row r="308" spans="1:23" x14ac:dyDescent="0.3">
      <c r="A308" s="7" t="s">
        <v>1157</v>
      </c>
      <c r="B308" s="7" t="s">
        <v>180</v>
      </c>
      <c r="C308" s="7" t="s">
        <v>1158</v>
      </c>
      <c r="D308" s="7" t="s">
        <v>1159</v>
      </c>
      <c r="E308" s="7" t="s">
        <v>119</v>
      </c>
      <c r="F308" s="8">
        <v>46109</v>
      </c>
      <c r="G308" s="8">
        <v>46109</v>
      </c>
      <c r="H308" s="8">
        <v>46114</v>
      </c>
      <c r="I308" s="7" t="s">
        <v>72</v>
      </c>
      <c r="J308" s="7" t="s">
        <v>2364</v>
      </c>
      <c r="K308" s="7" t="s">
        <v>20</v>
      </c>
      <c r="L308" s="7" t="s">
        <v>22</v>
      </c>
      <c r="M308" s="7" t="s">
        <v>37</v>
      </c>
      <c r="N308" s="7" t="s">
        <v>38</v>
      </c>
      <c r="O308" s="7" t="s">
        <v>39</v>
      </c>
      <c r="P308" s="7">
        <v>5</v>
      </c>
      <c r="Q308" s="9">
        <v>250</v>
      </c>
      <c r="R308" s="9">
        <v>270</v>
      </c>
      <c r="S308" s="10">
        <v>0.08</v>
      </c>
      <c r="T308" s="9">
        <v>1242</v>
      </c>
      <c r="U308" s="9">
        <v>1250</v>
      </c>
      <c r="V308" s="9">
        <v>-8</v>
      </c>
      <c r="W308" s="10">
        <v>-6.4412238325281803E-3</v>
      </c>
    </row>
    <row r="309" spans="1:23" x14ac:dyDescent="0.3">
      <c r="A309" s="7" t="s">
        <v>1160</v>
      </c>
      <c r="B309" s="7" t="s">
        <v>709</v>
      </c>
      <c r="C309" s="7" t="s">
        <v>1161</v>
      </c>
      <c r="D309" s="7" t="s">
        <v>1162</v>
      </c>
      <c r="E309" s="7" t="s">
        <v>100</v>
      </c>
      <c r="F309" s="8">
        <v>45895</v>
      </c>
      <c r="G309" s="8">
        <v>45895</v>
      </c>
      <c r="H309" s="8">
        <v>45899</v>
      </c>
      <c r="I309" s="7" t="s">
        <v>72</v>
      </c>
      <c r="J309" s="7" t="s">
        <v>2364</v>
      </c>
      <c r="K309" s="7" t="s">
        <v>19</v>
      </c>
      <c r="L309" s="7" t="s">
        <v>25</v>
      </c>
      <c r="M309" s="7" t="s">
        <v>42</v>
      </c>
      <c r="N309" s="7" t="s">
        <v>27</v>
      </c>
      <c r="O309" s="7" t="s">
        <v>28</v>
      </c>
      <c r="P309" s="7">
        <v>5</v>
      </c>
      <c r="Q309" s="9">
        <v>3030</v>
      </c>
      <c r="R309" s="9">
        <v>3211.8</v>
      </c>
      <c r="S309" s="10">
        <v>0.02</v>
      </c>
      <c r="T309" s="9">
        <v>15737.82</v>
      </c>
      <c r="U309" s="9">
        <v>15150</v>
      </c>
      <c r="V309" s="9">
        <v>587.82000000000005</v>
      </c>
      <c r="W309" s="10">
        <v>3.73507893723527E-2</v>
      </c>
    </row>
    <row r="310" spans="1:23" x14ac:dyDescent="0.3">
      <c r="A310" s="7" t="s">
        <v>1163</v>
      </c>
      <c r="B310" s="7" t="s">
        <v>377</v>
      </c>
      <c r="C310" s="7" t="s">
        <v>1164</v>
      </c>
      <c r="D310" s="7" t="s">
        <v>1165</v>
      </c>
      <c r="E310" s="7" t="s">
        <v>114</v>
      </c>
      <c r="F310" s="8">
        <v>45359</v>
      </c>
      <c r="G310" s="8">
        <v>45359</v>
      </c>
      <c r="H310" s="8">
        <v>45361</v>
      </c>
      <c r="I310" s="7" t="s">
        <v>82</v>
      </c>
      <c r="J310" s="7" t="s">
        <v>2364</v>
      </c>
      <c r="K310" s="7" t="s">
        <v>20</v>
      </c>
      <c r="L310" s="7" t="s">
        <v>22</v>
      </c>
      <c r="M310" s="7" t="s">
        <v>51</v>
      </c>
      <c r="N310" s="7" t="s">
        <v>33</v>
      </c>
      <c r="O310" s="7" t="s">
        <v>52</v>
      </c>
      <c r="P310" s="7">
        <v>2</v>
      </c>
      <c r="Q310" s="9">
        <v>280</v>
      </c>
      <c r="R310" s="9">
        <v>336</v>
      </c>
      <c r="S310" s="10">
        <v>0.04</v>
      </c>
      <c r="T310" s="9">
        <v>645.12</v>
      </c>
      <c r="U310" s="9">
        <v>560</v>
      </c>
      <c r="V310" s="9">
        <v>85.12</v>
      </c>
      <c r="W310" s="10">
        <v>0.131944444444444</v>
      </c>
    </row>
    <row r="311" spans="1:23" x14ac:dyDescent="0.3">
      <c r="A311" s="7" t="s">
        <v>1166</v>
      </c>
      <c r="B311" s="7" t="s">
        <v>1167</v>
      </c>
      <c r="C311" s="7" t="s">
        <v>1168</v>
      </c>
      <c r="D311" s="7" t="s">
        <v>1169</v>
      </c>
      <c r="E311" s="7" t="s">
        <v>81</v>
      </c>
      <c r="F311" s="8">
        <v>45733</v>
      </c>
      <c r="G311" s="8">
        <v>45733</v>
      </c>
      <c r="H311" s="8">
        <v>45738</v>
      </c>
      <c r="I311" s="7" t="s">
        <v>72</v>
      </c>
      <c r="J311" s="7" t="s">
        <v>2363</v>
      </c>
      <c r="K311" s="7" t="s">
        <v>21</v>
      </c>
      <c r="L311" s="7" t="s">
        <v>23</v>
      </c>
      <c r="M311" s="7" t="s">
        <v>59</v>
      </c>
      <c r="N311" s="7" t="s">
        <v>27</v>
      </c>
      <c r="O311" s="7" t="s">
        <v>60</v>
      </c>
      <c r="P311" s="7">
        <v>15</v>
      </c>
      <c r="Q311" s="9">
        <v>1230</v>
      </c>
      <c r="R311" s="9">
        <v>1328.4</v>
      </c>
      <c r="S311" s="10">
        <v>0.04</v>
      </c>
      <c r="T311" s="9">
        <v>19128.96</v>
      </c>
      <c r="U311" s="9">
        <v>18450</v>
      </c>
      <c r="V311" s="9">
        <v>678.96</v>
      </c>
      <c r="W311" s="10">
        <v>3.5493827160493797E-2</v>
      </c>
    </row>
    <row r="312" spans="1:23" x14ac:dyDescent="0.3">
      <c r="A312" s="7" t="s">
        <v>1170</v>
      </c>
      <c r="B312" s="7" t="s">
        <v>1019</v>
      </c>
      <c r="C312" s="7" t="s">
        <v>1171</v>
      </c>
      <c r="D312" s="7" t="s">
        <v>1172</v>
      </c>
      <c r="E312" s="7" t="s">
        <v>187</v>
      </c>
      <c r="F312" s="8">
        <v>45386</v>
      </c>
      <c r="G312" s="8">
        <v>45387</v>
      </c>
      <c r="H312" s="8">
        <v>45388</v>
      </c>
      <c r="I312" s="7" t="s">
        <v>72</v>
      </c>
      <c r="J312" s="7" t="s">
        <v>2</v>
      </c>
      <c r="K312" s="7" t="s">
        <v>21</v>
      </c>
      <c r="L312" s="7" t="s">
        <v>24</v>
      </c>
      <c r="M312" s="7" t="s">
        <v>2367</v>
      </c>
      <c r="N312" s="7" t="s">
        <v>38</v>
      </c>
      <c r="O312" s="7" t="s">
        <v>41</v>
      </c>
      <c r="P312" s="7">
        <v>9</v>
      </c>
      <c r="Q312" s="9">
        <v>170</v>
      </c>
      <c r="R312" s="9">
        <v>188.7</v>
      </c>
      <c r="S312" s="10">
        <v>0.06</v>
      </c>
      <c r="T312" s="9">
        <v>1596.402</v>
      </c>
      <c r="U312" s="9">
        <v>1530</v>
      </c>
      <c r="V312" s="9">
        <v>66.402000000000001</v>
      </c>
      <c r="W312" s="10">
        <v>4.1594786275637299E-2</v>
      </c>
    </row>
    <row r="313" spans="1:23" x14ac:dyDescent="0.3">
      <c r="A313" s="7" t="s">
        <v>1173</v>
      </c>
      <c r="B313" s="7" t="s">
        <v>1174</v>
      </c>
      <c r="C313" s="7" t="s">
        <v>1175</v>
      </c>
      <c r="D313" s="7" t="s">
        <v>1176</v>
      </c>
      <c r="E313" s="7" t="s">
        <v>77</v>
      </c>
      <c r="F313" s="8">
        <v>45928</v>
      </c>
      <c r="G313" s="8">
        <v>45928</v>
      </c>
      <c r="H313" s="8">
        <v>45931</v>
      </c>
      <c r="I313" s="7" t="s">
        <v>82</v>
      </c>
      <c r="J313" s="7" t="s">
        <v>2</v>
      </c>
      <c r="K313" s="7" t="s">
        <v>20</v>
      </c>
      <c r="L313" s="7" t="s">
        <v>61</v>
      </c>
      <c r="M313" s="7" t="s">
        <v>44</v>
      </c>
      <c r="N313" s="7" t="s">
        <v>38</v>
      </c>
      <c r="O313" s="7" t="s">
        <v>45</v>
      </c>
      <c r="P313" s="7">
        <v>1</v>
      </c>
      <c r="Q313" s="9">
        <v>210</v>
      </c>
      <c r="R313" s="9">
        <v>222.6</v>
      </c>
      <c r="S313" s="10">
        <v>0</v>
      </c>
      <c r="T313" s="9">
        <v>222.6</v>
      </c>
      <c r="U313" s="9">
        <v>210</v>
      </c>
      <c r="V313" s="9">
        <v>12.6</v>
      </c>
      <c r="W313" s="10">
        <v>5.6603773584905703E-2</v>
      </c>
    </row>
    <row r="314" spans="1:23" x14ac:dyDescent="0.3">
      <c r="A314" s="7" t="s">
        <v>1177</v>
      </c>
      <c r="B314" s="7" t="s">
        <v>1178</v>
      </c>
      <c r="C314" s="7" t="s">
        <v>1179</v>
      </c>
      <c r="D314" s="7" t="s">
        <v>1180</v>
      </c>
      <c r="E314" s="7" t="s">
        <v>132</v>
      </c>
      <c r="F314" s="8">
        <v>45738</v>
      </c>
      <c r="G314" s="8">
        <v>45738</v>
      </c>
      <c r="H314" s="8">
        <v>45741</v>
      </c>
      <c r="I314" s="7" t="s">
        <v>72</v>
      </c>
      <c r="J314" s="7" t="s">
        <v>2364</v>
      </c>
      <c r="K314" s="7" t="s">
        <v>19</v>
      </c>
      <c r="L314" s="7" t="s">
        <v>25</v>
      </c>
      <c r="M314" s="7" t="s">
        <v>2366</v>
      </c>
      <c r="N314" s="7" t="s">
        <v>27</v>
      </c>
      <c r="O314" s="7" t="s">
        <v>54</v>
      </c>
      <c r="P314" s="7">
        <v>7</v>
      </c>
      <c r="Q314" s="9">
        <v>430</v>
      </c>
      <c r="R314" s="9">
        <v>455.8</v>
      </c>
      <c r="S314" s="10">
        <v>0.01</v>
      </c>
      <c r="T314" s="9">
        <v>3158.694</v>
      </c>
      <c r="U314" s="9">
        <v>3010</v>
      </c>
      <c r="V314" s="9">
        <v>148.69399999999999</v>
      </c>
      <c r="W314" s="10">
        <v>4.7074518772632003E-2</v>
      </c>
    </row>
    <row r="315" spans="1:23" x14ac:dyDescent="0.3">
      <c r="A315" s="7" t="s">
        <v>1181</v>
      </c>
      <c r="B315" s="7" t="s">
        <v>346</v>
      </c>
      <c r="C315" s="7" t="s">
        <v>1182</v>
      </c>
      <c r="D315" s="7" t="s">
        <v>1183</v>
      </c>
      <c r="E315" s="7" t="s">
        <v>71</v>
      </c>
      <c r="F315" s="8">
        <v>45740</v>
      </c>
      <c r="G315" s="8">
        <v>45740</v>
      </c>
      <c r="H315" s="8">
        <v>45743</v>
      </c>
      <c r="I315" s="7" t="s">
        <v>82</v>
      </c>
      <c r="J315" s="7" t="s">
        <v>1</v>
      </c>
      <c r="K315" s="7" t="s">
        <v>20</v>
      </c>
      <c r="L315" s="7" t="s">
        <v>23</v>
      </c>
      <c r="M315" s="7" t="s">
        <v>32</v>
      </c>
      <c r="N315" s="7" t="s">
        <v>33</v>
      </c>
      <c r="O315" s="7" t="s">
        <v>34</v>
      </c>
      <c r="P315" s="7">
        <v>4</v>
      </c>
      <c r="Q315" s="9">
        <v>730</v>
      </c>
      <c r="R315" s="9">
        <v>824.9</v>
      </c>
      <c r="S315" s="10">
        <v>7.0000000000000007E-2</v>
      </c>
      <c r="T315" s="9">
        <v>3068.6280000000002</v>
      </c>
      <c r="U315" s="9">
        <v>2920</v>
      </c>
      <c r="V315" s="9">
        <v>148.62799999999999</v>
      </c>
      <c r="W315" s="10">
        <v>4.8434675040441501E-2</v>
      </c>
    </row>
    <row r="316" spans="1:23" x14ac:dyDescent="0.3">
      <c r="A316" s="7" t="s">
        <v>1184</v>
      </c>
      <c r="B316" s="7" t="s">
        <v>1009</v>
      </c>
      <c r="C316" s="7" t="s">
        <v>1185</v>
      </c>
      <c r="D316" s="7" t="s">
        <v>1186</v>
      </c>
      <c r="E316" s="7" t="s">
        <v>119</v>
      </c>
      <c r="F316" s="8">
        <v>46132</v>
      </c>
      <c r="G316" s="8">
        <v>46133</v>
      </c>
      <c r="H316" s="8">
        <v>46137</v>
      </c>
      <c r="I316" s="7" t="s">
        <v>72</v>
      </c>
      <c r="J316" s="7" t="s">
        <v>2364</v>
      </c>
      <c r="K316" s="7" t="s">
        <v>21</v>
      </c>
      <c r="L316" s="7" t="s">
        <v>24</v>
      </c>
      <c r="M316" s="7" t="s">
        <v>37</v>
      </c>
      <c r="N316" s="7" t="s">
        <v>38</v>
      </c>
      <c r="O316" s="7" t="s">
        <v>39</v>
      </c>
      <c r="P316" s="7">
        <v>12</v>
      </c>
      <c r="Q316" s="9">
        <v>250</v>
      </c>
      <c r="R316" s="9">
        <v>270</v>
      </c>
      <c r="S316" s="10">
        <v>0.02</v>
      </c>
      <c r="T316" s="9">
        <v>3175.2</v>
      </c>
      <c r="U316" s="9">
        <v>3000</v>
      </c>
      <c r="V316" s="9">
        <v>175.2</v>
      </c>
      <c r="W316" s="10">
        <v>5.5177626606198002E-2</v>
      </c>
    </row>
    <row r="317" spans="1:23" x14ac:dyDescent="0.3">
      <c r="A317" s="7" t="s">
        <v>1187</v>
      </c>
      <c r="B317" s="7" t="s">
        <v>400</v>
      </c>
      <c r="C317" s="7" t="s">
        <v>1188</v>
      </c>
      <c r="D317" s="7" t="s">
        <v>1189</v>
      </c>
      <c r="E317" s="7" t="s">
        <v>81</v>
      </c>
      <c r="F317" s="8">
        <v>46175</v>
      </c>
      <c r="G317" s="8">
        <v>46175</v>
      </c>
      <c r="H317" s="8">
        <v>46178</v>
      </c>
      <c r="I317" s="7" t="s">
        <v>82</v>
      </c>
      <c r="J317" s="7" t="s">
        <v>1</v>
      </c>
      <c r="K317" s="7" t="s">
        <v>19</v>
      </c>
      <c r="L317" s="7" t="s">
        <v>22</v>
      </c>
      <c r="M317" s="7" t="s">
        <v>59</v>
      </c>
      <c r="N317" s="7" t="s">
        <v>27</v>
      </c>
      <c r="O317" s="7" t="s">
        <v>60</v>
      </c>
      <c r="P317" s="7">
        <v>1</v>
      </c>
      <c r="Q317" s="9">
        <v>1230</v>
      </c>
      <c r="R317" s="9">
        <v>1328.4</v>
      </c>
      <c r="S317" s="10">
        <v>0.1</v>
      </c>
      <c r="T317" s="9">
        <v>1195.56</v>
      </c>
      <c r="U317" s="9">
        <v>1230</v>
      </c>
      <c r="V317" s="9">
        <v>-34.44</v>
      </c>
      <c r="W317" s="10">
        <v>-2.8806584362139901E-2</v>
      </c>
    </row>
    <row r="318" spans="1:23" x14ac:dyDescent="0.3">
      <c r="A318" s="7" t="s">
        <v>1190</v>
      </c>
      <c r="B318" s="7" t="s">
        <v>709</v>
      </c>
      <c r="C318" s="7" t="s">
        <v>1191</v>
      </c>
      <c r="D318" s="7" t="s">
        <v>1192</v>
      </c>
      <c r="E318" s="7" t="s">
        <v>77</v>
      </c>
      <c r="F318" s="8">
        <v>45542</v>
      </c>
      <c r="G318" s="8">
        <v>45543</v>
      </c>
      <c r="H318" s="8">
        <v>45547</v>
      </c>
      <c r="I318" s="7" t="s">
        <v>72</v>
      </c>
      <c r="J318" s="7" t="s">
        <v>2362</v>
      </c>
      <c r="K318" s="7" t="s">
        <v>19</v>
      </c>
      <c r="L318" s="7" t="s">
        <v>23</v>
      </c>
      <c r="M318" s="7" t="s">
        <v>44</v>
      </c>
      <c r="N318" s="7" t="s">
        <v>38</v>
      </c>
      <c r="O318" s="7" t="s">
        <v>45</v>
      </c>
      <c r="P318" s="7">
        <v>6</v>
      </c>
      <c r="Q318" s="9">
        <v>210</v>
      </c>
      <c r="R318" s="9">
        <v>222.6</v>
      </c>
      <c r="S318" s="10">
        <v>0.03</v>
      </c>
      <c r="T318" s="9">
        <v>1295.5319999999999</v>
      </c>
      <c r="U318" s="9">
        <v>1260</v>
      </c>
      <c r="V318" s="9">
        <v>35.531999999999996</v>
      </c>
      <c r="W318" s="10">
        <v>2.74265707060883E-2</v>
      </c>
    </row>
    <row r="319" spans="1:23" x14ac:dyDescent="0.3">
      <c r="A319" s="7" t="s">
        <v>1193</v>
      </c>
      <c r="B319" s="7" t="s">
        <v>420</v>
      </c>
      <c r="C319" s="7" t="s">
        <v>1194</v>
      </c>
      <c r="D319" s="7" t="s">
        <v>1195</v>
      </c>
      <c r="E319" s="7" t="s">
        <v>164</v>
      </c>
      <c r="F319" s="8">
        <v>45937</v>
      </c>
      <c r="G319" s="8">
        <v>45938</v>
      </c>
      <c r="H319" s="8">
        <v>45942</v>
      </c>
      <c r="I319" s="7" t="s">
        <v>72</v>
      </c>
      <c r="J319" s="7" t="s">
        <v>2364</v>
      </c>
      <c r="K319" s="7" t="s">
        <v>19</v>
      </c>
      <c r="L319" s="7" t="s">
        <v>23</v>
      </c>
      <c r="M319" s="7" t="s">
        <v>43</v>
      </c>
      <c r="N319" s="7" t="s">
        <v>27</v>
      </c>
      <c r="O319" s="7" t="s">
        <v>31</v>
      </c>
      <c r="P319" s="7">
        <v>7</v>
      </c>
      <c r="Q319" s="9">
        <v>1630</v>
      </c>
      <c r="R319" s="9">
        <v>1744.1</v>
      </c>
      <c r="S319" s="10">
        <v>0.08</v>
      </c>
      <c r="T319" s="9">
        <v>11232.004000000001</v>
      </c>
      <c r="U319" s="9">
        <v>11410</v>
      </c>
      <c r="V319" s="9">
        <v>-177.99600000000001</v>
      </c>
      <c r="W319" s="10">
        <v>-1.5847216578626599E-2</v>
      </c>
    </row>
    <row r="320" spans="1:23" x14ac:dyDescent="0.3">
      <c r="A320" s="7" t="s">
        <v>1196</v>
      </c>
      <c r="B320" s="7" t="s">
        <v>97</v>
      </c>
      <c r="C320" s="7" t="s">
        <v>1197</v>
      </c>
      <c r="D320" s="7" t="s">
        <v>869</v>
      </c>
      <c r="E320" s="7" t="s">
        <v>109</v>
      </c>
      <c r="F320" s="8">
        <v>45375</v>
      </c>
      <c r="G320" s="8">
        <v>45376</v>
      </c>
      <c r="H320" s="8">
        <v>45379</v>
      </c>
      <c r="I320" s="7" t="s">
        <v>72</v>
      </c>
      <c r="J320" s="7" t="s">
        <v>1</v>
      </c>
      <c r="K320" s="7" t="s">
        <v>19</v>
      </c>
      <c r="L320" s="7" t="s">
        <v>22</v>
      </c>
      <c r="M320" s="7" t="s">
        <v>2365</v>
      </c>
      <c r="N320" s="7" t="s">
        <v>27</v>
      </c>
      <c r="O320" s="7" t="s">
        <v>56</v>
      </c>
      <c r="P320" s="7">
        <v>10</v>
      </c>
      <c r="Q320" s="9">
        <v>650</v>
      </c>
      <c r="R320" s="9">
        <v>663</v>
      </c>
      <c r="S320" s="10">
        <v>0.04</v>
      </c>
      <c r="T320" s="9">
        <v>6364.8</v>
      </c>
      <c r="U320" s="9">
        <v>6500</v>
      </c>
      <c r="V320" s="9">
        <v>-135.19999999999999</v>
      </c>
      <c r="W320" s="10">
        <v>-2.1241830065359499E-2</v>
      </c>
    </row>
    <row r="321" spans="1:23" x14ac:dyDescent="0.3">
      <c r="A321" s="7" t="s">
        <v>1198</v>
      </c>
      <c r="B321" s="7" t="s">
        <v>68</v>
      </c>
      <c r="C321" s="7" t="s">
        <v>1199</v>
      </c>
      <c r="D321" s="7" t="s">
        <v>1200</v>
      </c>
      <c r="E321" s="7" t="s">
        <v>114</v>
      </c>
      <c r="F321" s="8">
        <v>45496</v>
      </c>
      <c r="G321" s="8">
        <v>45497</v>
      </c>
      <c r="H321" s="8">
        <v>45501</v>
      </c>
      <c r="I321" s="7" t="s">
        <v>72</v>
      </c>
      <c r="J321" s="7" t="s">
        <v>2363</v>
      </c>
      <c r="K321" s="7" t="s">
        <v>19</v>
      </c>
      <c r="L321" s="7" t="s">
        <v>61</v>
      </c>
      <c r="M321" s="7" t="s">
        <v>51</v>
      </c>
      <c r="N321" s="7" t="s">
        <v>33</v>
      </c>
      <c r="O321" s="7" t="s">
        <v>52</v>
      </c>
      <c r="P321" s="7">
        <v>8</v>
      </c>
      <c r="Q321" s="9">
        <v>280</v>
      </c>
      <c r="R321" s="9">
        <v>336</v>
      </c>
      <c r="S321" s="10">
        <v>0.1</v>
      </c>
      <c r="T321" s="9">
        <v>2419.1999999999998</v>
      </c>
      <c r="U321" s="9">
        <v>2240</v>
      </c>
      <c r="V321" s="9">
        <v>179.2</v>
      </c>
      <c r="W321" s="10">
        <v>7.4074074074074098E-2</v>
      </c>
    </row>
    <row r="322" spans="1:23" x14ac:dyDescent="0.3">
      <c r="A322" s="7" t="s">
        <v>1201</v>
      </c>
      <c r="B322" s="7" t="s">
        <v>442</v>
      </c>
      <c r="C322" s="7" t="s">
        <v>1202</v>
      </c>
      <c r="D322" s="7" t="s">
        <v>1203</v>
      </c>
      <c r="E322" s="7" t="s">
        <v>164</v>
      </c>
      <c r="F322" s="8">
        <v>46187</v>
      </c>
      <c r="G322" s="8">
        <v>46187</v>
      </c>
      <c r="H322" s="8">
        <v>46192</v>
      </c>
      <c r="I322" s="7" t="s">
        <v>82</v>
      </c>
      <c r="J322" s="7" t="s">
        <v>2</v>
      </c>
      <c r="K322" s="7" t="s">
        <v>20</v>
      </c>
      <c r="L322" s="7" t="s">
        <v>24</v>
      </c>
      <c r="M322" s="7" t="s">
        <v>43</v>
      </c>
      <c r="N322" s="7" t="s">
        <v>27</v>
      </c>
      <c r="O322" s="7" t="s">
        <v>31</v>
      </c>
      <c r="P322" s="7">
        <v>2</v>
      </c>
      <c r="Q322" s="9">
        <v>1630</v>
      </c>
      <c r="R322" s="9">
        <v>1744.1</v>
      </c>
      <c r="S322" s="10">
        <v>0.04</v>
      </c>
      <c r="T322" s="9">
        <v>3348.672</v>
      </c>
      <c r="U322" s="9">
        <v>3260</v>
      </c>
      <c r="V322" s="9">
        <v>88.671999999999997</v>
      </c>
      <c r="W322" s="10">
        <v>2.6479750778816199E-2</v>
      </c>
    </row>
    <row r="323" spans="1:23" x14ac:dyDescent="0.3">
      <c r="A323" s="7" t="s">
        <v>1204</v>
      </c>
      <c r="B323" s="7" t="s">
        <v>134</v>
      </c>
      <c r="C323" s="7" t="s">
        <v>1205</v>
      </c>
      <c r="D323" s="7" t="s">
        <v>1206</v>
      </c>
      <c r="E323" s="7" t="s">
        <v>119</v>
      </c>
      <c r="F323" s="8">
        <v>45965</v>
      </c>
      <c r="G323" s="8">
        <v>45965</v>
      </c>
      <c r="H323" s="8">
        <v>45968</v>
      </c>
      <c r="I323" s="7" t="s">
        <v>72</v>
      </c>
      <c r="J323" s="7" t="s">
        <v>1</v>
      </c>
      <c r="K323" s="7" t="s">
        <v>21</v>
      </c>
      <c r="L323" s="7" t="s">
        <v>24</v>
      </c>
      <c r="M323" s="7" t="s">
        <v>37</v>
      </c>
      <c r="N323" s="7" t="s">
        <v>38</v>
      </c>
      <c r="O323" s="7" t="s">
        <v>39</v>
      </c>
      <c r="P323" s="7">
        <v>5</v>
      </c>
      <c r="Q323" s="9">
        <v>250</v>
      </c>
      <c r="R323" s="9">
        <v>270</v>
      </c>
      <c r="S323" s="10">
        <v>7.0000000000000007E-2</v>
      </c>
      <c r="T323" s="9">
        <v>1255.5</v>
      </c>
      <c r="U323" s="9">
        <v>1250</v>
      </c>
      <c r="V323" s="9">
        <v>5.5</v>
      </c>
      <c r="W323" s="10">
        <v>4.3807248108323404E-3</v>
      </c>
    </row>
    <row r="324" spans="1:23" x14ac:dyDescent="0.3">
      <c r="A324" s="7" t="s">
        <v>1207</v>
      </c>
      <c r="B324" s="7" t="s">
        <v>435</v>
      </c>
      <c r="C324" s="7" t="s">
        <v>1208</v>
      </c>
      <c r="D324" s="7" t="s">
        <v>1209</v>
      </c>
      <c r="E324" s="7" t="s">
        <v>71</v>
      </c>
      <c r="F324" s="8">
        <v>45716</v>
      </c>
      <c r="G324" s="8">
        <v>45717</v>
      </c>
      <c r="H324" s="8">
        <v>45720</v>
      </c>
      <c r="I324" s="7" t="s">
        <v>72</v>
      </c>
      <c r="J324" s="7" t="s">
        <v>2364</v>
      </c>
      <c r="K324" s="7" t="s">
        <v>21</v>
      </c>
      <c r="L324" s="7" t="s">
        <v>22</v>
      </c>
      <c r="M324" s="7" t="s">
        <v>32</v>
      </c>
      <c r="N324" s="7" t="s">
        <v>33</v>
      </c>
      <c r="O324" s="7" t="s">
        <v>34</v>
      </c>
      <c r="P324" s="7">
        <v>14</v>
      </c>
      <c r="Q324" s="9">
        <v>730</v>
      </c>
      <c r="R324" s="9">
        <v>824.9</v>
      </c>
      <c r="S324" s="10">
        <v>0.06</v>
      </c>
      <c r="T324" s="9">
        <v>10855.683999999999</v>
      </c>
      <c r="U324" s="9">
        <v>10220</v>
      </c>
      <c r="V324" s="9">
        <v>635.68399999999997</v>
      </c>
      <c r="W324" s="10">
        <v>5.85577104123517E-2</v>
      </c>
    </row>
    <row r="325" spans="1:23" x14ac:dyDescent="0.3">
      <c r="A325" s="7" t="s">
        <v>1210</v>
      </c>
      <c r="B325" s="7" t="s">
        <v>424</v>
      </c>
      <c r="C325" s="7" t="s">
        <v>1211</v>
      </c>
      <c r="D325" s="7" t="s">
        <v>1212</v>
      </c>
      <c r="E325" s="7" t="s">
        <v>164</v>
      </c>
      <c r="F325" s="8">
        <v>45816</v>
      </c>
      <c r="G325" s="8">
        <v>45816</v>
      </c>
      <c r="H325" s="8">
        <v>45818</v>
      </c>
      <c r="I325" s="7" t="s">
        <v>72</v>
      </c>
      <c r="J325" s="7" t="s">
        <v>2362</v>
      </c>
      <c r="K325" s="7" t="s">
        <v>21</v>
      </c>
      <c r="L325" s="7" t="s">
        <v>22</v>
      </c>
      <c r="M325" s="7" t="s">
        <v>43</v>
      </c>
      <c r="N325" s="7" t="s">
        <v>27</v>
      </c>
      <c r="O325" s="7" t="s">
        <v>31</v>
      </c>
      <c r="P325" s="7">
        <v>15</v>
      </c>
      <c r="Q325" s="9">
        <v>1630</v>
      </c>
      <c r="R325" s="9">
        <v>1744.1</v>
      </c>
      <c r="S325" s="10">
        <v>0.1</v>
      </c>
      <c r="T325" s="9">
        <v>23545.35</v>
      </c>
      <c r="U325" s="9">
        <v>24450</v>
      </c>
      <c r="V325" s="9">
        <v>-904.65</v>
      </c>
      <c r="W325" s="10">
        <v>-3.8421599169262702E-2</v>
      </c>
    </row>
    <row r="326" spans="1:23" x14ac:dyDescent="0.3">
      <c r="A326" s="7" t="s">
        <v>1213</v>
      </c>
      <c r="B326" s="7" t="s">
        <v>1112</v>
      </c>
      <c r="C326" s="7" t="s">
        <v>1214</v>
      </c>
      <c r="D326" s="7" t="s">
        <v>1215</v>
      </c>
      <c r="E326" s="7" t="s">
        <v>322</v>
      </c>
      <c r="F326" s="8">
        <v>46048</v>
      </c>
      <c r="G326" s="8">
        <v>46049</v>
      </c>
      <c r="H326" s="8">
        <v>46053</v>
      </c>
      <c r="I326" s="7" t="s">
        <v>82</v>
      </c>
      <c r="J326" s="7" t="s">
        <v>2364</v>
      </c>
      <c r="K326" s="7" t="s">
        <v>19</v>
      </c>
      <c r="L326" s="7" t="s">
        <v>23</v>
      </c>
      <c r="M326" s="7" t="s">
        <v>26</v>
      </c>
      <c r="N326" s="7" t="s">
        <v>27</v>
      </c>
      <c r="O326" s="7" t="s">
        <v>28</v>
      </c>
      <c r="P326" s="7">
        <v>4</v>
      </c>
      <c r="Q326" s="9">
        <v>3330</v>
      </c>
      <c r="R326" s="9">
        <v>3629.7</v>
      </c>
      <c r="S326" s="10">
        <v>0.03</v>
      </c>
      <c r="T326" s="9">
        <v>14083.236000000001</v>
      </c>
      <c r="U326" s="9">
        <v>13320</v>
      </c>
      <c r="V326" s="9">
        <v>763.23599999999999</v>
      </c>
      <c r="W326" s="10">
        <v>5.4194646741700603E-2</v>
      </c>
    </row>
    <row r="327" spans="1:23" x14ac:dyDescent="0.3">
      <c r="A327" s="7" t="s">
        <v>1216</v>
      </c>
      <c r="B327" s="7" t="s">
        <v>350</v>
      </c>
      <c r="C327" s="7" t="s">
        <v>1217</v>
      </c>
      <c r="D327" s="7" t="s">
        <v>1218</v>
      </c>
      <c r="E327" s="7" t="s">
        <v>87</v>
      </c>
      <c r="F327" s="8">
        <v>45759</v>
      </c>
      <c r="G327" s="8">
        <v>45759</v>
      </c>
      <c r="H327" s="8">
        <v>45763</v>
      </c>
      <c r="I327" s="7" t="s">
        <v>72</v>
      </c>
      <c r="J327" s="7" t="s">
        <v>2364</v>
      </c>
      <c r="K327" s="7" t="s">
        <v>21</v>
      </c>
      <c r="L327" s="7" t="s">
        <v>22</v>
      </c>
      <c r="M327" s="7" t="s">
        <v>30</v>
      </c>
      <c r="N327" s="7" t="s">
        <v>27</v>
      </c>
      <c r="O327" s="7" t="s">
        <v>31</v>
      </c>
      <c r="P327" s="7">
        <v>8</v>
      </c>
      <c r="Q327" s="9">
        <v>1030</v>
      </c>
      <c r="R327" s="9">
        <v>1174.2</v>
      </c>
      <c r="S327" s="10">
        <v>0.05</v>
      </c>
      <c r="T327" s="9">
        <v>8923.92</v>
      </c>
      <c r="U327" s="9">
        <v>8240</v>
      </c>
      <c r="V327" s="9">
        <v>683.92</v>
      </c>
      <c r="W327" s="10">
        <v>7.6638965835641698E-2</v>
      </c>
    </row>
    <row r="328" spans="1:23" x14ac:dyDescent="0.3">
      <c r="A328" s="7" t="s">
        <v>1219</v>
      </c>
      <c r="B328" s="7" t="s">
        <v>828</v>
      </c>
      <c r="C328" s="7" t="s">
        <v>1220</v>
      </c>
      <c r="D328" s="7" t="s">
        <v>1221</v>
      </c>
      <c r="E328" s="7" t="s">
        <v>322</v>
      </c>
      <c r="F328" s="8">
        <v>45744</v>
      </c>
      <c r="G328" s="8">
        <v>45744</v>
      </c>
      <c r="H328" s="8">
        <v>45746</v>
      </c>
      <c r="I328" s="7" t="s">
        <v>72</v>
      </c>
      <c r="J328" s="7" t="s">
        <v>2363</v>
      </c>
      <c r="K328" s="7" t="s">
        <v>20</v>
      </c>
      <c r="L328" s="7" t="s">
        <v>22</v>
      </c>
      <c r="M328" s="7" t="s">
        <v>26</v>
      </c>
      <c r="N328" s="7" t="s">
        <v>27</v>
      </c>
      <c r="O328" s="7" t="s">
        <v>28</v>
      </c>
      <c r="P328" s="7">
        <v>8</v>
      </c>
      <c r="Q328" s="9">
        <v>3330</v>
      </c>
      <c r="R328" s="9">
        <v>3629.7</v>
      </c>
      <c r="S328" s="10">
        <v>0.03</v>
      </c>
      <c r="T328" s="9">
        <v>28166.472000000002</v>
      </c>
      <c r="U328" s="9">
        <v>26640</v>
      </c>
      <c r="V328" s="9">
        <v>1526.472</v>
      </c>
      <c r="W328" s="10">
        <v>5.4194646741700603E-2</v>
      </c>
    </row>
    <row r="329" spans="1:23" x14ac:dyDescent="0.3">
      <c r="A329" s="7" t="s">
        <v>1222</v>
      </c>
      <c r="B329" s="7" t="s">
        <v>1154</v>
      </c>
      <c r="C329" s="7" t="s">
        <v>1223</v>
      </c>
      <c r="D329" s="7" t="s">
        <v>1224</v>
      </c>
      <c r="E329" s="7" t="s">
        <v>141</v>
      </c>
      <c r="F329" s="8">
        <v>45791</v>
      </c>
      <c r="G329" s="8">
        <v>45792</v>
      </c>
      <c r="H329" s="8">
        <v>45793</v>
      </c>
      <c r="I329" s="7" t="s">
        <v>82</v>
      </c>
      <c r="J329" s="7" t="s">
        <v>1</v>
      </c>
      <c r="K329" s="7" t="s">
        <v>19</v>
      </c>
      <c r="L329" s="7" t="s">
        <v>23</v>
      </c>
      <c r="M329" s="7" t="s">
        <v>35</v>
      </c>
      <c r="N329" s="7" t="s">
        <v>33</v>
      </c>
      <c r="O329" s="7" t="s">
        <v>36</v>
      </c>
      <c r="P329" s="7">
        <v>4</v>
      </c>
      <c r="Q329" s="9">
        <v>1530</v>
      </c>
      <c r="R329" s="9">
        <v>1790.1</v>
      </c>
      <c r="S329" s="10">
        <v>0.01</v>
      </c>
      <c r="T329" s="9">
        <v>7088.7960000000003</v>
      </c>
      <c r="U329" s="9">
        <v>6120</v>
      </c>
      <c r="V329" s="9">
        <v>968.79600000000005</v>
      </c>
      <c r="W329" s="10">
        <v>0.13666580333247</v>
      </c>
    </row>
    <row r="330" spans="1:23" x14ac:dyDescent="0.3">
      <c r="A330" s="7" t="s">
        <v>1225</v>
      </c>
      <c r="B330" s="7" t="s">
        <v>1226</v>
      </c>
      <c r="C330" s="7" t="s">
        <v>1227</v>
      </c>
      <c r="D330" s="7" t="s">
        <v>1228</v>
      </c>
      <c r="E330" s="7" t="s">
        <v>71</v>
      </c>
      <c r="F330" s="8">
        <v>45895</v>
      </c>
      <c r="G330" s="8">
        <v>45896</v>
      </c>
      <c r="H330" s="8">
        <v>45897</v>
      </c>
      <c r="I330" s="7" t="s">
        <v>72</v>
      </c>
      <c r="J330" s="7" t="s">
        <v>2364</v>
      </c>
      <c r="K330" s="7" t="s">
        <v>21</v>
      </c>
      <c r="L330" s="7" t="s">
        <v>61</v>
      </c>
      <c r="M330" s="7" t="s">
        <v>32</v>
      </c>
      <c r="N330" s="7" t="s">
        <v>33</v>
      </c>
      <c r="O330" s="7" t="s">
        <v>34</v>
      </c>
      <c r="P330" s="7">
        <v>11</v>
      </c>
      <c r="Q330" s="9">
        <v>730</v>
      </c>
      <c r="R330" s="9">
        <v>824.9</v>
      </c>
      <c r="S330" s="10">
        <v>0</v>
      </c>
      <c r="T330" s="9">
        <v>9073.9</v>
      </c>
      <c r="U330" s="9">
        <v>8030</v>
      </c>
      <c r="V330" s="9">
        <v>1043.9000000000001</v>
      </c>
      <c r="W330" s="10">
        <v>0.11504424778761101</v>
      </c>
    </row>
    <row r="331" spans="1:23" x14ac:dyDescent="0.3">
      <c r="A331" s="7" t="s">
        <v>1229</v>
      </c>
      <c r="B331" s="7" t="s">
        <v>393</v>
      </c>
      <c r="C331" s="7" t="s">
        <v>1230</v>
      </c>
      <c r="D331" s="7" t="s">
        <v>1231</v>
      </c>
      <c r="E331" s="7" t="s">
        <v>81</v>
      </c>
      <c r="F331" s="8">
        <v>45570</v>
      </c>
      <c r="G331" s="8">
        <v>45571</v>
      </c>
      <c r="H331" s="8">
        <v>45574</v>
      </c>
      <c r="I331" s="7" t="s">
        <v>72</v>
      </c>
      <c r="J331" s="7" t="s">
        <v>2</v>
      </c>
      <c r="K331" s="7" t="s">
        <v>21</v>
      </c>
      <c r="L331" s="7" t="s">
        <v>25</v>
      </c>
      <c r="M331" s="7" t="s">
        <v>59</v>
      </c>
      <c r="N331" s="7" t="s">
        <v>27</v>
      </c>
      <c r="O331" s="7" t="s">
        <v>60</v>
      </c>
      <c r="P331" s="7">
        <v>13</v>
      </c>
      <c r="Q331" s="9">
        <v>1230</v>
      </c>
      <c r="R331" s="9">
        <v>1328.4</v>
      </c>
      <c r="S331" s="10">
        <v>0.05</v>
      </c>
      <c r="T331" s="9">
        <v>16405.740000000002</v>
      </c>
      <c r="U331" s="9">
        <v>15990</v>
      </c>
      <c r="V331" s="9">
        <v>415.74</v>
      </c>
      <c r="W331" s="10">
        <v>2.5341130604288501E-2</v>
      </c>
    </row>
    <row r="332" spans="1:23" x14ac:dyDescent="0.3">
      <c r="A332" s="7" t="s">
        <v>1232</v>
      </c>
      <c r="B332" s="7" t="s">
        <v>424</v>
      </c>
      <c r="C332" s="7" t="s">
        <v>1233</v>
      </c>
      <c r="D332" s="7" t="s">
        <v>1234</v>
      </c>
      <c r="E332" s="7" t="s">
        <v>178</v>
      </c>
      <c r="F332" s="8">
        <v>46165</v>
      </c>
      <c r="G332" s="8">
        <v>46165</v>
      </c>
      <c r="H332" s="8">
        <v>46169</v>
      </c>
      <c r="I332" s="7" t="s">
        <v>72</v>
      </c>
      <c r="J332" s="7" t="s">
        <v>2363</v>
      </c>
      <c r="K332" s="7" t="s">
        <v>20</v>
      </c>
      <c r="L332" s="7" t="s">
        <v>22</v>
      </c>
      <c r="M332" s="7" t="s">
        <v>47</v>
      </c>
      <c r="N332" s="7" t="s">
        <v>38</v>
      </c>
      <c r="O332" s="7" t="s">
        <v>39</v>
      </c>
      <c r="P332" s="7">
        <v>5</v>
      </c>
      <c r="Q332" s="9">
        <v>390</v>
      </c>
      <c r="R332" s="9">
        <v>468</v>
      </c>
      <c r="S332" s="10">
        <v>0.06</v>
      </c>
      <c r="T332" s="9">
        <v>2199.6</v>
      </c>
      <c r="U332" s="9">
        <v>1950</v>
      </c>
      <c r="V332" s="9">
        <v>249.6</v>
      </c>
      <c r="W332" s="10">
        <v>0.11347517730496499</v>
      </c>
    </row>
    <row r="333" spans="1:23" x14ac:dyDescent="0.3">
      <c r="A333" s="7" t="s">
        <v>1235</v>
      </c>
      <c r="B333" s="7" t="s">
        <v>490</v>
      </c>
      <c r="C333" s="7" t="s">
        <v>1236</v>
      </c>
      <c r="D333" s="7" t="s">
        <v>1237</v>
      </c>
      <c r="E333" s="7" t="s">
        <v>77</v>
      </c>
      <c r="F333" s="8">
        <v>45566</v>
      </c>
      <c r="G333" s="8">
        <v>45566</v>
      </c>
      <c r="H333" s="8">
        <v>45571</v>
      </c>
      <c r="I333" s="7" t="s">
        <v>72</v>
      </c>
      <c r="J333" s="7" t="s">
        <v>2364</v>
      </c>
      <c r="K333" s="7" t="s">
        <v>20</v>
      </c>
      <c r="L333" s="7" t="s">
        <v>61</v>
      </c>
      <c r="M333" s="7" t="s">
        <v>44</v>
      </c>
      <c r="N333" s="7" t="s">
        <v>38</v>
      </c>
      <c r="O333" s="7" t="s">
        <v>45</v>
      </c>
      <c r="P333" s="7">
        <v>6</v>
      </c>
      <c r="Q333" s="9">
        <v>210</v>
      </c>
      <c r="R333" s="9">
        <v>222.6</v>
      </c>
      <c r="S333" s="10">
        <v>0.09</v>
      </c>
      <c r="T333" s="9">
        <v>1215.396</v>
      </c>
      <c r="U333" s="9">
        <v>1260</v>
      </c>
      <c r="V333" s="9">
        <v>-44.603999999999999</v>
      </c>
      <c r="W333" s="10">
        <v>-3.66991499066971E-2</v>
      </c>
    </row>
    <row r="334" spans="1:23" x14ac:dyDescent="0.3">
      <c r="A334" s="7" t="s">
        <v>1238</v>
      </c>
      <c r="B334" s="7" t="s">
        <v>125</v>
      </c>
      <c r="C334" s="7" t="s">
        <v>1239</v>
      </c>
      <c r="D334" s="7" t="s">
        <v>1152</v>
      </c>
      <c r="E334" s="7" t="s">
        <v>217</v>
      </c>
      <c r="F334" s="8">
        <v>45786</v>
      </c>
      <c r="G334" s="8">
        <v>45787</v>
      </c>
      <c r="H334" s="8">
        <v>45788</v>
      </c>
      <c r="I334" s="7" t="s">
        <v>72</v>
      </c>
      <c r="J334" s="7" t="s">
        <v>2</v>
      </c>
      <c r="K334" s="7" t="s">
        <v>20</v>
      </c>
      <c r="L334" s="7" t="s">
        <v>22</v>
      </c>
      <c r="M334" s="7" t="s">
        <v>29</v>
      </c>
      <c r="N334" s="7" t="s">
        <v>27</v>
      </c>
      <c r="O334" s="7" t="s">
        <v>28</v>
      </c>
      <c r="P334" s="7">
        <v>9</v>
      </c>
      <c r="Q334" s="9">
        <v>3930</v>
      </c>
      <c r="R334" s="9">
        <v>4362.3</v>
      </c>
      <c r="S334" s="10">
        <v>0.02</v>
      </c>
      <c r="T334" s="9">
        <v>38475.485999999997</v>
      </c>
      <c r="U334" s="9">
        <v>35370</v>
      </c>
      <c r="V334" s="9">
        <v>3105.4859999999999</v>
      </c>
      <c r="W334" s="10">
        <v>8.0713366427652103E-2</v>
      </c>
    </row>
    <row r="335" spans="1:23" x14ac:dyDescent="0.3">
      <c r="A335" s="7" t="s">
        <v>1240</v>
      </c>
      <c r="B335" s="7" t="s">
        <v>531</v>
      </c>
      <c r="C335" s="7" t="s">
        <v>1241</v>
      </c>
      <c r="D335" s="7" t="s">
        <v>1242</v>
      </c>
      <c r="E335" s="7" t="s">
        <v>87</v>
      </c>
      <c r="F335" s="8">
        <v>45402</v>
      </c>
      <c r="G335" s="8">
        <v>45402</v>
      </c>
      <c r="H335" s="8">
        <v>45407</v>
      </c>
      <c r="I335" s="7" t="s">
        <v>82</v>
      </c>
      <c r="J335" s="7" t="s">
        <v>1</v>
      </c>
      <c r="K335" s="7" t="s">
        <v>19</v>
      </c>
      <c r="L335" s="7" t="s">
        <v>25</v>
      </c>
      <c r="M335" s="7" t="s">
        <v>30</v>
      </c>
      <c r="N335" s="7" t="s">
        <v>27</v>
      </c>
      <c r="O335" s="7" t="s">
        <v>31</v>
      </c>
      <c r="P335" s="7">
        <v>3</v>
      </c>
      <c r="Q335" s="9">
        <v>1030</v>
      </c>
      <c r="R335" s="9">
        <v>1174.2</v>
      </c>
      <c r="S335" s="10">
        <v>0.09</v>
      </c>
      <c r="T335" s="9">
        <v>3205.5659999999998</v>
      </c>
      <c r="U335" s="9">
        <v>3090</v>
      </c>
      <c r="V335" s="9">
        <v>115.566</v>
      </c>
      <c r="W335" s="10">
        <v>3.6051667630615E-2</v>
      </c>
    </row>
    <row r="336" spans="1:23" x14ac:dyDescent="0.3">
      <c r="A336" s="7" t="s">
        <v>1243</v>
      </c>
      <c r="B336" s="7" t="s">
        <v>995</v>
      </c>
      <c r="C336" s="7" t="s">
        <v>1244</v>
      </c>
      <c r="D336" s="7" t="s">
        <v>1245</v>
      </c>
      <c r="E336" s="7" t="s">
        <v>208</v>
      </c>
      <c r="F336" s="8">
        <v>45791</v>
      </c>
      <c r="G336" s="8">
        <v>45792</v>
      </c>
      <c r="H336" s="8">
        <v>45793</v>
      </c>
      <c r="I336" s="7" t="s">
        <v>82</v>
      </c>
      <c r="J336" s="7" t="s">
        <v>2</v>
      </c>
      <c r="K336" s="7" t="s">
        <v>20</v>
      </c>
      <c r="L336" s="7" t="s">
        <v>61</v>
      </c>
      <c r="M336" s="7" t="s">
        <v>50</v>
      </c>
      <c r="N336" s="7" t="s">
        <v>33</v>
      </c>
      <c r="O336" s="7" t="s">
        <v>36</v>
      </c>
      <c r="P336" s="7">
        <v>3</v>
      </c>
      <c r="Q336" s="9">
        <v>930</v>
      </c>
      <c r="R336" s="9">
        <v>1078.8</v>
      </c>
      <c r="S336" s="10">
        <v>0.05</v>
      </c>
      <c r="T336" s="9">
        <v>3074.58</v>
      </c>
      <c r="U336" s="9">
        <v>2790</v>
      </c>
      <c r="V336" s="9">
        <v>284.58</v>
      </c>
      <c r="W336" s="10">
        <v>9.2558983666061703E-2</v>
      </c>
    </row>
    <row r="337" spans="1:23" x14ac:dyDescent="0.3">
      <c r="A337" s="7" t="s">
        <v>1246</v>
      </c>
      <c r="B337" s="7" t="s">
        <v>354</v>
      </c>
      <c r="C337" s="7" t="s">
        <v>1247</v>
      </c>
      <c r="D337" s="7" t="s">
        <v>1248</v>
      </c>
      <c r="E337" s="7" t="s">
        <v>187</v>
      </c>
      <c r="F337" s="8">
        <v>45778</v>
      </c>
      <c r="G337" s="8">
        <v>45778</v>
      </c>
      <c r="H337" s="8">
        <v>45780</v>
      </c>
      <c r="I337" s="7" t="s">
        <v>72</v>
      </c>
      <c r="J337" s="7" t="s">
        <v>1</v>
      </c>
      <c r="K337" s="7" t="s">
        <v>20</v>
      </c>
      <c r="L337" s="7" t="s">
        <v>61</v>
      </c>
      <c r="M337" s="7" t="s">
        <v>2367</v>
      </c>
      <c r="N337" s="7" t="s">
        <v>38</v>
      </c>
      <c r="O337" s="7" t="s">
        <v>41</v>
      </c>
      <c r="P337" s="7">
        <v>8</v>
      </c>
      <c r="Q337" s="9">
        <v>170</v>
      </c>
      <c r="R337" s="9">
        <v>188.7</v>
      </c>
      <c r="S337" s="10">
        <v>0.03</v>
      </c>
      <c r="T337" s="9">
        <v>1464.3119999999999</v>
      </c>
      <c r="U337" s="9">
        <v>1360</v>
      </c>
      <c r="V337" s="9">
        <v>104.312</v>
      </c>
      <c r="W337" s="10">
        <v>7.1236184638246505E-2</v>
      </c>
    </row>
    <row r="338" spans="1:23" x14ac:dyDescent="0.3">
      <c r="A338" s="7" t="s">
        <v>1249</v>
      </c>
      <c r="B338" s="7" t="s">
        <v>975</v>
      </c>
      <c r="C338" s="7" t="s">
        <v>1250</v>
      </c>
      <c r="D338" s="7" t="s">
        <v>1251</v>
      </c>
      <c r="E338" s="7" t="s">
        <v>291</v>
      </c>
      <c r="F338" s="8">
        <v>45403</v>
      </c>
      <c r="G338" s="8">
        <v>45403</v>
      </c>
      <c r="H338" s="8">
        <v>45407</v>
      </c>
      <c r="I338" s="7" t="s">
        <v>72</v>
      </c>
      <c r="J338" s="7" t="s">
        <v>2362</v>
      </c>
      <c r="K338" s="7" t="s">
        <v>21</v>
      </c>
      <c r="L338" s="7" t="s">
        <v>25</v>
      </c>
      <c r="M338" s="7" t="s">
        <v>57</v>
      </c>
      <c r="N338" s="7" t="s">
        <v>27</v>
      </c>
      <c r="O338" s="7" t="s">
        <v>58</v>
      </c>
      <c r="P338" s="7">
        <v>10</v>
      </c>
      <c r="Q338" s="9">
        <v>480</v>
      </c>
      <c r="R338" s="9">
        <v>513.6</v>
      </c>
      <c r="S338" s="10">
        <v>0.04</v>
      </c>
      <c r="T338" s="9">
        <v>4930.5600000000004</v>
      </c>
      <c r="U338" s="9">
        <v>4800</v>
      </c>
      <c r="V338" s="9">
        <v>130.56</v>
      </c>
      <c r="W338" s="10">
        <v>2.6479750778816199E-2</v>
      </c>
    </row>
    <row r="339" spans="1:23" x14ac:dyDescent="0.3">
      <c r="A339" s="7" t="s">
        <v>1252</v>
      </c>
      <c r="B339" s="7" t="s">
        <v>1253</v>
      </c>
      <c r="C339" s="7" t="s">
        <v>1254</v>
      </c>
      <c r="D339" s="7" t="s">
        <v>1255</v>
      </c>
      <c r="E339" s="7" t="s">
        <v>77</v>
      </c>
      <c r="F339" s="8">
        <v>45571</v>
      </c>
      <c r="G339" s="8">
        <v>45572</v>
      </c>
      <c r="H339" s="8">
        <v>45573</v>
      </c>
      <c r="I339" s="7" t="s">
        <v>72</v>
      </c>
      <c r="J339" s="7" t="s">
        <v>1</v>
      </c>
      <c r="K339" s="7" t="s">
        <v>20</v>
      </c>
      <c r="L339" s="7" t="s">
        <v>24</v>
      </c>
      <c r="M339" s="7" t="s">
        <v>44</v>
      </c>
      <c r="N339" s="7" t="s">
        <v>38</v>
      </c>
      <c r="O339" s="7" t="s">
        <v>45</v>
      </c>
      <c r="P339" s="7">
        <v>8</v>
      </c>
      <c r="Q339" s="9">
        <v>210</v>
      </c>
      <c r="R339" s="9">
        <v>222.6</v>
      </c>
      <c r="S339" s="10">
        <v>0.1</v>
      </c>
      <c r="T339" s="9">
        <v>1602.72</v>
      </c>
      <c r="U339" s="9">
        <v>1680</v>
      </c>
      <c r="V339" s="9">
        <v>-77.28</v>
      </c>
      <c r="W339" s="10">
        <v>-4.8218029350104802E-2</v>
      </c>
    </row>
    <row r="340" spans="1:23" x14ac:dyDescent="0.3">
      <c r="A340" s="7" t="s">
        <v>1256</v>
      </c>
      <c r="B340" s="7" t="s">
        <v>297</v>
      </c>
      <c r="C340" s="7" t="s">
        <v>1257</v>
      </c>
      <c r="D340" s="7" t="s">
        <v>1258</v>
      </c>
      <c r="E340" s="7" t="s">
        <v>208</v>
      </c>
      <c r="F340" s="8">
        <v>45663</v>
      </c>
      <c r="G340" s="8">
        <v>45663</v>
      </c>
      <c r="H340" s="8">
        <v>45668</v>
      </c>
      <c r="I340" s="7" t="s">
        <v>72</v>
      </c>
      <c r="J340" s="7" t="s">
        <v>2</v>
      </c>
      <c r="K340" s="7" t="s">
        <v>21</v>
      </c>
      <c r="L340" s="7" t="s">
        <v>25</v>
      </c>
      <c r="M340" s="7" t="s">
        <v>50</v>
      </c>
      <c r="N340" s="7" t="s">
        <v>33</v>
      </c>
      <c r="O340" s="7" t="s">
        <v>36</v>
      </c>
      <c r="P340" s="7">
        <v>12</v>
      </c>
      <c r="Q340" s="9">
        <v>930</v>
      </c>
      <c r="R340" s="9">
        <v>1078.8</v>
      </c>
      <c r="S340" s="10">
        <v>0.08</v>
      </c>
      <c r="T340" s="9">
        <v>11909.951999999999</v>
      </c>
      <c r="U340" s="9">
        <v>11160</v>
      </c>
      <c r="V340" s="9">
        <v>749.952</v>
      </c>
      <c r="W340" s="10">
        <v>6.2968515742129E-2</v>
      </c>
    </row>
    <row r="341" spans="1:23" x14ac:dyDescent="0.3">
      <c r="A341" s="7" t="s">
        <v>1259</v>
      </c>
      <c r="B341" s="7" t="s">
        <v>143</v>
      </c>
      <c r="C341" s="7" t="s">
        <v>1260</v>
      </c>
      <c r="D341" s="7" t="s">
        <v>1261</v>
      </c>
      <c r="E341" s="7" t="s">
        <v>187</v>
      </c>
      <c r="F341" s="8">
        <v>45866</v>
      </c>
      <c r="G341" s="8">
        <v>45866</v>
      </c>
      <c r="H341" s="8">
        <v>45871</v>
      </c>
      <c r="I341" s="7" t="s">
        <v>72</v>
      </c>
      <c r="J341" s="7" t="s">
        <v>2362</v>
      </c>
      <c r="K341" s="7" t="s">
        <v>20</v>
      </c>
      <c r="L341" s="7" t="s">
        <v>24</v>
      </c>
      <c r="M341" s="7" t="s">
        <v>2367</v>
      </c>
      <c r="N341" s="7" t="s">
        <v>38</v>
      </c>
      <c r="O341" s="7" t="s">
        <v>41</v>
      </c>
      <c r="P341" s="7">
        <v>10</v>
      </c>
      <c r="Q341" s="9">
        <v>170</v>
      </c>
      <c r="R341" s="9">
        <v>188.7</v>
      </c>
      <c r="S341" s="10">
        <v>0.1</v>
      </c>
      <c r="T341" s="9">
        <v>1698.3</v>
      </c>
      <c r="U341" s="9">
        <v>1700</v>
      </c>
      <c r="V341" s="9">
        <v>-1.7</v>
      </c>
      <c r="W341" s="10">
        <v>-1.0010010010009999E-3</v>
      </c>
    </row>
    <row r="342" spans="1:23" x14ac:dyDescent="0.3">
      <c r="A342" s="7" t="s">
        <v>1262</v>
      </c>
      <c r="B342" s="7" t="s">
        <v>933</v>
      </c>
      <c r="C342" s="7" t="s">
        <v>1263</v>
      </c>
      <c r="D342" s="7" t="s">
        <v>1264</v>
      </c>
      <c r="E342" s="7" t="s">
        <v>119</v>
      </c>
      <c r="F342" s="8">
        <v>45981</v>
      </c>
      <c r="G342" s="8">
        <v>45982</v>
      </c>
      <c r="H342" s="8">
        <v>45984</v>
      </c>
      <c r="I342" s="7" t="s">
        <v>72</v>
      </c>
      <c r="J342" s="7" t="s">
        <v>2362</v>
      </c>
      <c r="K342" s="7" t="s">
        <v>19</v>
      </c>
      <c r="L342" s="7" t="s">
        <v>25</v>
      </c>
      <c r="M342" s="7" t="s">
        <v>37</v>
      </c>
      <c r="N342" s="7" t="s">
        <v>38</v>
      </c>
      <c r="O342" s="7" t="s">
        <v>39</v>
      </c>
      <c r="P342" s="7">
        <v>10</v>
      </c>
      <c r="Q342" s="9">
        <v>250</v>
      </c>
      <c r="R342" s="9">
        <v>270</v>
      </c>
      <c r="S342" s="10">
        <v>0.06</v>
      </c>
      <c r="T342" s="9">
        <v>2538</v>
      </c>
      <c r="U342" s="9">
        <v>2500</v>
      </c>
      <c r="V342" s="9">
        <v>38</v>
      </c>
      <c r="W342" s="10">
        <v>1.49724192277384E-2</v>
      </c>
    </row>
    <row r="343" spans="1:23" x14ac:dyDescent="0.3">
      <c r="A343" s="7" t="s">
        <v>1265</v>
      </c>
      <c r="B343" s="7" t="s">
        <v>943</v>
      </c>
      <c r="C343" s="7" t="s">
        <v>1266</v>
      </c>
      <c r="D343" s="7" t="s">
        <v>1267</v>
      </c>
      <c r="E343" s="7" t="s">
        <v>173</v>
      </c>
      <c r="F343" s="8">
        <v>45599</v>
      </c>
      <c r="G343" s="8">
        <v>45599</v>
      </c>
      <c r="H343" s="8">
        <v>45604</v>
      </c>
      <c r="I343" s="7" t="s">
        <v>72</v>
      </c>
      <c r="J343" s="7" t="s">
        <v>2364</v>
      </c>
      <c r="K343" s="7" t="s">
        <v>21</v>
      </c>
      <c r="L343" s="7" t="s">
        <v>61</v>
      </c>
      <c r="M343" s="7" t="s">
        <v>48</v>
      </c>
      <c r="N343" s="7" t="s">
        <v>38</v>
      </c>
      <c r="O343" s="7" t="s">
        <v>41</v>
      </c>
      <c r="P343" s="7">
        <v>8</v>
      </c>
      <c r="Q343" s="9">
        <v>580</v>
      </c>
      <c r="R343" s="9">
        <v>667</v>
      </c>
      <c r="S343" s="10">
        <v>0.08</v>
      </c>
      <c r="T343" s="9">
        <v>4909.12</v>
      </c>
      <c r="U343" s="9">
        <v>4640</v>
      </c>
      <c r="V343" s="9">
        <v>269.12</v>
      </c>
      <c r="W343" s="10">
        <v>5.4820415879017002E-2</v>
      </c>
    </row>
    <row r="344" spans="1:23" x14ac:dyDescent="0.3">
      <c r="A344" s="7" t="s">
        <v>1268</v>
      </c>
      <c r="B344" s="7" t="s">
        <v>652</v>
      </c>
      <c r="C344" s="7" t="s">
        <v>1269</v>
      </c>
      <c r="D344" s="7" t="s">
        <v>1270</v>
      </c>
      <c r="E344" s="7" t="s">
        <v>192</v>
      </c>
      <c r="F344" s="8">
        <v>45760</v>
      </c>
      <c r="G344" s="8">
        <v>45761</v>
      </c>
      <c r="H344" s="8">
        <v>45764</v>
      </c>
      <c r="I344" s="7" t="s">
        <v>72</v>
      </c>
      <c r="J344" s="7" t="s">
        <v>2</v>
      </c>
      <c r="K344" s="7" t="s">
        <v>20</v>
      </c>
      <c r="L344" s="7" t="s">
        <v>23</v>
      </c>
      <c r="M344" s="7" t="s">
        <v>46</v>
      </c>
      <c r="N344" s="7" t="s">
        <v>38</v>
      </c>
      <c r="O344" s="7" t="s">
        <v>45</v>
      </c>
      <c r="P344" s="7">
        <v>9</v>
      </c>
      <c r="Q344" s="9">
        <v>350</v>
      </c>
      <c r="R344" s="9">
        <v>364</v>
      </c>
      <c r="S344" s="10">
        <v>0.1</v>
      </c>
      <c r="T344" s="9">
        <v>2948.4</v>
      </c>
      <c r="U344" s="9">
        <v>3150</v>
      </c>
      <c r="V344" s="9">
        <v>-201.6</v>
      </c>
      <c r="W344" s="10">
        <v>-6.8376068376068397E-2</v>
      </c>
    </row>
    <row r="345" spans="1:23" x14ac:dyDescent="0.3">
      <c r="A345" s="7" t="s">
        <v>1271</v>
      </c>
      <c r="B345" s="7" t="s">
        <v>412</v>
      </c>
      <c r="C345" s="7" t="s">
        <v>1272</v>
      </c>
      <c r="D345" s="7" t="s">
        <v>1273</v>
      </c>
      <c r="E345" s="7" t="s">
        <v>81</v>
      </c>
      <c r="F345" s="8">
        <v>45892</v>
      </c>
      <c r="G345" s="8">
        <v>45892</v>
      </c>
      <c r="H345" s="8">
        <v>45895</v>
      </c>
      <c r="I345" s="7" t="s">
        <v>72</v>
      </c>
      <c r="J345" s="7" t="s">
        <v>2362</v>
      </c>
      <c r="K345" s="7" t="s">
        <v>20</v>
      </c>
      <c r="L345" s="7" t="s">
        <v>24</v>
      </c>
      <c r="M345" s="7" t="s">
        <v>59</v>
      </c>
      <c r="N345" s="7" t="s">
        <v>27</v>
      </c>
      <c r="O345" s="7" t="s">
        <v>60</v>
      </c>
      <c r="P345" s="7">
        <v>6</v>
      </c>
      <c r="Q345" s="9">
        <v>1230</v>
      </c>
      <c r="R345" s="9">
        <v>1328.4</v>
      </c>
      <c r="S345" s="10">
        <v>0.06</v>
      </c>
      <c r="T345" s="9">
        <v>7492.1760000000004</v>
      </c>
      <c r="U345" s="9">
        <v>7380</v>
      </c>
      <c r="V345" s="9">
        <v>112.176</v>
      </c>
      <c r="W345" s="10">
        <v>1.49724192277384E-2</v>
      </c>
    </row>
    <row r="346" spans="1:23" x14ac:dyDescent="0.3">
      <c r="A346" s="7" t="s">
        <v>1274</v>
      </c>
      <c r="B346" s="7" t="s">
        <v>106</v>
      </c>
      <c r="C346" s="7" t="s">
        <v>1275</v>
      </c>
      <c r="D346" s="7" t="s">
        <v>1276</v>
      </c>
      <c r="E346" s="7" t="s">
        <v>114</v>
      </c>
      <c r="F346" s="8">
        <v>45712</v>
      </c>
      <c r="G346" s="8">
        <v>45712</v>
      </c>
      <c r="H346" s="8">
        <v>45717</v>
      </c>
      <c r="I346" s="7" t="s">
        <v>72</v>
      </c>
      <c r="J346" s="7" t="s">
        <v>2363</v>
      </c>
      <c r="K346" s="7" t="s">
        <v>21</v>
      </c>
      <c r="L346" s="7" t="s">
        <v>25</v>
      </c>
      <c r="M346" s="7" t="s">
        <v>51</v>
      </c>
      <c r="N346" s="7" t="s">
        <v>33</v>
      </c>
      <c r="O346" s="7" t="s">
        <v>52</v>
      </c>
      <c r="P346" s="7">
        <v>14</v>
      </c>
      <c r="Q346" s="9">
        <v>280</v>
      </c>
      <c r="R346" s="9">
        <v>336</v>
      </c>
      <c r="S346" s="10">
        <v>0.03</v>
      </c>
      <c r="T346" s="9">
        <v>4562.88</v>
      </c>
      <c r="U346" s="9">
        <v>3920</v>
      </c>
      <c r="V346" s="9">
        <v>642.88</v>
      </c>
      <c r="W346" s="10">
        <v>0.14089347079037801</v>
      </c>
    </row>
    <row r="347" spans="1:23" x14ac:dyDescent="0.3">
      <c r="A347" s="7" t="s">
        <v>1277</v>
      </c>
      <c r="B347" s="7" t="s">
        <v>1278</v>
      </c>
      <c r="C347" s="7" t="s">
        <v>1279</v>
      </c>
      <c r="D347" s="7" t="s">
        <v>1280</v>
      </c>
      <c r="E347" s="7" t="s">
        <v>77</v>
      </c>
      <c r="F347" s="8">
        <v>45843</v>
      </c>
      <c r="G347" s="8">
        <v>45844</v>
      </c>
      <c r="H347" s="8">
        <v>45847</v>
      </c>
      <c r="I347" s="7" t="s">
        <v>72</v>
      </c>
      <c r="J347" s="7" t="s">
        <v>2363</v>
      </c>
      <c r="K347" s="7" t="s">
        <v>19</v>
      </c>
      <c r="L347" s="7" t="s">
        <v>24</v>
      </c>
      <c r="M347" s="7" t="s">
        <v>44</v>
      </c>
      <c r="N347" s="7" t="s">
        <v>38</v>
      </c>
      <c r="O347" s="7" t="s">
        <v>45</v>
      </c>
      <c r="P347" s="7">
        <v>5</v>
      </c>
      <c r="Q347" s="9">
        <v>210</v>
      </c>
      <c r="R347" s="9">
        <v>222.6</v>
      </c>
      <c r="S347" s="10">
        <v>0.05</v>
      </c>
      <c r="T347" s="9">
        <v>1057.3499999999999</v>
      </c>
      <c r="U347" s="9">
        <v>1050</v>
      </c>
      <c r="V347" s="9">
        <v>7.35</v>
      </c>
      <c r="W347" s="10">
        <v>6.9513406156901702E-3</v>
      </c>
    </row>
    <row r="348" spans="1:23" x14ac:dyDescent="0.3">
      <c r="A348" s="7" t="s">
        <v>1281</v>
      </c>
      <c r="B348" s="7" t="s">
        <v>508</v>
      </c>
      <c r="C348" s="7" t="s">
        <v>1282</v>
      </c>
      <c r="D348" s="7" t="s">
        <v>738</v>
      </c>
      <c r="E348" s="7" t="s">
        <v>178</v>
      </c>
      <c r="F348" s="8">
        <v>46128</v>
      </c>
      <c r="G348" s="8">
        <v>46129</v>
      </c>
      <c r="H348" s="8">
        <v>46133</v>
      </c>
      <c r="I348" s="7" t="s">
        <v>72</v>
      </c>
      <c r="J348" s="7" t="s">
        <v>2</v>
      </c>
      <c r="K348" s="7" t="s">
        <v>21</v>
      </c>
      <c r="L348" s="7" t="s">
        <v>25</v>
      </c>
      <c r="M348" s="7" t="s">
        <v>47</v>
      </c>
      <c r="N348" s="7" t="s">
        <v>38</v>
      </c>
      <c r="O348" s="7" t="s">
        <v>39</v>
      </c>
      <c r="P348" s="7">
        <v>15</v>
      </c>
      <c r="Q348" s="9">
        <v>390</v>
      </c>
      <c r="R348" s="9">
        <v>468</v>
      </c>
      <c r="S348" s="10">
        <v>0.03</v>
      </c>
      <c r="T348" s="9">
        <v>6809.4</v>
      </c>
      <c r="U348" s="9">
        <v>5850</v>
      </c>
      <c r="V348" s="9">
        <v>959.4</v>
      </c>
      <c r="W348" s="10">
        <v>0.14089347079037801</v>
      </c>
    </row>
    <row r="349" spans="1:23" x14ac:dyDescent="0.3">
      <c r="A349" s="7" t="s">
        <v>1283</v>
      </c>
      <c r="B349" s="7" t="s">
        <v>121</v>
      </c>
      <c r="C349" s="7" t="s">
        <v>1284</v>
      </c>
      <c r="D349" s="7" t="s">
        <v>1285</v>
      </c>
      <c r="E349" s="7" t="s">
        <v>322</v>
      </c>
      <c r="F349" s="8">
        <v>45608</v>
      </c>
      <c r="G349" s="8">
        <v>45609</v>
      </c>
      <c r="H349" s="8">
        <v>45610</v>
      </c>
      <c r="I349" s="7" t="s">
        <v>72</v>
      </c>
      <c r="J349" s="7" t="s">
        <v>2362</v>
      </c>
      <c r="K349" s="7" t="s">
        <v>21</v>
      </c>
      <c r="L349" s="7" t="s">
        <v>61</v>
      </c>
      <c r="M349" s="7" t="s">
        <v>26</v>
      </c>
      <c r="N349" s="7" t="s">
        <v>27</v>
      </c>
      <c r="O349" s="7" t="s">
        <v>28</v>
      </c>
      <c r="P349" s="7">
        <v>7</v>
      </c>
      <c r="Q349" s="9">
        <v>3330</v>
      </c>
      <c r="R349" s="9">
        <v>3629.7</v>
      </c>
      <c r="S349" s="10">
        <v>0.05</v>
      </c>
      <c r="T349" s="9">
        <v>24137.505000000001</v>
      </c>
      <c r="U349" s="9">
        <v>23310</v>
      </c>
      <c r="V349" s="9">
        <v>827.505</v>
      </c>
      <c r="W349" s="10">
        <v>3.4282955094157401E-2</v>
      </c>
    </row>
    <row r="350" spans="1:23" x14ac:dyDescent="0.3">
      <c r="A350" s="7" t="s">
        <v>1286</v>
      </c>
      <c r="B350" s="7" t="s">
        <v>971</v>
      </c>
      <c r="C350" s="7" t="s">
        <v>1287</v>
      </c>
      <c r="D350" s="7" t="s">
        <v>1288</v>
      </c>
      <c r="E350" s="7" t="s">
        <v>95</v>
      </c>
      <c r="F350" s="8">
        <v>45591</v>
      </c>
      <c r="G350" s="8">
        <v>45592</v>
      </c>
      <c r="H350" s="8">
        <v>45594</v>
      </c>
      <c r="I350" s="7" t="s">
        <v>82</v>
      </c>
      <c r="J350" s="7" t="s">
        <v>2</v>
      </c>
      <c r="K350" s="7" t="s">
        <v>20</v>
      </c>
      <c r="L350" s="7" t="s">
        <v>23</v>
      </c>
      <c r="M350" s="7" t="s">
        <v>49</v>
      </c>
      <c r="N350" s="7" t="s">
        <v>33</v>
      </c>
      <c r="O350" s="7" t="s">
        <v>34</v>
      </c>
      <c r="P350" s="7">
        <v>3</v>
      </c>
      <c r="Q350" s="9">
        <v>1080</v>
      </c>
      <c r="R350" s="9">
        <v>1112.4000000000001</v>
      </c>
      <c r="S350" s="10">
        <v>7.0000000000000007E-2</v>
      </c>
      <c r="T350" s="9">
        <v>3103.596</v>
      </c>
      <c r="U350" s="9">
        <v>3240</v>
      </c>
      <c r="V350" s="9">
        <v>-136.404</v>
      </c>
      <c r="W350" s="10">
        <v>-4.3950307965340801E-2</v>
      </c>
    </row>
    <row r="351" spans="1:23" x14ac:dyDescent="0.3">
      <c r="A351" s="7" t="s">
        <v>1289</v>
      </c>
      <c r="B351" s="7" t="s">
        <v>1290</v>
      </c>
      <c r="C351" s="7" t="s">
        <v>1291</v>
      </c>
      <c r="D351" s="7" t="s">
        <v>1292</v>
      </c>
      <c r="E351" s="7" t="s">
        <v>192</v>
      </c>
      <c r="F351" s="8">
        <v>45389</v>
      </c>
      <c r="G351" s="8">
        <v>45389</v>
      </c>
      <c r="H351" s="8">
        <v>45392</v>
      </c>
      <c r="I351" s="7" t="s">
        <v>72</v>
      </c>
      <c r="J351" s="7" t="s">
        <v>1</v>
      </c>
      <c r="K351" s="7" t="s">
        <v>20</v>
      </c>
      <c r="L351" s="7" t="s">
        <v>23</v>
      </c>
      <c r="M351" s="7" t="s">
        <v>46</v>
      </c>
      <c r="N351" s="7" t="s">
        <v>38</v>
      </c>
      <c r="O351" s="7" t="s">
        <v>45</v>
      </c>
      <c r="P351" s="7">
        <v>8</v>
      </c>
      <c r="Q351" s="9">
        <v>350</v>
      </c>
      <c r="R351" s="9">
        <v>364</v>
      </c>
      <c r="S351" s="10">
        <v>0.01</v>
      </c>
      <c r="T351" s="9">
        <v>2882.88</v>
      </c>
      <c r="U351" s="9">
        <v>2800</v>
      </c>
      <c r="V351" s="9">
        <v>82.88</v>
      </c>
      <c r="W351" s="10">
        <v>2.87490287490287E-2</v>
      </c>
    </row>
    <row r="352" spans="1:23" x14ac:dyDescent="0.3">
      <c r="A352" s="7" t="s">
        <v>1293</v>
      </c>
      <c r="B352" s="7" t="s">
        <v>1040</v>
      </c>
      <c r="C352" s="7" t="s">
        <v>1294</v>
      </c>
      <c r="D352" s="7" t="s">
        <v>1295</v>
      </c>
      <c r="E352" s="7" t="s">
        <v>81</v>
      </c>
      <c r="F352" s="8">
        <v>45645</v>
      </c>
      <c r="G352" s="8">
        <v>45645</v>
      </c>
      <c r="H352" s="8">
        <v>45650</v>
      </c>
      <c r="I352" s="7" t="s">
        <v>72</v>
      </c>
      <c r="J352" s="7" t="s">
        <v>2363</v>
      </c>
      <c r="K352" s="7" t="s">
        <v>20</v>
      </c>
      <c r="L352" s="7" t="s">
        <v>61</v>
      </c>
      <c r="M352" s="7" t="s">
        <v>59</v>
      </c>
      <c r="N352" s="7" t="s">
        <v>27</v>
      </c>
      <c r="O352" s="7" t="s">
        <v>60</v>
      </c>
      <c r="P352" s="7">
        <v>6</v>
      </c>
      <c r="Q352" s="9">
        <v>1230</v>
      </c>
      <c r="R352" s="9">
        <v>1328.4</v>
      </c>
      <c r="S352" s="10">
        <v>0.02</v>
      </c>
      <c r="T352" s="9">
        <v>7810.9920000000002</v>
      </c>
      <c r="U352" s="9">
        <v>7380</v>
      </c>
      <c r="V352" s="9">
        <v>430.99200000000002</v>
      </c>
      <c r="W352" s="10">
        <v>5.5177626606198002E-2</v>
      </c>
    </row>
    <row r="353" spans="1:23" x14ac:dyDescent="0.3">
      <c r="A353" s="7" t="s">
        <v>1296</v>
      </c>
      <c r="B353" s="7" t="s">
        <v>1297</v>
      </c>
      <c r="C353" s="7" t="s">
        <v>1298</v>
      </c>
      <c r="D353" s="7" t="s">
        <v>1299</v>
      </c>
      <c r="E353" s="7" t="s">
        <v>291</v>
      </c>
      <c r="F353" s="8">
        <v>46135</v>
      </c>
      <c r="G353" s="8">
        <v>46136</v>
      </c>
      <c r="H353" s="8">
        <v>46137</v>
      </c>
      <c r="I353" s="7" t="s">
        <v>82</v>
      </c>
      <c r="J353" s="7" t="s">
        <v>1</v>
      </c>
      <c r="K353" s="7" t="s">
        <v>19</v>
      </c>
      <c r="L353" s="7" t="s">
        <v>23</v>
      </c>
      <c r="M353" s="7" t="s">
        <v>57</v>
      </c>
      <c r="N353" s="7" t="s">
        <v>27</v>
      </c>
      <c r="O353" s="7" t="s">
        <v>58</v>
      </c>
      <c r="P353" s="7">
        <v>3</v>
      </c>
      <c r="Q353" s="9">
        <v>480</v>
      </c>
      <c r="R353" s="9">
        <v>513.6</v>
      </c>
      <c r="S353" s="10">
        <v>0.05</v>
      </c>
      <c r="T353" s="9">
        <v>1463.76</v>
      </c>
      <c r="U353" s="9">
        <v>1440</v>
      </c>
      <c r="V353" s="9">
        <v>23.76</v>
      </c>
      <c r="W353" s="10">
        <v>1.6232169208066902E-2</v>
      </c>
    </row>
    <row r="354" spans="1:23" x14ac:dyDescent="0.3">
      <c r="A354" s="7" t="s">
        <v>1300</v>
      </c>
      <c r="B354" s="7" t="s">
        <v>863</v>
      </c>
      <c r="C354" s="7" t="s">
        <v>1301</v>
      </c>
      <c r="D354" s="7" t="s">
        <v>1302</v>
      </c>
      <c r="E354" s="7" t="s">
        <v>87</v>
      </c>
      <c r="F354" s="8">
        <v>45443</v>
      </c>
      <c r="G354" s="8">
        <v>45443</v>
      </c>
      <c r="H354" s="8">
        <v>45445</v>
      </c>
      <c r="I354" s="7" t="s">
        <v>82</v>
      </c>
      <c r="J354" s="7" t="s">
        <v>2364</v>
      </c>
      <c r="K354" s="7" t="s">
        <v>19</v>
      </c>
      <c r="L354" s="7" t="s">
        <v>61</v>
      </c>
      <c r="M354" s="7" t="s">
        <v>30</v>
      </c>
      <c r="N354" s="7" t="s">
        <v>27</v>
      </c>
      <c r="O354" s="7" t="s">
        <v>31</v>
      </c>
      <c r="P354" s="7">
        <v>2</v>
      </c>
      <c r="Q354" s="9">
        <v>1030</v>
      </c>
      <c r="R354" s="9">
        <v>1174.2</v>
      </c>
      <c r="S354" s="10">
        <v>0.06</v>
      </c>
      <c r="T354" s="9">
        <v>2207.4960000000001</v>
      </c>
      <c r="U354" s="9">
        <v>2060</v>
      </c>
      <c r="V354" s="9">
        <v>147.49600000000001</v>
      </c>
      <c r="W354" s="10">
        <v>6.6815976110489006E-2</v>
      </c>
    </row>
    <row r="355" spans="1:23" x14ac:dyDescent="0.3">
      <c r="A355" s="7" t="s">
        <v>1303</v>
      </c>
      <c r="B355" s="7" t="s">
        <v>389</v>
      </c>
      <c r="C355" s="7" t="s">
        <v>1304</v>
      </c>
      <c r="D355" s="7" t="s">
        <v>1305</v>
      </c>
      <c r="E355" s="7" t="s">
        <v>119</v>
      </c>
      <c r="F355" s="8">
        <v>46104</v>
      </c>
      <c r="G355" s="8">
        <v>46104</v>
      </c>
      <c r="H355" s="8">
        <v>46108</v>
      </c>
      <c r="I355" s="7" t="s">
        <v>82</v>
      </c>
      <c r="J355" s="7" t="s">
        <v>2364</v>
      </c>
      <c r="K355" s="7" t="s">
        <v>20</v>
      </c>
      <c r="L355" s="7" t="s">
        <v>61</v>
      </c>
      <c r="M355" s="7" t="s">
        <v>37</v>
      </c>
      <c r="N355" s="7" t="s">
        <v>38</v>
      </c>
      <c r="O355" s="7" t="s">
        <v>39</v>
      </c>
      <c r="P355" s="7">
        <v>2</v>
      </c>
      <c r="Q355" s="9">
        <v>250</v>
      </c>
      <c r="R355" s="9">
        <v>270</v>
      </c>
      <c r="S355" s="10">
        <v>0</v>
      </c>
      <c r="T355" s="9">
        <v>540</v>
      </c>
      <c r="U355" s="9">
        <v>500</v>
      </c>
      <c r="V355" s="9">
        <v>40</v>
      </c>
      <c r="W355" s="10">
        <v>7.4074074074074098E-2</v>
      </c>
    </row>
    <row r="356" spans="1:23" x14ac:dyDescent="0.3">
      <c r="A356" s="7" t="s">
        <v>1306</v>
      </c>
      <c r="B356" s="7" t="s">
        <v>404</v>
      </c>
      <c r="C356" s="7" t="s">
        <v>1307</v>
      </c>
      <c r="D356" s="7" t="s">
        <v>1308</v>
      </c>
      <c r="E356" s="7" t="s">
        <v>81</v>
      </c>
      <c r="F356" s="8">
        <v>45520</v>
      </c>
      <c r="G356" s="8">
        <v>45521</v>
      </c>
      <c r="H356" s="8">
        <v>45522</v>
      </c>
      <c r="I356" s="7" t="s">
        <v>72</v>
      </c>
      <c r="J356" s="7" t="s">
        <v>2364</v>
      </c>
      <c r="K356" s="7" t="s">
        <v>21</v>
      </c>
      <c r="L356" s="7" t="s">
        <v>25</v>
      </c>
      <c r="M356" s="7" t="s">
        <v>59</v>
      </c>
      <c r="N356" s="7" t="s">
        <v>27</v>
      </c>
      <c r="O356" s="7" t="s">
        <v>60</v>
      </c>
      <c r="P356" s="7">
        <v>8</v>
      </c>
      <c r="Q356" s="9">
        <v>1230</v>
      </c>
      <c r="R356" s="9">
        <v>1328.4</v>
      </c>
      <c r="S356" s="10">
        <v>0.08</v>
      </c>
      <c r="T356" s="9">
        <v>9777.0239999999994</v>
      </c>
      <c r="U356" s="9">
        <v>9840</v>
      </c>
      <c r="V356" s="9">
        <v>-62.975999999999999</v>
      </c>
      <c r="W356" s="10">
        <v>-6.4412238325281803E-3</v>
      </c>
    </row>
    <row r="357" spans="1:23" x14ac:dyDescent="0.3">
      <c r="A357" s="7" t="s">
        <v>1309</v>
      </c>
      <c r="B357" s="7" t="s">
        <v>803</v>
      </c>
      <c r="C357" s="7" t="s">
        <v>1310</v>
      </c>
      <c r="D357" s="7" t="s">
        <v>1311</v>
      </c>
      <c r="E357" s="7" t="s">
        <v>173</v>
      </c>
      <c r="F357" s="8">
        <v>45997</v>
      </c>
      <c r="G357" s="8">
        <v>45997</v>
      </c>
      <c r="H357" s="8">
        <v>46002</v>
      </c>
      <c r="I357" s="7" t="s">
        <v>72</v>
      </c>
      <c r="J357" s="7" t="s">
        <v>2364</v>
      </c>
      <c r="K357" s="7" t="s">
        <v>21</v>
      </c>
      <c r="L357" s="7" t="s">
        <v>25</v>
      </c>
      <c r="M357" s="7" t="s">
        <v>48</v>
      </c>
      <c r="N357" s="7" t="s">
        <v>38</v>
      </c>
      <c r="O357" s="7" t="s">
        <v>41</v>
      </c>
      <c r="P357" s="7">
        <v>10</v>
      </c>
      <c r="Q357" s="9">
        <v>580</v>
      </c>
      <c r="R357" s="9">
        <v>667</v>
      </c>
      <c r="S357" s="10">
        <v>0</v>
      </c>
      <c r="T357" s="9">
        <v>6670</v>
      </c>
      <c r="U357" s="9">
        <v>5800</v>
      </c>
      <c r="V357" s="9">
        <v>870</v>
      </c>
      <c r="W357" s="10">
        <v>0.13043478260869601</v>
      </c>
    </row>
    <row r="358" spans="1:23" x14ac:dyDescent="0.3">
      <c r="A358" s="7" t="s">
        <v>1312</v>
      </c>
      <c r="B358" s="7" t="s">
        <v>578</v>
      </c>
      <c r="C358" s="7" t="s">
        <v>1313</v>
      </c>
      <c r="D358" s="7" t="s">
        <v>1314</v>
      </c>
      <c r="E358" s="7" t="s">
        <v>178</v>
      </c>
      <c r="F358" s="8">
        <v>46108</v>
      </c>
      <c r="G358" s="8">
        <v>46109</v>
      </c>
      <c r="H358" s="8">
        <v>46111</v>
      </c>
      <c r="I358" s="7" t="s">
        <v>72</v>
      </c>
      <c r="J358" s="7" t="s">
        <v>2362</v>
      </c>
      <c r="K358" s="7" t="s">
        <v>21</v>
      </c>
      <c r="L358" s="7" t="s">
        <v>23</v>
      </c>
      <c r="M358" s="7" t="s">
        <v>47</v>
      </c>
      <c r="N358" s="7" t="s">
        <v>38</v>
      </c>
      <c r="O358" s="7" t="s">
        <v>39</v>
      </c>
      <c r="P358" s="7">
        <v>5</v>
      </c>
      <c r="Q358" s="9">
        <v>390</v>
      </c>
      <c r="R358" s="9">
        <v>468</v>
      </c>
      <c r="S358" s="10">
        <v>0</v>
      </c>
      <c r="T358" s="9">
        <v>2340</v>
      </c>
      <c r="U358" s="9">
        <v>1950</v>
      </c>
      <c r="V358" s="9">
        <v>390</v>
      </c>
      <c r="W358" s="10">
        <v>0.16666666666666699</v>
      </c>
    </row>
    <row r="359" spans="1:23" x14ac:dyDescent="0.3">
      <c r="A359" s="7" t="s">
        <v>1315</v>
      </c>
      <c r="B359" s="7" t="s">
        <v>1316</v>
      </c>
      <c r="C359" s="7" t="s">
        <v>1317</v>
      </c>
      <c r="D359" s="7" t="s">
        <v>1318</v>
      </c>
      <c r="E359" s="7" t="s">
        <v>291</v>
      </c>
      <c r="F359" s="8">
        <v>45578</v>
      </c>
      <c r="G359" s="8">
        <v>45579</v>
      </c>
      <c r="H359" s="8">
        <v>45582</v>
      </c>
      <c r="I359" s="7" t="s">
        <v>72</v>
      </c>
      <c r="J359" s="7" t="s">
        <v>2363</v>
      </c>
      <c r="K359" s="7" t="s">
        <v>21</v>
      </c>
      <c r="L359" s="7" t="s">
        <v>25</v>
      </c>
      <c r="M359" s="7" t="s">
        <v>57</v>
      </c>
      <c r="N359" s="7" t="s">
        <v>27</v>
      </c>
      <c r="O359" s="7" t="s">
        <v>58</v>
      </c>
      <c r="P359" s="7">
        <v>7</v>
      </c>
      <c r="Q359" s="9">
        <v>480</v>
      </c>
      <c r="R359" s="9">
        <v>513.6</v>
      </c>
      <c r="S359" s="10">
        <v>0.08</v>
      </c>
      <c r="T359" s="9">
        <v>3307.5839999999998</v>
      </c>
      <c r="U359" s="9">
        <v>3360</v>
      </c>
      <c r="V359" s="9">
        <v>-52.415999999999997</v>
      </c>
      <c r="W359" s="10">
        <v>-1.5847216578626599E-2</v>
      </c>
    </row>
    <row r="360" spans="1:23" x14ac:dyDescent="0.3">
      <c r="A360" s="7" t="s">
        <v>1319</v>
      </c>
      <c r="B360" s="7" t="s">
        <v>979</v>
      </c>
      <c r="C360" s="7" t="s">
        <v>1320</v>
      </c>
      <c r="D360" s="7" t="s">
        <v>1139</v>
      </c>
      <c r="E360" s="7" t="s">
        <v>119</v>
      </c>
      <c r="F360" s="8">
        <v>45547</v>
      </c>
      <c r="G360" s="8">
        <v>45548</v>
      </c>
      <c r="H360" s="8">
        <v>45552</v>
      </c>
      <c r="I360" s="7" t="s">
        <v>82</v>
      </c>
      <c r="J360" s="7" t="s">
        <v>2364</v>
      </c>
      <c r="K360" s="7" t="s">
        <v>20</v>
      </c>
      <c r="L360" s="7" t="s">
        <v>61</v>
      </c>
      <c r="M360" s="7" t="s">
        <v>37</v>
      </c>
      <c r="N360" s="7" t="s">
        <v>38</v>
      </c>
      <c r="O360" s="7" t="s">
        <v>39</v>
      </c>
      <c r="P360" s="7">
        <v>3</v>
      </c>
      <c r="Q360" s="9">
        <v>250</v>
      </c>
      <c r="R360" s="9">
        <v>270</v>
      </c>
      <c r="S360" s="10">
        <v>0.01</v>
      </c>
      <c r="T360" s="9">
        <v>801.9</v>
      </c>
      <c r="U360" s="9">
        <v>750</v>
      </c>
      <c r="V360" s="9">
        <v>51.9</v>
      </c>
      <c r="W360" s="10">
        <v>6.4721286943509204E-2</v>
      </c>
    </row>
    <row r="361" spans="1:23" x14ac:dyDescent="0.3">
      <c r="A361" s="7" t="s">
        <v>1321</v>
      </c>
      <c r="B361" s="7" t="s">
        <v>1108</v>
      </c>
      <c r="C361" s="7" t="s">
        <v>1322</v>
      </c>
      <c r="D361" s="7" t="s">
        <v>1323</v>
      </c>
      <c r="E361" s="7" t="s">
        <v>173</v>
      </c>
      <c r="F361" s="8">
        <v>45858</v>
      </c>
      <c r="G361" s="8">
        <v>45859</v>
      </c>
      <c r="H361" s="8">
        <v>45863</v>
      </c>
      <c r="I361" s="7" t="s">
        <v>82</v>
      </c>
      <c r="J361" s="7" t="s">
        <v>2</v>
      </c>
      <c r="K361" s="7" t="s">
        <v>20</v>
      </c>
      <c r="L361" s="7" t="s">
        <v>25</v>
      </c>
      <c r="M361" s="7" t="s">
        <v>48</v>
      </c>
      <c r="N361" s="7" t="s">
        <v>38</v>
      </c>
      <c r="O361" s="7" t="s">
        <v>41</v>
      </c>
      <c r="P361" s="7">
        <v>1</v>
      </c>
      <c r="Q361" s="9">
        <v>580</v>
      </c>
      <c r="R361" s="9">
        <v>667</v>
      </c>
      <c r="S361" s="10">
        <v>0</v>
      </c>
      <c r="T361" s="9">
        <v>667</v>
      </c>
      <c r="U361" s="9">
        <v>580</v>
      </c>
      <c r="V361" s="9">
        <v>87</v>
      </c>
      <c r="W361" s="10">
        <v>0.13043478260869601</v>
      </c>
    </row>
    <row r="362" spans="1:23" x14ac:dyDescent="0.3">
      <c r="A362" s="7" t="s">
        <v>1324</v>
      </c>
      <c r="B362" s="7" t="s">
        <v>1325</v>
      </c>
      <c r="C362" s="7" t="s">
        <v>1326</v>
      </c>
      <c r="D362" s="7" t="s">
        <v>1327</v>
      </c>
      <c r="E362" s="7" t="s">
        <v>119</v>
      </c>
      <c r="F362" s="8">
        <v>45625</v>
      </c>
      <c r="G362" s="8">
        <v>45625</v>
      </c>
      <c r="H362" s="8">
        <v>45627</v>
      </c>
      <c r="I362" s="7" t="s">
        <v>82</v>
      </c>
      <c r="J362" s="7" t="s">
        <v>2363</v>
      </c>
      <c r="K362" s="7" t="s">
        <v>19</v>
      </c>
      <c r="L362" s="7" t="s">
        <v>23</v>
      </c>
      <c r="M362" s="7" t="s">
        <v>37</v>
      </c>
      <c r="N362" s="7" t="s">
        <v>38</v>
      </c>
      <c r="O362" s="7" t="s">
        <v>39</v>
      </c>
      <c r="P362" s="7">
        <v>1</v>
      </c>
      <c r="Q362" s="9">
        <v>250</v>
      </c>
      <c r="R362" s="9">
        <v>270</v>
      </c>
      <c r="S362" s="10">
        <v>0</v>
      </c>
      <c r="T362" s="9">
        <v>270</v>
      </c>
      <c r="U362" s="9">
        <v>250</v>
      </c>
      <c r="V362" s="9">
        <v>20</v>
      </c>
      <c r="W362" s="10">
        <v>7.4074074074074098E-2</v>
      </c>
    </row>
    <row r="363" spans="1:23" x14ac:dyDescent="0.3">
      <c r="A363" s="7" t="s">
        <v>1328</v>
      </c>
      <c r="B363" s="7" t="s">
        <v>170</v>
      </c>
      <c r="C363" s="7" t="s">
        <v>1329</v>
      </c>
      <c r="D363" s="7" t="s">
        <v>1330</v>
      </c>
      <c r="E363" s="7" t="s">
        <v>322</v>
      </c>
      <c r="F363" s="8">
        <v>45850</v>
      </c>
      <c r="G363" s="8">
        <v>45851</v>
      </c>
      <c r="H363" s="8">
        <v>45855</v>
      </c>
      <c r="I363" s="7" t="s">
        <v>82</v>
      </c>
      <c r="J363" s="7" t="s">
        <v>1</v>
      </c>
      <c r="K363" s="7" t="s">
        <v>20</v>
      </c>
      <c r="L363" s="7" t="s">
        <v>22</v>
      </c>
      <c r="M363" s="7" t="s">
        <v>26</v>
      </c>
      <c r="N363" s="7" t="s">
        <v>27</v>
      </c>
      <c r="O363" s="7" t="s">
        <v>28</v>
      </c>
      <c r="P363" s="7">
        <v>2</v>
      </c>
      <c r="Q363" s="9">
        <v>3330</v>
      </c>
      <c r="R363" s="9">
        <v>3629.7</v>
      </c>
      <c r="S363" s="10">
        <v>0.08</v>
      </c>
      <c r="T363" s="9">
        <v>6678.6480000000001</v>
      </c>
      <c r="U363" s="9">
        <v>6660</v>
      </c>
      <c r="V363" s="9">
        <v>18.648</v>
      </c>
      <c r="W363" s="10">
        <v>2.7921818907060201E-3</v>
      </c>
    </row>
    <row r="364" spans="1:23" x14ac:dyDescent="0.3">
      <c r="A364" s="7" t="s">
        <v>1331</v>
      </c>
      <c r="B364" s="7" t="s">
        <v>311</v>
      </c>
      <c r="C364" s="7" t="s">
        <v>1332</v>
      </c>
      <c r="D364" s="7" t="s">
        <v>1333</v>
      </c>
      <c r="E364" s="7" t="s">
        <v>114</v>
      </c>
      <c r="F364" s="8">
        <v>45509</v>
      </c>
      <c r="G364" s="8">
        <v>45509</v>
      </c>
      <c r="H364" s="8">
        <v>45513</v>
      </c>
      <c r="I364" s="7" t="s">
        <v>72</v>
      </c>
      <c r="J364" s="7" t="s">
        <v>2362</v>
      </c>
      <c r="K364" s="7" t="s">
        <v>20</v>
      </c>
      <c r="L364" s="7" t="s">
        <v>25</v>
      </c>
      <c r="M364" s="7" t="s">
        <v>51</v>
      </c>
      <c r="N364" s="7" t="s">
        <v>33</v>
      </c>
      <c r="O364" s="7" t="s">
        <v>52</v>
      </c>
      <c r="P364" s="7">
        <v>5</v>
      </c>
      <c r="Q364" s="9">
        <v>280</v>
      </c>
      <c r="R364" s="9">
        <v>336</v>
      </c>
      <c r="S364" s="10">
        <v>0.03</v>
      </c>
      <c r="T364" s="9">
        <v>1629.6</v>
      </c>
      <c r="U364" s="9">
        <v>1400</v>
      </c>
      <c r="V364" s="9">
        <v>229.6</v>
      </c>
      <c r="W364" s="10">
        <v>0.14089347079037801</v>
      </c>
    </row>
    <row r="365" spans="1:23" x14ac:dyDescent="0.3">
      <c r="A365" s="7" t="s">
        <v>1334</v>
      </c>
      <c r="B365" s="7" t="s">
        <v>925</v>
      </c>
      <c r="C365" s="7" t="s">
        <v>1335</v>
      </c>
      <c r="D365" s="7" t="s">
        <v>1336</v>
      </c>
      <c r="E365" s="7" t="s">
        <v>114</v>
      </c>
      <c r="F365" s="8">
        <v>45774</v>
      </c>
      <c r="G365" s="8">
        <v>45774</v>
      </c>
      <c r="H365" s="8">
        <v>45777</v>
      </c>
      <c r="I365" s="7" t="s">
        <v>72</v>
      </c>
      <c r="J365" s="7" t="s">
        <v>2362</v>
      </c>
      <c r="K365" s="7" t="s">
        <v>20</v>
      </c>
      <c r="L365" s="7" t="s">
        <v>25</v>
      </c>
      <c r="M365" s="7" t="s">
        <v>51</v>
      </c>
      <c r="N365" s="7" t="s">
        <v>33</v>
      </c>
      <c r="O365" s="7" t="s">
        <v>52</v>
      </c>
      <c r="P365" s="7">
        <v>10</v>
      </c>
      <c r="Q365" s="9">
        <v>280</v>
      </c>
      <c r="R365" s="9">
        <v>336</v>
      </c>
      <c r="S365" s="10">
        <v>0.06</v>
      </c>
      <c r="T365" s="9">
        <v>3158.4</v>
      </c>
      <c r="U365" s="9">
        <v>2800</v>
      </c>
      <c r="V365" s="9">
        <v>358.4</v>
      </c>
      <c r="W365" s="10">
        <v>0.11347517730496499</v>
      </c>
    </row>
    <row r="366" spans="1:23" x14ac:dyDescent="0.3">
      <c r="A366" s="7" t="s">
        <v>1337</v>
      </c>
      <c r="B366" s="7" t="s">
        <v>1338</v>
      </c>
      <c r="C366" s="7" t="s">
        <v>1339</v>
      </c>
      <c r="D366" s="7" t="s">
        <v>1340</v>
      </c>
      <c r="E366" s="7" t="s">
        <v>95</v>
      </c>
      <c r="F366" s="8">
        <v>45538</v>
      </c>
      <c r="G366" s="8">
        <v>45538</v>
      </c>
      <c r="H366" s="8">
        <v>45543</v>
      </c>
      <c r="I366" s="7" t="s">
        <v>82</v>
      </c>
      <c r="J366" s="7" t="s">
        <v>2364</v>
      </c>
      <c r="K366" s="7" t="s">
        <v>19</v>
      </c>
      <c r="L366" s="7" t="s">
        <v>23</v>
      </c>
      <c r="M366" s="7" t="s">
        <v>49</v>
      </c>
      <c r="N366" s="7" t="s">
        <v>33</v>
      </c>
      <c r="O366" s="7" t="s">
        <v>34</v>
      </c>
      <c r="P366" s="7">
        <v>3</v>
      </c>
      <c r="Q366" s="9">
        <v>1080</v>
      </c>
      <c r="R366" s="9">
        <v>1112.4000000000001</v>
      </c>
      <c r="S366" s="10">
        <v>0.01</v>
      </c>
      <c r="T366" s="9">
        <v>3303.828</v>
      </c>
      <c r="U366" s="9">
        <v>3240</v>
      </c>
      <c r="V366" s="9">
        <v>63.828000000000003</v>
      </c>
      <c r="W366" s="10">
        <v>1.9319407668922199E-2</v>
      </c>
    </row>
    <row r="367" spans="1:23" x14ac:dyDescent="0.3">
      <c r="A367" s="7" t="s">
        <v>1341</v>
      </c>
      <c r="B367" s="7" t="s">
        <v>304</v>
      </c>
      <c r="C367" s="7" t="s">
        <v>1342</v>
      </c>
      <c r="D367" s="7" t="s">
        <v>1343</v>
      </c>
      <c r="E367" s="7" t="s">
        <v>109</v>
      </c>
      <c r="F367" s="8">
        <v>45330</v>
      </c>
      <c r="G367" s="8">
        <v>45330</v>
      </c>
      <c r="H367" s="8">
        <v>45334</v>
      </c>
      <c r="I367" s="7" t="s">
        <v>72</v>
      </c>
      <c r="J367" s="7" t="s">
        <v>2</v>
      </c>
      <c r="K367" s="7" t="s">
        <v>19</v>
      </c>
      <c r="L367" s="7" t="s">
        <v>25</v>
      </c>
      <c r="M367" s="7" t="s">
        <v>2365</v>
      </c>
      <c r="N367" s="7" t="s">
        <v>27</v>
      </c>
      <c r="O367" s="7" t="s">
        <v>56</v>
      </c>
      <c r="P367" s="7">
        <v>10</v>
      </c>
      <c r="Q367" s="9">
        <v>650</v>
      </c>
      <c r="R367" s="9">
        <v>663</v>
      </c>
      <c r="S367" s="10">
        <v>0.1</v>
      </c>
      <c r="T367" s="9">
        <v>5967</v>
      </c>
      <c r="U367" s="9">
        <v>6500</v>
      </c>
      <c r="V367" s="9">
        <v>-533</v>
      </c>
      <c r="W367" s="10">
        <v>-8.9324618736383393E-2</v>
      </c>
    </row>
    <row r="368" spans="1:23" x14ac:dyDescent="0.3">
      <c r="A368" s="7" t="s">
        <v>1344</v>
      </c>
      <c r="B368" s="7" t="s">
        <v>297</v>
      </c>
      <c r="C368" s="7" t="s">
        <v>1345</v>
      </c>
      <c r="D368" s="7" t="s">
        <v>1346</v>
      </c>
      <c r="E368" s="7" t="s">
        <v>178</v>
      </c>
      <c r="F368" s="8">
        <v>45777</v>
      </c>
      <c r="G368" s="8">
        <v>45778</v>
      </c>
      <c r="H368" s="8">
        <v>45781</v>
      </c>
      <c r="I368" s="7" t="s">
        <v>72</v>
      </c>
      <c r="J368" s="7" t="s">
        <v>2363</v>
      </c>
      <c r="K368" s="7" t="s">
        <v>21</v>
      </c>
      <c r="L368" s="7" t="s">
        <v>24</v>
      </c>
      <c r="M368" s="7" t="s">
        <v>47</v>
      </c>
      <c r="N368" s="7" t="s">
        <v>38</v>
      </c>
      <c r="O368" s="7" t="s">
        <v>39</v>
      </c>
      <c r="P368" s="7">
        <v>12</v>
      </c>
      <c r="Q368" s="9">
        <v>390</v>
      </c>
      <c r="R368" s="9">
        <v>468</v>
      </c>
      <c r="S368" s="10">
        <v>0.02</v>
      </c>
      <c r="T368" s="9">
        <v>5503.68</v>
      </c>
      <c r="U368" s="9">
        <v>4680</v>
      </c>
      <c r="V368" s="9">
        <v>823.68</v>
      </c>
      <c r="W368" s="10">
        <v>0.14965986394557801</v>
      </c>
    </row>
    <row r="369" spans="1:23" x14ac:dyDescent="0.3">
      <c r="A369" s="7" t="s">
        <v>1347</v>
      </c>
      <c r="B369" s="7" t="s">
        <v>1297</v>
      </c>
      <c r="C369" s="7" t="s">
        <v>1348</v>
      </c>
      <c r="D369" s="7" t="s">
        <v>1349</v>
      </c>
      <c r="E369" s="7" t="s">
        <v>291</v>
      </c>
      <c r="F369" s="8">
        <v>45793</v>
      </c>
      <c r="G369" s="8">
        <v>45793</v>
      </c>
      <c r="H369" s="8">
        <v>45797</v>
      </c>
      <c r="I369" s="7" t="s">
        <v>72</v>
      </c>
      <c r="J369" s="7" t="s">
        <v>2362</v>
      </c>
      <c r="K369" s="7" t="s">
        <v>21</v>
      </c>
      <c r="L369" s="7" t="s">
        <v>25</v>
      </c>
      <c r="M369" s="7" t="s">
        <v>57</v>
      </c>
      <c r="N369" s="7" t="s">
        <v>27</v>
      </c>
      <c r="O369" s="7" t="s">
        <v>58</v>
      </c>
      <c r="P369" s="7">
        <v>9</v>
      </c>
      <c r="Q369" s="9">
        <v>480</v>
      </c>
      <c r="R369" s="9">
        <v>513.6</v>
      </c>
      <c r="S369" s="10">
        <v>0.09</v>
      </c>
      <c r="T369" s="9">
        <v>4206.384</v>
      </c>
      <c r="U369" s="9">
        <v>4320</v>
      </c>
      <c r="V369" s="9">
        <v>-113.616</v>
      </c>
      <c r="W369" s="10">
        <v>-2.7010372804765301E-2</v>
      </c>
    </row>
    <row r="370" spans="1:23" x14ac:dyDescent="0.3">
      <c r="A370" s="7" t="s">
        <v>1350</v>
      </c>
      <c r="B370" s="7" t="s">
        <v>501</v>
      </c>
      <c r="C370" s="7" t="s">
        <v>1351</v>
      </c>
      <c r="D370" s="7" t="s">
        <v>1352</v>
      </c>
      <c r="E370" s="7" t="s">
        <v>217</v>
      </c>
      <c r="F370" s="8">
        <v>45408</v>
      </c>
      <c r="G370" s="8">
        <v>45409</v>
      </c>
      <c r="H370" s="8">
        <v>45410</v>
      </c>
      <c r="I370" s="7" t="s">
        <v>72</v>
      </c>
      <c r="J370" s="7" t="s">
        <v>2</v>
      </c>
      <c r="K370" s="7" t="s">
        <v>19</v>
      </c>
      <c r="L370" s="7" t="s">
        <v>61</v>
      </c>
      <c r="M370" s="7" t="s">
        <v>29</v>
      </c>
      <c r="N370" s="7" t="s">
        <v>27</v>
      </c>
      <c r="O370" s="7" t="s">
        <v>28</v>
      </c>
      <c r="P370" s="7">
        <v>7</v>
      </c>
      <c r="Q370" s="9">
        <v>3930</v>
      </c>
      <c r="R370" s="9">
        <v>4362.3</v>
      </c>
      <c r="S370" s="10">
        <v>0.02</v>
      </c>
      <c r="T370" s="9">
        <v>29925.378000000001</v>
      </c>
      <c r="U370" s="9">
        <v>27510</v>
      </c>
      <c r="V370" s="9">
        <v>2415.3780000000002</v>
      </c>
      <c r="W370" s="10">
        <v>8.0713366427652103E-2</v>
      </c>
    </row>
    <row r="371" spans="1:23" x14ac:dyDescent="0.3">
      <c r="A371" s="7" t="s">
        <v>1353</v>
      </c>
      <c r="B371" s="7" t="s">
        <v>564</v>
      </c>
      <c r="C371" s="7" t="s">
        <v>1354</v>
      </c>
      <c r="D371" s="7" t="s">
        <v>1355</v>
      </c>
      <c r="E371" s="7" t="s">
        <v>164</v>
      </c>
      <c r="F371" s="8">
        <v>45333</v>
      </c>
      <c r="G371" s="8">
        <v>45333</v>
      </c>
      <c r="H371" s="8">
        <v>45338</v>
      </c>
      <c r="I371" s="7" t="s">
        <v>82</v>
      </c>
      <c r="J371" s="7" t="s">
        <v>1</v>
      </c>
      <c r="K371" s="7" t="s">
        <v>20</v>
      </c>
      <c r="L371" s="7" t="s">
        <v>25</v>
      </c>
      <c r="M371" s="7" t="s">
        <v>43</v>
      </c>
      <c r="N371" s="7" t="s">
        <v>27</v>
      </c>
      <c r="O371" s="7" t="s">
        <v>31</v>
      </c>
      <c r="P371" s="7">
        <v>4</v>
      </c>
      <c r="Q371" s="9">
        <v>1630</v>
      </c>
      <c r="R371" s="9">
        <v>1744.1</v>
      </c>
      <c r="S371" s="10">
        <v>0.05</v>
      </c>
      <c r="T371" s="9">
        <v>6627.58</v>
      </c>
      <c r="U371" s="9">
        <v>6520</v>
      </c>
      <c r="V371" s="9">
        <v>107.58</v>
      </c>
      <c r="W371" s="10">
        <v>1.6232169208066902E-2</v>
      </c>
    </row>
    <row r="372" spans="1:23" x14ac:dyDescent="0.3">
      <c r="A372" s="7" t="s">
        <v>1356</v>
      </c>
      <c r="B372" s="7" t="s">
        <v>1065</v>
      </c>
      <c r="C372" s="7" t="s">
        <v>1357</v>
      </c>
      <c r="D372" s="7" t="s">
        <v>1073</v>
      </c>
      <c r="E372" s="7" t="s">
        <v>291</v>
      </c>
      <c r="F372" s="8">
        <v>45507</v>
      </c>
      <c r="G372" s="8">
        <v>45507</v>
      </c>
      <c r="H372" s="8">
        <v>45511</v>
      </c>
      <c r="I372" s="7" t="s">
        <v>72</v>
      </c>
      <c r="J372" s="7" t="s">
        <v>2364</v>
      </c>
      <c r="K372" s="7" t="s">
        <v>19</v>
      </c>
      <c r="L372" s="7" t="s">
        <v>24</v>
      </c>
      <c r="M372" s="7" t="s">
        <v>57</v>
      </c>
      <c r="N372" s="7" t="s">
        <v>27</v>
      </c>
      <c r="O372" s="7" t="s">
        <v>58</v>
      </c>
      <c r="P372" s="7">
        <v>5</v>
      </c>
      <c r="Q372" s="9">
        <v>480</v>
      </c>
      <c r="R372" s="9">
        <v>513.6</v>
      </c>
      <c r="S372" s="10">
        <v>0.03</v>
      </c>
      <c r="T372" s="9">
        <v>2490.96</v>
      </c>
      <c r="U372" s="9">
        <v>2400</v>
      </c>
      <c r="V372" s="9">
        <v>90.96</v>
      </c>
      <c r="W372" s="10">
        <v>3.6516042007900602E-2</v>
      </c>
    </row>
    <row r="373" spans="1:23" x14ac:dyDescent="0.3">
      <c r="A373" s="7" t="s">
        <v>1358</v>
      </c>
      <c r="B373" s="7" t="s">
        <v>210</v>
      </c>
      <c r="C373" s="7" t="s">
        <v>1359</v>
      </c>
      <c r="D373" s="7" t="s">
        <v>1089</v>
      </c>
      <c r="E373" s="7" t="s">
        <v>77</v>
      </c>
      <c r="F373" s="8">
        <v>45784</v>
      </c>
      <c r="G373" s="8">
        <v>45785</v>
      </c>
      <c r="H373" s="8">
        <v>45789</v>
      </c>
      <c r="I373" s="7" t="s">
        <v>72</v>
      </c>
      <c r="J373" s="7" t="s">
        <v>2362</v>
      </c>
      <c r="K373" s="7" t="s">
        <v>19</v>
      </c>
      <c r="L373" s="7" t="s">
        <v>25</v>
      </c>
      <c r="M373" s="7" t="s">
        <v>44</v>
      </c>
      <c r="N373" s="7" t="s">
        <v>38</v>
      </c>
      <c r="O373" s="7" t="s">
        <v>45</v>
      </c>
      <c r="P373" s="7">
        <v>10</v>
      </c>
      <c r="Q373" s="9">
        <v>210</v>
      </c>
      <c r="R373" s="9">
        <v>222.6</v>
      </c>
      <c r="S373" s="10">
        <v>0.1</v>
      </c>
      <c r="T373" s="9">
        <v>2003.4</v>
      </c>
      <c r="U373" s="9">
        <v>2100</v>
      </c>
      <c r="V373" s="9">
        <v>-96.6</v>
      </c>
      <c r="W373" s="10">
        <v>-4.8218029350104802E-2</v>
      </c>
    </row>
    <row r="374" spans="1:23" x14ac:dyDescent="0.3">
      <c r="A374" s="7" t="s">
        <v>1360</v>
      </c>
      <c r="B374" s="7" t="s">
        <v>1361</v>
      </c>
      <c r="C374" s="7" t="s">
        <v>1362</v>
      </c>
      <c r="D374" s="7" t="s">
        <v>1363</v>
      </c>
      <c r="E374" s="7" t="s">
        <v>87</v>
      </c>
      <c r="F374" s="8">
        <v>45655</v>
      </c>
      <c r="G374" s="8">
        <v>45655</v>
      </c>
      <c r="H374" s="8">
        <v>45659</v>
      </c>
      <c r="I374" s="7" t="s">
        <v>72</v>
      </c>
      <c r="J374" s="7" t="s">
        <v>2</v>
      </c>
      <c r="K374" s="7" t="s">
        <v>20</v>
      </c>
      <c r="L374" s="7" t="s">
        <v>25</v>
      </c>
      <c r="M374" s="7" t="s">
        <v>30</v>
      </c>
      <c r="N374" s="7" t="s">
        <v>27</v>
      </c>
      <c r="O374" s="7" t="s">
        <v>31</v>
      </c>
      <c r="P374" s="7">
        <v>10</v>
      </c>
      <c r="Q374" s="9">
        <v>1030</v>
      </c>
      <c r="R374" s="9">
        <v>1174.2</v>
      </c>
      <c r="S374" s="10">
        <v>0.02</v>
      </c>
      <c r="T374" s="9">
        <v>11507.16</v>
      </c>
      <c r="U374" s="9">
        <v>10300</v>
      </c>
      <c r="V374" s="9">
        <v>1207.1600000000001</v>
      </c>
      <c r="W374" s="10">
        <v>0.104905119942714</v>
      </c>
    </row>
    <row r="375" spans="1:23" x14ac:dyDescent="0.3">
      <c r="A375" s="7" t="s">
        <v>1364</v>
      </c>
      <c r="B375" s="7" t="s">
        <v>851</v>
      </c>
      <c r="C375" s="7" t="s">
        <v>1365</v>
      </c>
      <c r="D375" s="7" t="s">
        <v>1366</v>
      </c>
      <c r="E375" s="7" t="s">
        <v>291</v>
      </c>
      <c r="F375" s="8">
        <v>45973</v>
      </c>
      <c r="G375" s="8">
        <v>45974</v>
      </c>
      <c r="H375" s="8">
        <v>45976</v>
      </c>
      <c r="I375" s="7" t="s">
        <v>72</v>
      </c>
      <c r="J375" s="7" t="s">
        <v>1</v>
      </c>
      <c r="K375" s="7" t="s">
        <v>20</v>
      </c>
      <c r="L375" s="7" t="s">
        <v>24</v>
      </c>
      <c r="M375" s="7" t="s">
        <v>57</v>
      </c>
      <c r="N375" s="7" t="s">
        <v>27</v>
      </c>
      <c r="O375" s="7" t="s">
        <v>58</v>
      </c>
      <c r="P375" s="7">
        <v>6</v>
      </c>
      <c r="Q375" s="9">
        <v>480</v>
      </c>
      <c r="R375" s="9">
        <v>513.6</v>
      </c>
      <c r="S375" s="10">
        <v>0.01</v>
      </c>
      <c r="T375" s="9">
        <v>3050.7840000000001</v>
      </c>
      <c r="U375" s="9">
        <v>2880</v>
      </c>
      <c r="V375" s="9">
        <v>170.78399999999999</v>
      </c>
      <c r="W375" s="10">
        <v>5.5980364391579301E-2</v>
      </c>
    </row>
    <row r="376" spans="1:23" x14ac:dyDescent="0.3">
      <c r="A376" s="7" t="s">
        <v>1367</v>
      </c>
      <c r="B376" s="7" t="s">
        <v>373</v>
      </c>
      <c r="C376" s="7" t="s">
        <v>1368</v>
      </c>
      <c r="D376" s="7" t="s">
        <v>1369</v>
      </c>
      <c r="E376" s="7" t="s">
        <v>291</v>
      </c>
      <c r="F376" s="8">
        <v>46156</v>
      </c>
      <c r="G376" s="8">
        <v>46157</v>
      </c>
      <c r="H376" s="8">
        <v>46158</v>
      </c>
      <c r="I376" s="7" t="s">
        <v>72</v>
      </c>
      <c r="J376" s="7" t="s">
        <v>2364</v>
      </c>
      <c r="K376" s="7" t="s">
        <v>21</v>
      </c>
      <c r="L376" s="7" t="s">
        <v>24</v>
      </c>
      <c r="M376" s="7" t="s">
        <v>57</v>
      </c>
      <c r="N376" s="7" t="s">
        <v>27</v>
      </c>
      <c r="O376" s="7" t="s">
        <v>58</v>
      </c>
      <c r="P376" s="7">
        <v>13</v>
      </c>
      <c r="Q376" s="9">
        <v>480</v>
      </c>
      <c r="R376" s="9">
        <v>513.6</v>
      </c>
      <c r="S376" s="10">
        <v>0.05</v>
      </c>
      <c r="T376" s="9">
        <v>6342.96</v>
      </c>
      <c r="U376" s="9">
        <v>6240</v>
      </c>
      <c r="V376" s="9">
        <v>102.96</v>
      </c>
      <c r="W376" s="10">
        <v>1.6232169208066902E-2</v>
      </c>
    </row>
    <row r="377" spans="1:23" x14ac:dyDescent="0.3">
      <c r="A377" s="7" t="s">
        <v>1370</v>
      </c>
      <c r="B377" s="7" t="s">
        <v>315</v>
      </c>
      <c r="C377" s="7" t="s">
        <v>1371</v>
      </c>
      <c r="D377" s="7" t="s">
        <v>1372</v>
      </c>
      <c r="E377" s="7" t="s">
        <v>71</v>
      </c>
      <c r="F377" s="8">
        <v>45352</v>
      </c>
      <c r="G377" s="8">
        <v>45352</v>
      </c>
      <c r="H377" s="8">
        <v>45355</v>
      </c>
      <c r="I377" s="7" t="s">
        <v>82</v>
      </c>
      <c r="J377" s="7" t="s">
        <v>2364</v>
      </c>
      <c r="K377" s="7" t="s">
        <v>19</v>
      </c>
      <c r="L377" s="7" t="s">
        <v>25</v>
      </c>
      <c r="M377" s="7" t="s">
        <v>32</v>
      </c>
      <c r="N377" s="7" t="s">
        <v>33</v>
      </c>
      <c r="O377" s="7" t="s">
        <v>34</v>
      </c>
      <c r="P377" s="7">
        <v>4</v>
      </c>
      <c r="Q377" s="9">
        <v>730</v>
      </c>
      <c r="R377" s="9">
        <v>824.9</v>
      </c>
      <c r="S377" s="10">
        <v>7.0000000000000007E-2</v>
      </c>
      <c r="T377" s="9">
        <v>3068.6280000000002</v>
      </c>
      <c r="U377" s="9">
        <v>2920</v>
      </c>
      <c r="V377" s="9">
        <v>148.62799999999999</v>
      </c>
      <c r="W377" s="10">
        <v>4.8434675040441501E-2</v>
      </c>
    </row>
    <row r="378" spans="1:23" x14ac:dyDescent="0.3">
      <c r="A378" s="7" t="s">
        <v>1373</v>
      </c>
      <c r="B378" s="7" t="s">
        <v>1112</v>
      </c>
      <c r="C378" s="7" t="s">
        <v>1374</v>
      </c>
      <c r="D378" s="7" t="s">
        <v>1375</v>
      </c>
      <c r="E378" s="7" t="s">
        <v>173</v>
      </c>
      <c r="F378" s="8">
        <v>45770</v>
      </c>
      <c r="G378" s="8">
        <v>45770</v>
      </c>
      <c r="H378" s="8">
        <v>45774</v>
      </c>
      <c r="I378" s="7" t="s">
        <v>72</v>
      </c>
      <c r="J378" s="7" t="s">
        <v>2363</v>
      </c>
      <c r="K378" s="7" t="s">
        <v>19</v>
      </c>
      <c r="L378" s="7" t="s">
        <v>61</v>
      </c>
      <c r="M378" s="7" t="s">
        <v>48</v>
      </c>
      <c r="N378" s="7" t="s">
        <v>38</v>
      </c>
      <c r="O378" s="7" t="s">
        <v>41</v>
      </c>
      <c r="P378" s="7">
        <v>9</v>
      </c>
      <c r="Q378" s="9">
        <v>580</v>
      </c>
      <c r="R378" s="9">
        <v>667</v>
      </c>
      <c r="S378" s="10">
        <v>0.05</v>
      </c>
      <c r="T378" s="9">
        <v>5702.85</v>
      </c>
      <c r="U378" s="9">
        <v>5220</v>
      </c>
      <c r="V378" s="9">
        <v>482.85</v>
      </c>
      <c r="W378" s="10">
        <v>8.4668192219679597E-2</v>
      </c>
    </row>
    <row r="379" spans="1:23" x14ac:dyDescent="0.3">
      <c r="A379" s="7" t="s">
        <v>1376</v>
      </c>
      <c r="B379" s="7" t="s">
        <v>1377</v>
      </c>
      <c r="C379" s="7" t="s">
        <v>1378</v>
      </c>
      <c r="D379" s="7" t="s">
        <v>1379</v>
      </c>
      <c r="E379" s="7" t="s">
        <v>87</v>
      </c>
      <c r="F379" s="8">
        <v>45704</v>
      </c>
      <c r="G379" s="8">
        <v>45705</v>
      </c>
      <c r="H379" s="8">
        <v>45709</v>
      </c>
      <c r="I379" s="7" t="s">
        <v>72</v>
      </c>
      <c r="J379" s="7" t="s">
        <v>1</v>
      </c>
      <c r="K379" s="7" t="s">
        <v>21</v>
      </c>
      <c r="L379" s="7" t="s">
        <v>22</v>
      </c>
      <c r="M379" s="7" t="s">
        <v>30</v>
      </c>
      <c r="N379" s="7" t="s">
        <v>27</v>
      </c>
      <c r="O379" s="7" t="s">
        <v>31</v>
      </c>
      <c r="P379" s="7">
        <v>7</v>
      </c>
      <c r="Q379" s="9">
        <v>1030</v>
      </c>
      <c r="R379" s="9">
        <v>1174.2</v>
      </c>
      <c r="S379" s="10">
        <v>0.04</v>
      </c>
      <c r="T379" s="9">
        <v>7890.6239999999998</v>
      </c>
      <c r="U379" s="9">
        <v>7210</v>
      </c>
      <c r="V379" s="9">
        <v>680.62400000000002</v>
      </c>
      <c r="W379" s="10">
        <v>8.6257309941520505E-2</v>
      </c>
    </row>
    <row r="380" spans="1:23" x14ac:dyDescent="0.3">
      <c r="A380" s="7" t="s">
        <v>1380</v>
      </c>
      <c r="B380" s="7" t="s">
        <v>175</v>
      </c>
      <c r="C380" s="7" t="s">
        <v>1381</v>
      </c>
      <c r="D380" s="7" t="s">
        <v>1382</v>
      </c>
      <c r="E380" s="7" t="s">
        <v>192</v>
      </c>
      <c r="F380" s="8">
        <v>45492</v>
      </c>
      <c r="G380" s="8">
        <v>45493</v>
      </c>
      <c r="H380" s="8">
        <v>45495</v>
      </c>
      <c r="I380" s="7" t="s">
        <v>82</v>
      </c>
      <c r="J380" s="7" t="s">
        <v>2</v>
      </c>
      <c r="K380" s="7" t="s">
        <v>20</v>
      </c>
      <c r="L380" s="7" t="s">
        <v>24</v>
      </c>
      <c r="M380" s="7" t="s">
        <v>46</v>
      </c>
      <c r="N380" s="7" t="s">
        <v>38</v>
      </c>
      <c r="O380" s="7" t="s">
        <v>45</v>
      </c>
      <c r="P380" s="7">
        <v>4</v>
      </c>
      <c r="Q380" s="9">
        <v>350</v>
      </c>
      <c r="R380" s="9">
        <v>364</v>
      </c>
      <c r="S380" s="10">
        <v>0.01</v>
      </c>
      <c r="T380" s="9">
        <v>1441.44</v>
      </c>
      <c r="U380" s="9">
        <v>1400</v>
      </c>
      <c r="V380" s="9">
        <v>41.44</v>
      </c>
      <c r="W380" s="10">
        <v>2.87490287490287E-2</v>
      </c>
    </row>
    <row r="381" spans="1:23" x14ac:dyDescent="0.3">
      <c r="A381" s="7" t="s">
        <v>1383</v>
      </c>
      <c r="B381" s="7" t="s">
        <v>501</v>
      </c>
      <c r="C381" s="7" t="s">
        <v>1384</v>
      </c>
      <c r="D381" s="7" t="s">
        <v>1385</v>
      </c>
      <c r="E381" s="7" t="s">
        <v>71</v>
      </c>
      <c r="F381" s="8">
        <v>45746</v>
      </c>
      <c r="G381" s="8">
        <v>45746</v>
      </c>
      <c r="H381" s="8">
        <v>45750</v>
      </c>
      <c r="I381" s="7" t="s">
        <v>72</v>
      </c>
      <c r="J381" s="7" t="s">
        <v>2363</v>
      </c>
      <c r="K381" s="7" t="s">
        <v>19</v>
      </c>
      <c r="L381" s="7" t="s">
        <v>24</v>
      </c>
      <c r="M381" s="7" t="s">
        <v>32</v>
      </c>
      <c r="N381" s="7" t="s">
        <v>33</v>
      </c>
      <c r="O381" s="7" t="s">
        <v>34</v>
      </c>
      <c r="P381" s="7">
        <v>6</v>
      </c>
      <c r="Q381" s="9">
        <v>730</v>
      </c>
      <c r="R381" s="9">
        <v>824.9</v>
      </c>
      <c r="S381" s="10">
        <v>0.04</v>
      </c>
      <c r="T381" s="9">
        <v>4751.424</v>
      </c>
      <c r="U381" s="9">
        <v>4380</v>
      </c>
      <c r="V381" s="9">
        <v>371.42399999999998</v>
      </c>
      <c r="W381" s="10">
        <v>7.8171091445427707E-2</v>
      </c>
    </row>
    <row r="382" spans="1:23" x14ac:dyDescent="0.3">
      <c r="A382" s="7" t="s">
        <v>1386</v>
      </c>
      <c r="B382" s="7" t="s">
        <v>1081</v>
      </c>
      <c r="C382" s="7" t="s">
        <v>1387</v>
      </c>
      <c r="D382" s="7" t="s">
        <v>1388</v>
      </c>
      <c r="E382" s="7" t="s">
        <v>178</v>
      </c>
      <c r="F382" s="8">
        <v>46049</v>
      </c>
      <c r="G382" s="8">
        <v>46050</v>
      </c>
      <c r="H382" s="8">
        <v>46053</v>
      </c>
      <c r="I382" s="7" t="s">
        <v>72</v>
      </c>
      <c r="J382" s="7" t="s">
        <v>2362</v>
      </c>
      <c r="K382" s="7" t="s">
        <v>20</v>
      </c>
      <c r="L382" s="7" t="s">
        <v>22</v>
      </c>
      <c r="M382" s="7" t="s">
        <v>47</v>
      </c>
      <c r="N382" s="7" t="s">
        <v>38</v>
      </c>
      <c r="O382" s="7" t="s">
        <v>39</v>
      </c>
      <c r="P382" s="7">
        <v>7</v>
      </c>
      <c r="Q382" s="9">
        <v>390</v>
      </c>
      <c r="R382" s="9">
        <v>468</v>
      </c>
      <c r="S382" s="10">
        <v>0.04</v>
      </c>
      <c r="T382" s="9">
        <v>3144.96</v>
      </c>
      <c r="U382" s="9">
        <v>2730</v>
      </c>
      <c r="V382" s="9">
        <v>414.96</v>
      </c>
      <c r="W382" s="10">
        <v>0.131944444444444</v>
      </c>
    </row>
    <row r="383" spans="1:23" x14ac:dyDescent="0.3">
      <c r="A383" s="7" t="s">
        <v>1389</v>
      </c>
      <c r="B383" s="7" t="s">
        <v>369</v>
      </c>
      <c r="C383" s="7" t="s">
        <v>1390</v>
      </c>
      <c r="D383" s="7" t="s">
        <v>1391</v>
      </c>
      <c r="E383" s="7" t="s">
        <v>100</v>
      </c>
      <c r="F383" s="8">
        <v>46090</v>
      </c>
      <c r="G383" s="8">
        <v>46091</v>
      </c>
      <c r="H383" s="8">
        <v>46092</v>
      </c>
      <c r="I383" s="7" t="s">
        <v>72</v>
      </c>
      <c r="J383" s="7" t="s">
        <v>2362</v>
      </c>
      <c r="K383" s="7" t="s">
        <v>19</v>
      </c>
      <c r="L383" s="7" t="s">
        <v>24</v>
      </c>
      <c r="M383" s="7" t="s">
        <v>42</v>
      </c>
      <c r="N383" s="7" t="s">
        <v>27</v>
      </c>
      <c r="O383" s="7" t="s">
        <v>28</v>
      </c>
      <c r="P383" s="7">
        <v>6</v>
      </c>
      <c r="Q383" s="9">
        <v>3030</v>
      </c>
      <c r="R383" s="9">
        <v>3211.8</v>
      </c>
      <c r="S383" s="10">
        <v>0.08</v>
      </c>
      <c r="T383" s="9">
        <v>17729.135999999999</v>
      </c>
      <c r="U383" s="9">
        <v>18180</v>
      </c>
      <c r="V383" s="9">
        <v>-450.86399999999998</v>
      </c>
      <c r="W383" s="10">
        <v>-2.5430680885972098E-2</v>
      </c>
    </row>
    <row r="384" spans="1:23" x14ac:dyDescent="0.3">
      <c r="A384" s="7" t="s">
        <v>1392</v>
      </c>
      <c r="B384" s="7" t="s">
        <v>979</v>
      </c>
      <c r="C384" s="7" t="s">
        <v>1393</v>
      </c>
      <c r="D384" s="7" t="s">
        <v>1394</v>
      </c>
      <c r="E384" s="7" t="s">
        <v>132</v>
      </c>
      <c r="F384" s="8">
        <v>46051</v>
      </c>
      <c r="G384" s="8">
        <v>46051</v>
      </c>
      <c r="H384" s="8">
        <v>46056</v>
      </c>
      <c r="I384" s="7" t="s">
        <v>82</v>
      </c>
      <c r="J384" s="7" t="s">
        <v>2</v>
      </c>
      <c r="K384" s="7" t="s">
        <v>19</v>
      </c>
      <c r="L384" s="7" t="s">
        <v>23</v>
      </c>
      <c r="M384" s="7" t="s">
        <v>2366</v>
      </c>
      <c r="N384" s="7" t="s">
        <v>27</v>
      </c>
      <c r="O384" s="7" t="s">
        <v>54</v>
      </c>
      <c r="P384" s="7">
        <v>1</v>
      </c>
      <c r="Q384" s="9">
        <v>430</v>
      </c>
      <c r="R384" s="9">
        <v>455.8</v>
      </c>
      <c r="S384" s="10">
        <v>0.03</v>
      </c>
      <c r="T384" s="9">
        <v>442.12599999999998</v>
      </c>
      <c r="U384" s="9">
        <v>430</v>
      </c>
      <c r="V384" s="9">
        <v>12.125999999999999</v>
      </c>
      <c r="W384" s="10">
        <v>2.74265707060883E-2</v>
      </c>
    </row>
    <row r="385" spans="1:23" x14ac:dyDescent="0.3">
      <c r="A385" s="7" t="s">
        <v>1395</v>
      </c>
      <c r="B385" s="7" t="s">
        <v>474</v>
      </c>
      <c r="C385" s="7" t="s">
        <v>1396</v>
      </c>
      <c r="D385" s="7" t="s">
        <v>1397</v>
      </c>
      <c r="E385" s="7" t="s">
        <v>109</v>
      </c>
      <c r="F385" s="8">
        <v>45865</v>
      </c>
      <c r="G385" s="8">
        <v>45865</v>
      </c>
      <c r="H385" s="8">
        <v>45869</v>
      </c>
      <c r="I385" s="7" t="s">
        <v>82</v>
      </c>
      <c r="J385" s="7" t="s">
        <v>2</v>
      </c>
      <c r="K385" s="7" t="s">
        <v>19</v>
      </c>
      <c r="L385" s="7" t="s">
        <v>61</v>
      </c>
      <c r="M385" s="7" t="s">
        <v>2365</v>
      </c>
      <c r="N385" s="7" t="s">
        <v>27</v>
      </c>
      <c r="O385" s="7" t="s">
        <v>56</v>
      </c>
      <c r="P385" s="7">
        <v>3</v>
      </c>
      <c r="Q385" s="9">
        <v>650</v>
      </c>
      <c r="R385" s="9">
        <v>663</v>
      </c>
      <c r="S385" s="10">
        <v>0.05</v>
      </c>
      <c r="T385" s="9">
        <v>1889.55</v>
      </c>
      <c r="U385" s="9">
        <v>1950</v>
      </c>
      <c r="V385" s="9">
        <v>-60.45</v>
      </c>
      <c r="W385" s="10">
        <v>-3.1991744066047503E-2</v>
      </c>
    </row>
    <row r="386" spans="1:23" x14ac:dyDescent="0.3">
      <c r="A386" s="7" t="s">
        <v>1398</v>
      </c>
      <c r="B386" s="7" t="s">
        <v>1399</v>
      </c>
      <c r="C386" s="7" t="s">
        <v>1400</v>
      </c>
      <c r="D386" s="7" t="s">
        <v>1401</v>
      </c>
      <c r="E386" s="7" t="s">
        <v>178</v>
      </c>
      <c r="F386" s="8">
        <v>46047</v>
      </c>
      <c r="G386" s="8">
        <v>46048</v>
      </c>
      <c r="H386" s="8">
        <v>46050</v>
      </c>
      <c r="I386" s="7" t="s">
        <v>72</v>
      </c>
      <c r="J386" s="7" t="s">
        <v>2362</v>
      </c>
      <c r="K386" s="7" t="s">
        <v>21</v>
      </c>
      <c r="L386" s="7" t="s">
        <v>23</v>
      </c>
      <c r="M386" s="7" t="s">
        <v>47</v>
      </c>
      <c r="N386" s="7" t="s">
        <v>38</v>
      </c>
      <c r="O386" s="7" t="s">
        <v>39</v>
      </c>
      <c r="P386" s="7">
        <v>11</v>
      </c>
      <c r="Q386" s="9">
        <v>390</v>
      </c>
      <c r="R386" s="9">
        <v>468</v>
      </c>
      <c r="S386" s="10">
        <v>0.04</v>
      </c>
      <c r="T386" s="9">
        <v>4942.08</v>
      </c>
      <c r="U386" s="9">
        <v>4290</v>
      </c>
      <c r="V386" s="9">
        <v>652.08000000000004</v>
      </c>
      <c r="W386" s="10">
        <v>0.131944444444444</v>
      </c>
    </row>
    <row r="387" spans="1:23" x14ac:dyDescent="0.3">
      <c r="A387" s="7" t="s">
        <v>1402</v>
      </c>
      <c r="B387" s="7" t="s">
        <v>161</v>
      </c>
      <c r="C387" s="7" t="s">
        <v>1403</v>
      </c>
      <c r="D387" s="7" t="s">
        <v>1404</v>
      </c>
      <c r="E387" s="7" t="s">
        <v>164</v>
      </c>
      <c r="F387" s="8">
        <v>45825</v>
      </c>
      <c r="G387" s="8">
        <v>45826</v>
      </c>
      <c r="H387" s="8">
        <v>45827</v>
      </c>
      <c r="I387" s="7" t="s">
        <v>72</v>
      </c>
      <c r="J387" s="7" t="s">
        <v>2</v>
      </c>
      <c r="K387" s="7" t="s">
        <v>19</v>
      </c>
      <c r="L387" s="7" t="s">
        <v>23</v>
      </c>
      <c r="M387" s="7" t="s">
        <v>43</v>
      </c>
      <c r="N387" s="7" t="s">
        <v>27</v>
      </c>
      <c r="O387" s="7" t="s">
        <v>31</v>
      </c>
      <c r="P387" s="7">
        <v>7</v>
      </c>
      <c r="Q387" s="9">
        <v>1630</v>
      </c>
      <c r="R387" s="9">
        <v>1744.1</v>
      </c>
      <c r="S387" s="10">
        <v>0.03</v>
      </c>
      <c r="T387" s="9">
        <v>11842.439</v>
      </c>
      <c r="U387" s="9">
        <v>11410</v>
      </c>
      <c r="V387" s="9">
        <v>432.43900000000002</v>
      </c>
      <c r="W387" s="10">
        <v>3.6516042007900602E-2</v>
      </c>
    </row>
    <row r="388" spans="1:23" x14ac:dyDescent="0.3">
      <c r="A388" s="7" t="s">
        <v>1405</v>
      </c>
      <c r="B388" s="7" t="s">
        <v>319</v>
      </c>
      <c r="C388" s="7" t="s">
        <v>1406</v>
      </c>
      <c r="D388" s="7" t="s">
        <v>1407</v>
      </c>
      <c r="E388" s="7" t="s">
        <v>95</v>
      </c>
      <c r="F388" s="8">
        <v>45739</v>
      </c>
      <c r="G388" s="8">
        <v>45739</v>
      </c>
      <c r="H388" s="8">
        <v>45744</v>
      </c>
      <c r="I388" s="7" t="s">
        <v>72</v>
      </c>
      <c r="J388" s="7" t="s">
        <v>2362</v>
      </c>
      <c r="K388" s="7" t="s">
        <v>20</v>
      </c>
      <c r="L388" s="7" t="s">
        <v>24</v>
      </c>
      <c r="M388" s="7" t="s">
        <v>49</v>
      </c>
      <c r="N388" s="7" t="s">
        <v>33</v>
      </c>
      <c r="O388" s="7" t="s">
        <v>34</v>
      </c>
      <c r="P388" s="7">
        <v>6</v>
      </c>
      <c r="Q388" s="9">
        <v>1080</v>
      </c>
      <c r="R388" s="9">
        <v>1112.4000000000001</v>
      </c>
      <c r="S388" s="10">
        <v>0.06</v>
      </c>
      <c r="T388" s="9">
        <v>6273.9359999999997</v>
      </c>
      <c r="U388" s="9">
        <v>6480</v>
      </c>
      <c r="V388" s="9">
        <v>-206.06399999999999</v>
      </c>
      <c r="W388" s="10">
        <v>-3.2844453625284001E-2</v>
      </c>
    </row>
    <row r="389" spans="1:23" x14ac:dyDescent="0.3">
      <c r="A389" s="7" t="s">
        <v>1408</v>
      </c>
      <c r="B389" s="7" t="s">
        <v>743</v>
      </c>
      <c r="C389" s="7" t="s">
        <v>1409</v>
      </c>
      <c r="D389" s="7" t="s">
        <v>1410</v>
      </c>
      <c r="E389" s="7" t="s">
        <v>132</v>
      </c>
      <c r="F389" s="8">
        <v>45925</v>
      </c>
      <c r="G389" s="8">
        <v>45925</v>
      </c>
      <c r="H389" s="8">
        <v>45930</v>
      </c>
      <c r="I389" s="7" t="s">
        <v>72</v>
      </c>
      <c r="J389" s="7" t="s">
        <v>2364</v>
      </c>
      <c r="K389" s="7" t="s">
        <v>20</v>
      </c>
      <c r="L389" s="7" t="s">
        <v>61</v>
      </c>
      <c r="M389" s="7" t="s">
        <v>2366</v>
      </c>
      <c r="N389" s="7" t="s">
        <v>27</v>
      </c>
      <c r="O389" s="7" t="s">
        <v>54</v>
      </c>
      <c r="P389" s="7">
        <v>5</v>
      </c>
      <c r="Q389" s="9">
        <v>430</v>
      </c>
      <c r="R389" s="9">
        <v>455.8</v>
      </c>
      <c r="S389" s="10">
        <v>0.03</v>
      </c>
      <c r="T389" s="9">
        <v>2210.63</v>
      </c>
      <c r="U389" s="9">
        <v>2150</v>
      </c>
      <c r="V389" s="9">
        <v>60.63</v>
      </c>
      <c r="W389" s="10">
        <v>2.74265707060883E-2</v>
      </c>
    </row>
    <row r="390" spans="1:23" x14ac:dyDescent="0.3">
      <c r="A390" s="7" t="s">
        <v>1411</v>
      </c>
      <c r="B390" s="7" t="s">
        <v>1053</v>
      </c>
      <c r="C390" s="7" t="s">
        <v>1412</v>
      </c>
      <c r="D390" s="7" t="s">
        <v>1413</v>
      </c>
      <c r="E390" s="7" t="s">
        <v>71</v>
      </c>
      <c r="F390" s="8">
        <v>45816</v>
      </c>
      <c r="G390" s="8">
        <v>45816</v>
      </c>
      <c r="H390" s="8">
        <v>45820</v>
      </c>
      <c r="I390" s="7" t="s">
        <v>72</v>
      </c>
      <c r="J390" s="7" t="s">
        <v>2</v>
      </c>
      <c r="K390" s="7" t="s">
        <v>20</v>
      </c>
      <c r="L390" s="7" t="s">
        <v>25</v>
      </c>
      <c r="M390" s="7" t="s">
        <v>32</v>
      </c>
      <c r="N390" s="7" t="s">
        <v>33</v>
      </c>
      <c r="O390" s="7" t="s">
        <v>34</v>
      </c>
      <c r="P390" s="7">
        <v>5</v>
      </c>
      <c r="Q390" s="9">
        <v>730</v>
      </c>
      <c r="R390" s="9">
        <v>824.9</v>
      </c>
      <c r="S390" s="10">
        <v>0.1</v>
      </c>
      <c r="T390" s="9">
        <v>3712.05</v>
      </c>
      <c r="U390" s="9">
        <v>3650</v>
      </c>
      <c r="V390" s="9">
        <v>62.05</v>
      </c>
      <c r="W390" s="10">
        <v>1.6715830875122899E-2</v>
      </c>
    </row>
    <row r="391" spans="1:23" x14ac:dyDescent="0.3">
      <c r="A391" s="7" t="s">
        <v>1414</v>
      </c>
      <c r="B391" s="7" t="s">
        <v>339</v>
      </c>
      <c r="C391" s="7" t="s">
        <v>1415</v>
      </c>
      <c r="D391" s="7" t="s">
        <v>1416</v>
      </c>
      <c r="E391" s="7" t="s">
        <v>100</v>
      </c>
      <c r="F391" s="8">
        <v>46065</v>
      </c>
      <c r="G391" s="8">
        <v>46065</v>
      </c>
      <c r="H391" s="8">
        <v>46067</v>
      </c>
      <c r="I391" s="7" t="s">
        <v>72</v>
      </c>
      <c r="J391" s="7" t="s">
        <v>2362</v>
      </c>
      <c r="K391" s="7" t="s">
        <v>21</v>
      </c>
      <c r="L391" s="7" t="s">
        <v>24</v>
      </c>
      <c r="M391" s="7" t="s">
        <v>42</v>
      </c>
      <c r="N391" s="7" t="s">
        <v>27</v>
      </c>
      <c r="O391" s="7" t="s">
        <v>28</v>
      </c>
      <c r="P391" s="7">
        <v>11</v>
      </c>
      <c r="Q391" s="9">
        <v>3030</v>
      </c>
      <c r="R391" s="9">
        <v>3211.8</v>
      </c>
      <c r="S391" s="10">
        <v>0.08</v>
      </c>
      <c r="T391" s="9">
        <v>32503.416000000001</v>
      </c>
      <c r="U391" s="9">
        <v>33330</v>
      </c>
      <c r="V391" s="9">
        <v>-826.58399999999995</v>
      </c>
      <c r="W391" s="10">
        <v>-2.5430680885972098E-2</v>
      </c>
    </row>
    <row r="392" spans="1:23" x14ac:dyDescent="0.3">
      <c r="A392" s="7" t="s">
        <v>1417</v>
      </c>
      <c r="B392" s="7" t="s">
        <v>867</v>
      </c>
      <c r="C392" s="7" t="s">
        <v>1418</v>
      </c>
      <c r="D392" s="7" t="s">
        <v>283</v>
      </c>
      <c r="E392" s="7" t="s">
        <v>87</v>
      </c>
      <c r="F392" s="8">
        <v>45731</v>
      </c>
      <c r="G392" s="8">
        <v>45731</v>
      </c>
      <c r="H392" s="8">
        <v>45734</v>
      </c>
      <c r="I392" s="7" t="s">
        <v>82</v>
      </c>
      <c r="J392" s="7" t="s">
        <v>1</v>
      </c>
      <c r="K392" s="7" t="s">
        <v>19</v>
      </c>
      <c r="L392" s="7" t="s">
        <v>61</v>
      </c>
      <c r="M392" s="7" t="s">
        <v>30</v>
      </c>
      <c r="N392" s="7" t="s">
        <v>27</v>
      </c>
      <c r="O392" s="7" t="s">
        <v>31</v>
      </c>
      <c r="P392" s="7">
        <v>3</v>
      </c>
      <c r="Q392" s="9">
        <v>1030</v>
      </c>
      <c r="R392" s="9">
        <v>1174.2</v>
      </c>
      <c r="S392" s="10">
        <v>0.06</v>
      </c>
      <c r="T392" s="9">
        <v>3311.2440000000001</v>
      </c>
      <c r="U392" s="9">
        <v>3090</v>
      </c>
      <c r="V392" s="9">
        <v>221.244</v>
      </c>
      <c r="W392" s="10">
        <v>6.6815976110489006E-2</v>
      </c>
    </row>
    <row r="393" spans="1:23" x14ac:dyDescent="0.3">
      <c r="A393" s="7" t="s">
        <v>1419</v>
      </c>
      <c r="B393" s="7" t="s">
        <v>205</v>
      </c>
      <c r="C393" s="7" t="s">
        <v>1420</v>
      </c>
      <c r="D393" s="7" t="s">
        <v>1421</v>
      </c>
      <c r="E393" s="7" t="s">
        <v>208</v>
      </c>
      <c r="F393" s="8">
        <v>46081</v>
      </c>
      <c r="G393" s="8">
        <v>46081</v>
      </c>
      <c r="H393" s="8">
        <v>46086</v>
      </c>
      <c r="I393" s="7" t="s">
        <v>72</v>
      </c>
      <c r="J393" s="7" t="s">
        <v>2363</v>
      </c>
      <c r="K393" s="7" t="s">
        <v>21</v>
      </c>
      <c r="L393" s="7" t="s">
        <v>24</v>
      </c>
      <c r="M393" s="7" t="s">
        <v>50</v>
      </c>
      <c r="N393" s="7" t="s">
        <v>33</v>
      </c>
      <c r="O393" s="7" t="s">
        <v>36</v>
      </c>
      <c r="P393" s="7">
        <v>14</v>
      </c>
      <c r="Q393" s="9">
        <v>930</v>
      </c>
      <c r="R393" s="9">
        <v>1078.8</v>
      </c>
      <c r="S393" s="10">
        <v>0.01</v>
      </c>
      <c r="T393" s="9">
        <v>14952.168</v>
      </c>
      <c r="U393" s="9">
        <v>13020</v>
      </c>
      <c r="V393" s="9">
        <v>1932.1679999999999</v>
      </c>
      <c r="W393" s="10">
        <v>0.12922326715430199</v>
      </c>
    </row>
    <row r="394" spans="1:23" x14ac:dyDescent="0.3">
      <c r="A394" s="7" t="s">
        <v>1422</v>
      </c>
      <c r="B394" s="7" t="s">
        <v>633</v>
      </c>
      <c r="C394" s="7" t="s">
        <v>1423</v>
      </c>
      <c r="D394" s="7" t="s">
        <v>1424</v>
      </c>
      <c r="E394" s="7" t="s">
        <v>291</v>
      </c>
      <c r="F394" s="8">
        <v>45504</v>
      </c>
      <c r="G394" s="8">
        <v>45505</v>
      </c>
      <c r="H394" s="8">
        <v>45507</v>
      </c>
      <c r="I394" s="7" t="s">
        <v>72</v>
      </c>
      <c r="J394" s="7" t="s">
        <v>2362</v>
      </c>
      <c r="K394" s="7" t="s">
        <v>20</v>
      </c>
      <c r="L394" s="7" t="s">
        <v>22</v>
      </c>
      <c r="M394" s="7" t="s">
        <v>57</v>
      </c>
      <c r="N394" s="7" t="s">
        <v>27</v>
      </c>
      <c r="O394" s="7" t="s">
        <v>58</v>
      </c>
      <c r="P394" s="7">
        <v>6</v>
      </c>
      <c r="Q394" s="9">
        <v>480</v>
      </c>
      <c r="R394" s="9">
        <v>513.6</v>
      </c>
      <c r="S394" s="10">
        <v>0.08</v>
      </c>
      <c r="T394" s="9">
        <v>2835.0720000000001</v>
      </c>
      <c r="U394" s="9">
        <v>2880</v>
      </c>
      <c r="V394" s="9">
        <v>-44.927999999999997</v>
      </c>
      <c r="W394" s="10">
        <v>-1.5847216578626599E-2</v>
      </c>
    </row>
    <row r="395" spans="1:23" x14ac:dyDescent="0.3">
      <c r="A395" s="7" t="s">
        <v>1425</v>
      </c>
      <c r="B395" s="7" t="s">
        <v>902</v>
      </c>
      <c r="C395" s="7" t="s">
        <v>1426</v>
      </c>
      <c r="D395" s="7" t="s">
        <v>1427</v>
      </c>
      <c r="E395" s="7" t="s">
        <v>208</v>
      </c>
      <c r="F395" s="8">
        <v>45769</v>
      </c>
      <c r="G395" s="8">
        <v>45769</v>
      </c>
      <c r="H395" s="8">
        <v>45773</v>
      </c>
      <c r="I395" s="7" t="s">
        <v>82</v>
      </c>
      <c r="J395" s="7" t="s">
        <v>1</v>
      </c>
      <c r="K395" s="7" t="s">
        <v>20</v>
      </c>
      <c r="L395" s="7" t="s">
        <v>23</v>
      </c>
      <c r="M395" s="7" t="s">
        <v>50</v>
      </c>
      <c r="N395" s="7" t="s">
        <v>33</v>
      </c>
      <c r="O395" s="7" t="s">
        <v>36</v>
      </c>
      <c r="P395" s="7">
        <v>1</v>
      </c>
      <c r="Q395" s="9">
        <v>930</v>
      </c>
      <c r="R395" s="9">
        <v>1078.8</v>
      </c>
      <c r="S395" s="10">
        <v>0</v>
      </c>
      <c r="T395" s="9">
        <v>1078.8</v>
      </c>
      <c r="U395" s="9">
        <v>930</v>
      </c>
      <c r="V395" s="9">
        <v>148.80000000000001</v>
      </c>
      <c r="W395" s="10">
        <v>0.13793103448275901</v>
      </c>
    </row>
    <row r="396" spans="1:23" x14ac:dyDescent="0.3">
      <c r="A396" s="7" t="s">
        <v>1428</v>
      </c>
      <c r="B396" s="7" t="s">
        <v>1429</v>
      </c>
      <c r="C396" s="7" t="s">
        <v>1430</v>
      </c>
      <c r="D396" s="7" t="s">
        <v>1343</v>
      </c>
      <c r="E396" s="7" t="s">
        <v>192</v>
      </c>
      <c r="F396" s="8">
        <v>45821</v>
      </c>
      <c r="G396" s="8">
        <v>45821</v>
      </c>
      <c r="H396" s="8">
        <v>45823</v>
      </c>
      <c r="I396" s="7" t="s">
        <v>72</v>
      </c>
      <c r="J396" s="7" t="s">
        <v>2364</v>
      </c>
      <c r="K396" s="7" t="s">
        <v>19</v>
      </c>
      <c r="L396" s="7" t="s">
        <v>25</v>
      </c>
      <c r="M396" s="7" t="s">
        <v>46</v>
      </c>
      <c r="N396" s="7" t="s">
        <v>38</v>
      </c>
      <c r="O396" s="7" t="s">
        <v>45</v>
      </c>
      <c r="P396" s="7">
        <v>5</v>
      </c>
      <c r="Q396" s="9">
        <v>350</v>
      </c>
      <c r="R396" s="9">
        <v>364</v>
      </c>
      <c r="S396" s="10">
        <v>0.09</v>
      </c>
      <c r="T396" s="9">
        <v>1656.2</v>
      </c>
      <c r="U396" s="9">
        <v>1750</v>
      </c>
      <c r="V396" s="9">
        <v>-93.8</v>
      </c>
      <c r="W396" s="10">
        <v>-5.6635672020287402E-2</v>
      </c>
    </row>
    <row r="397" spans="1:23" x14ac:dyDescent="0.3">
      <c r="A397" s="7" t="s">
        <v>1431</v>
      </c>
      <c r="B397" s="7" t="s">
        <v>1432</v>
      </c>
      <c r="C397" s="7" t="s">
        <v>1433</v>
      </c>
      <c r="D397" s="7" t="s">
        <v>1434</v>
      </c>
      <c r="E397" s="7" t="s">
        <v>109</v>
      </c>
      <c r="F397" s="8">
        <v>45475</v>
      </c>
      <c r="G397" s="8">
        <v>45476</v>
      </c>
      <c r="H397" s="8">
        <v>45479</v>
      </c>
      <c r="I397" s="7" t="s">
        <v>82</v>
      </c>
      <c r="J397" s="7" t="s">
        <v>1</v>
      </c>
      <c r="K397" s="7" t="s">
        <v>19</v>
      </c>
      <c r="L397" s="7" t="s">
        <v>25</v>
      </c>
      <c r="M397" s="7" t="s">
        <v>2365</v>
      </c>
      <c r="N397" s="7" t="s">
        <v>27</v>
      </c>
      <c r="O397" s="7" t="s">
        <v>56</v>
      </c>
      <c r="P397" s="7">
        <v>3</v>
      </c>
      <c r="Q397" s="9">
        <v>650</v>
      </c>
      <c r="R397" s="9">
        <v>663</v>
      </c>
      <c r="S397" s="10">
        <v>0.02</v>
      </c>
      <c r="T397" s="9">
        <v>1949.22</v>
      </c>
      <c r="U397" s="9">
        <v>1950</v>
      </c>
      <c r="V397" s="9">
        <v>-0.78</v>
      </c>
      <c r="W397" s="10">
        <v>-4.0016006402561E-4</v>
      </c>
    </row>
    <row r="398" spans="1:23" x14ac:dyDescent="0.3">
      <c r="A398" s="7" t="s">
        <v>1435</v>
      </c>
      <c r="B398" s="7" t="s">
        <v>1178</v>
      </c>
      <c r="C398" s="7" t="s">
        <v>1436</v>
      </c>
      <c r="D398" s="7" t="s">
        <v>1437</v>
      </c>
      <c r="E398" s="7" t="s">
        <v>119</v>
      </c>
      <c r="F398" s="8">
        <v>45383</v>
      </c>
      <c r="G398" s="8">
        <v>45383</v>
      </c>
      <c r="H398" s="8">
        <v>45388</v>
      </c>
      <c r="I398" s="7" t="s">
        <v>72</v>
      </c>
      <c r="J398" s="7" t="s">
        <v>2364</v>
      </c>
      <c r="K398" s="7" t="s">
        <v>21</v>
      </c>
      <c r="L398" s="7" t="s">
        <v>61</v>
      </c>
      <c r="M398" s="7" t="s">
        <v>37</v>
      </c>
      <c r="N398" s="7" t="s">
        <v>38</v>
      </c>
      <c r="O398" s="7" t="s">
        <v>39</v>
      </c>
      <c r="P398" s="7">
        <v>13</v>
      </c>
      <c r="Q398" s="9">
        <v>250</v>
      </c>
      <c r="R398" s="9">
        <v>270</v>
      </c>
      <c r="S398" s="10">
        <v>0</v>
      </c>
      <c r="T398" s="9">
        <v>3510</v>
      </c>
      <c r="U398" s="9">
        <v>3250</v>
      </c>
      <c r="V398" s="9">
        <v>260</v>
      </c>
      <c r="W398" s="10">
        <v>7.4074074074074098E-2</v>
      </c>
    </row>
    <row r="399" spans="1:23" x14ac:dyDescent="0.3">
      <c r="A399" s="7" t="s">
        <v>1438</v>
      </c>
      <c r="B399" s="7" t="s">
        <v>1377</v>
      </c>
      <c r="C399" s="7" t="s">
        <v>1439</v>
      </c>
      <c r="D399" s="7" t="s">
        <v>1440</v>
      </c>
      <c r="E399" s="7" t="s">
        <v>187</v>
      </c>
      <c r="F399" s="8">
        <v>46167</v>
      </c>
      <c r="G399" s="8">
        <v>46168</v>
      </c>
      <c r="H399" s="8">
        <v>46171</v>
      </c>
      <c r="I399" s="7" t="s">
        <v>72</v>
      </c>
      <c r="J399" s="7" t="s">
        <v>2362</v>
      </c>
      <c r="K399" s="7" t="s">
        <v>19</v>
      </c>
      <c r="L399" s="7" t="s">
        <v>25</v>
      </c>
      <c r="M399" s="7" t="s">
        <v>2367</v>
      </c>
      <c r="N399" s="7" t="s">
        <v>38</v>
      </c>
      <c r="O399" s="7" t="s">
        <v>41</v>
      </c>
      <c r="P399" s="7">
        <v>6</v>
      </c>
      <c r="Q399" s="9">
        <v>170</v>
      </c>
      <c r="R399" s="9">
        <v>188.7</v>
      </c>
      <c r="S399" s="10">
        <v>0.05</v>
      </c>
      <c r="T399" s="9">
        <v>1075.5899999999999</v>
      </c>
      <c r="U399" s="9">
        <v>1020</v>
      </c>
      <c r="V399" s="9">
        <v>55.59</v>
      </c>
      <c r="W399" s="10">
        <v>5.1683262209578001E-2</v>
      </c>
    </row>
    <row r="400" spans="1:23" x14ac:dyDescent="0.3">
      <c r="A400" s="7" t="s">
        <v>1441</v>
      </c>
      <c r="B400" s="7" t="s">
        <v>1040</v>
      </c>
      <c r="C400" s="7" t="s">
        <v>1442</v>
      </c>
      <c r="D400" s="7" t="s">
        <v>1443</v>
      </c>
      <c r="E400" s="7" t="s">
        <v>291</v>
      </c>
      <c r="F400" s="8">
        <v>45428</v>
      </c>
      <c r="G400" s="8">
        <v>45429</v>
      </c>
      <c r="H400" s="8">
        <v>45431</v>
      </c>
      <c r="I400" s="7" t="s">
        <v>72</v>
      </c>
      <c r="J400" s="7" t="s">
        <v>2</v>
      </c>
      <c r="K400" s="7" t="s">
        <v>19</v>
      </c>
      <c r="L400" s="7" t="s">
        <v>22</v>
      </c>
      <c r="M400" s="7" t="s">
        <v>57</v>
      </c>
      <c r="N400" s="7" t="s">
        <v>27</v>
      </c>
      <c r="O400" s="7" t="s">
        <v>58</v>
      </c>
      <c r="P400" s="7">
        <v>9</v>
      </c>
      <c r="Q400" s="9">
        <v>480</v>
      </c>
      <c r="R400" s="9">
        <v>513.6</v>
      </c>
      <c r="S400" s="10">
        <v>0.04</v>
      </c>
      <c r="T400" s="9">
        <v>4437.5039999999999</v>
      </c>
      <c r="U400" s="9">
        <v>4320</v>
      </c>
      <c r="V400" s="9">
        <v>117.504</v>
      </c>
      <c r="W400" s="10">
        <v>2.6479750778816199E-2</v>
      </c>
    </row>
    <row r="401" spans="1:23" x14ac:dyDescent="0.3">
      <c r="A401" s="7" t="s">
        <v>1444</v>
      </c>
      <c r="B401" s="7" t="s">
        <v>1445</v>
      </c>
      <c r="C401" s="7" t="s">
        <v>1446</v>
      </c>
      <c r="D401" s="7" t="s">
        <v>1447</v>
      </c>
      <c r="E401" s="7" t="s">
        <v>291</v>
      </c>
      <c r="F401" s="8">
        <v>45887</v>
      </c>
      <c r="G401" s="8">
        <v>45888</v>
      </c>
      <c r="H401" s="8">
        <v>45892</v>
      </c>
      <c r="I401" s="7" t="s">
        <v>72</v>
      </c>
      <c r="J401" s="7" t="s">
        <v>2</v>
      </c>
      <c r="K401" s="7" t="s">
        <v>21</v>
      </c>
      <c r="L401" s="7" t="s">
        <v>61</v>
      </c>
      <c r="M401" s="7" t="s">
        <v>57</v>
      </c>
      <c r="N401" s="7" t="s">
        <v>27</v>
      </c>
      <c r="O401" s="7" t="s">
        <v>58</v>
      </c>
      <c r="P401" s="7">
        <v>5</v>
      </c>
      <c r="Q401" s="9">
        <v>480</v>
      </c>
      <c r="R401" s="9">
        <v>513.6</v>
      </c>
      <c r="S401" s="10">
        <v>0.09</v>
      </c>
      <c r="T401" s="9">
        <v>2336.88</v>
      </c>
      <c r="U401" s="9">
        <v>2400</v>
      </c>
      <c r="V401" s="9">
        <v>-63.12</v>
      </c>
      <c r="W401" s="10">
        <v>-2.7010372804765301E-2</v>
      </c>
    </row>
    <row r="402" spans="1:23" x14ac:dyDescent="0.3">
      <c r="A402" s="7" t="s">
        <v>1448</v>
      </c>
      <c r="B402" s="7" t="s">
        <v>803</v>
      </c>
      <c r="C402" s="7" t="s">
        <v>1449</v>
      </c>
      <c r="D402" s="7" t="s">
        <v>1450</v>
      </c>
      <c r="E402" s="7" t="s">
        <v>119</v>
      </c>
      <c r="F402" s="8">
        <v>45972</v>
      </c>
      <c r="G402" s="8">
        <v>45973</v>
      </c>
      <c r="H402" s="8">
        <v>45977</v>
      </c>
      <c r="I402" s="7" t="s">
        <v>72</v>
      </c>
      <c r="J402" s="7" t="s">
        <v>2364</v>
      </c>
      <c r="K402" s="7" t="s">
        <v>20</v>
      </c>
      <c r="L402" s="7" t="s">
        <v>61</v>
      </c>
      <c r="M402" s="7" t="s">
        <v>37</v>
      </c>
      <c r="N402" s="7" t="s">
        <v>38</v>
      </c>
      <c r="O402" s="7" t="s">
        <v>39</v>
      </c>
      <c r="P402" s="7">
        <v>8</v>
      </c>
      <c r="Q402" s="9">
        <v>250</v>
      </c>
      <c r="R402" s="9">
        <v>270</v>
      </c>
      <c r="S402" s="10">
        <v>0.06</v>
      </c>
      <c r="T402" s="9">
        <v>2030.4</v>
      </c>
      <c r="U402" s="9">
        <v>2000</v>
      </c>
      <c r="V402" s="9">
        <v>30.4</v>
      </c>
      <c r="W402" s="10">
        <v>1.49724192277384E-2</v>
      </c>
    </row>
    <row r="403" spans="1:23" x14ac:dyDescent="0.3">
      <c r="A403" s="7" t="s">
        <v>1451</v>
      </c>
      <c r="B403" s="7" t="s">
        <v>89</v>
      </c>
      <c r="C403" s="7" t="s">
        <v>1452</v>
      </c>
      <c r="D403" s="7" t="s">
        <v>1453</v>
      </c>
      <c r="E403" s="7" t="s">
        <v>95</v>
      </c>
      <c r="F403" s="8">
        <v>46017</v>
      </c>
      <c r="G403" s="8">
        <v>46017</v>
      </c>
      <c r="H403" s="8">
        <v>46020</v>
      </c>
      <c r="I403" s="7" t="s">
        <v>72</v>
      </c>
      <c r="J403" s="7" t="s">
        <v>1</v>
      </c>
      <c r="K403" s="7" t="s">
        <v>19</v>
      </c>
      <c r="L403" s="7" t="s">
        <v>25</v>
      </c>
      <c r="M403" s="7" t="s">
        <v>49</v>
      </c>
      <c r="N403" s="7" t="s">
        <v>33</v>
      </c>
      <c r="O403" s="7" t="s">
        <v>34</v>
      </c>
      <c r="P403" s="7">
        <v>8</v>
      </c>
      <c r="Q403" s="9">
        <v>1080</v>
      </c>
      <c r="R403" s="9">
        <v>1112.4000000000001</v>
      </c>
      <c r="S403" s="10">
        <v>0.08</v>
      </c>
      <c r="T403" s="9">
        <v>8187.2640000000001</v>
      </c>
      <c r="U403" s="9">
        <v>8640</v>
      </c>
      <c r="V403" s="9">
        <v>-452.73599999999999</v>
      </c>
      <c r="W403" s="10">
        <v>-5.5297593921485901E-2</v>
      </c>
    </row>
    <row r="404" spans="1:23" x14ac:dyDescent="0.3">
      <c r="A404" s="7" t="s">
        <v>1454</v>
      </c>
      <c r="B404" s="7" t="s">
        <v>365</v>
      </c>
      <c r="C404" s="7" t="s">
        <v>1455</v>
      </c>
      <c r="D404" s="7" t="s">
        <v>1456</v>
      </c>
      <c r="E404" s="7" t="s">
        <v>109</v>
      </c>
      <c r="F404" s="8">
        <v>45513</v>
      </c>
      <c r="G404" s="8">
        <v>45514</v>
      </c>
      <c r="H404" s="8">
        <v>45516</v>
      </c>
      <c r="I404" s="7" t="s">
        <v>72</v>
      </c>
      <c r="J404" s="7" t="s">
        <v>2363</v>
      </c>
      <c r="K404" s="7" t="s">
        <v>21</v>
      </c>
      <c r="L404" s="7" t="s">
        <v>22</v>
      </c>
      <c r="M404" s="7" t="s">
        <v>2365</v>
      </c>
      <c r="N404" s="7" t="s">
        <v>27</v>
      </c>
      <c r="O404" s="7" t="s">
        <v>56</v>
      </c>
      <c r="P404" s="7">
        <v>13</v>
      </c>
      <c r="Q404" s="9">
        <v>650</v>
      </c>
      <c r="R404" s="9">
        <v>663</v>
      </c>
      <c r="S404" s="10">
        <v>0.05</v>
      </c>
      <c r="T404" s="9">
        <v>8188.05</v>
      </c>
      <c r="U404" s="9">
        <v>8450</v>
      </c>
      <c r="V404" s="9">
        <v>-261.95</v>
      </c>
      <c r="W404" s="10">
        <v>-3.1991744066047503E-2</v>
      </c>
    </row>
    <row r="405" spans="1:23" x14ac:dyDescent="0.3">
      <c r="A405" s="7" t="s">
        <v>1457</v>
      </c>
      <c r="B405" s="7" t="s">
        <v>205</v>
      </c>
      <c r="C405" s="7" t="s">
        <v>1458</v>
      </c>
      <c r="D405" s="7" t="s">
        <v>1459</v>
      </c>
      <c r="E405" s="7" t="s">
        <v>291</v>
      </c>
      <c r="F405" s="8">
        <v>45986</v>
      </c>
      <c r="G405" s="8">
        <v>45986</v>
      </c>
      <c r="H405" s="8">
        <v>45989</v>
      </c>
      <c r="I405" s="7" t="s">
        <v>72</v>
      </c>
      <c r="J405" s="7" t="s">
        <v>2</v>
      </c>
      <c r="K405" s="7" t="s">
        <v>20</v>
      </c>
      <c r="L405" s="7" t="s">
        <v>22</v>
      </c>
      <c r="M405" s="7" t="s">
        <v>57</v>
      </c>
      <c r="N405" s="7" t="s">
        <v>27</v>
      </c>
      <c r="O405" s="7" t="s">
        <v>58</v>
      </c>
      <c r="P405" s="7">
        <v>6</v>
      </c>
      <c r="Q405" s="9">
        <v>480</v>
      </c>
      <c r="R405" s="9">
        <v>513.6</v>
      </c>
      <c r="S405" s="10">
        <v>0.03</v>
      </c>
      <c r="T405" s="9">
        <v>2989.152</v>
      </c>
      <c r="U405" s="9">
        <v>2880</v>
      </c>
      <c r="V405" s="9">
        <v>109.152</v>
      </c>
      <c r="W405" s="10">
        <v>3.6516042007900602E-2</v>
      </c>
    </row>
    <row r="406" spans="1:23" x14ac:dyDescent="0.3">
      <c r="A406" s="7" t="s">
        <v>1460</v>
      </c>
      <c r="B406" s="7" t="s">
        <v>578</v>
      </c>
      <c r="C406" s="7" t="s">
        <v>1461</v>
      </c>
      <c r="D406" s="7" t="s">
        <v>1462</v>
      </c>
      <c r="E406" s="7" t="s">
        <v>77</v>
      </c>
      <c r="F406" s="8">
        <v>45399</v>
      </c>
      <c r="G406" s="8">
        <v>45399</v>
      </c>
      <c r="H406" s="8">
        <v>45404</v>
      </c>
      <c r="I406" s="7" t="s">
        <v>72</v>
      </c>
      <c r="J406" s="7" t="s">
        <v>1</v>
      </c>
      <c r="K406" s="7" t="s">
        <v>19</v>
      </c>
      <c r="L406" s="7" t="s">
        <v>22</v>
      </c>
      <c r="M406" s="7" t="s">
        <v>44</v>
      </c>
      <c r="N406" s="7" t="s">
        <v>38</v>
      </c>
      <c r="O406" s="7" t="s">
        <v>45</v>
      </c>
      <c r="P406" s="7">
        <v>6</v>
      </c>
      <c r="Q406" s="9">
        <v>210</v>
      </c>
      <c r="R406" s="9">
        <v>222.6</v>
      </c>
      <c r="S406" s="10">
        <v>7.0000000000000007E-2</v>
      </c>
      <c r="T406" s="9">
        <v>1242.1079999999999</v>
      </c>
      <c r="U406" s="9">
        <v>1260</v>
      </c>
      <c r="V406" s="9">
        <v>-17.891999999999999</v>
      </c>
      <c r="W406" s="10">
        <v>-1.44045445323595E-2</v>
      </c>
    </row>
    <row r="407" spans="1:23" x14ac:dyDescent="0.3">
      <c r="A407" s="7" t="s">
        <v>1463</v>
      </c>
      <c r="B407" s="7" t="s">
        <v>564</v>
      </c>
      <c r="C407" s="7" t="s">
        <v>1464</v>
      </c>
      <c r="D407" s="7" t="s">
        <v>1465</v>
      </c>
      <c r="E407" s="7" t="s">
        <v>114</v>
      </c>
      <c r="F407" s="8">
        <v>45972</v>
      </c>
      <c r="G407" s="8">
        <v>45973</v>
      </c>
      <c r="H407" s="8">
        <v>45975</v>
      </c>
      <c r="I407" s="7" t="s">
        <v>72</v>
      </c>
      <c r="J407" s="7" t="s">
        <v>2</v>
      </c>
      <c r="K407" s="7" t="s">
        <v>21</v>
      </c>
      <c r="L407" s="7" t="s">
        <v>25</v>
      </c>
      <c r="M407" s="7" t="s">
        <v>51</v>
      </c>
      <c r="N407" s="7" t="s">
        <v>33</v>
      </c>
      <c r="O407" s="7" t="s">
        <v>52</v>
      </c>
      <c r="P407" s="7">
        <v>5</v>
      </c>
      <c r="Q407" s="9">
        <v>280</v>
      </c>
      <c r="R407" s="9">
        <v>336</v>
      </c>
      <c r="S407" s="10">
        <v>0.01</v>
      </c>
      <c r="T407" s="9">
        <v>1663.2</v>
      </c>
      <c r="U407" s="9">
        <v>1400</v>
      </c>
      <c r="V407" s="9">
        <v>263.2</v>
      </c>
      <c r="W407" s="10">
        <v>0.158249158249158</v>
      </c>
    </row>
    <row r="408" spans="1:23" x14ac:dyDescent="0.3">
      <c r="A408" s="7" t="s">
        <v>1466</v>
      </c>
      <c r="B408" s="7" t="s">
        <v>1112</v>
      </c>
      <c r="C408" s="7" t="s">
        <v>1467</v>
      </c>
      <c r="D408" s="7" t="s">
        <v>1468</v>
      </c>
      <c r="E408" s="7" t="s">
        <v>164</v>
      </c>
      <c r="F408" s="8">
        <v>46103</v>
      </c>
      <c r="G408" s="8">
        <v>46104</v>
      </c>
      <c r="H408" s="8">
        <v>46105</v>
      </c>
      <c r="I408" s="7" t="s">
        <v>72</v>
      </c>
      <c r="J408" s="7" t="s">
        <v>2</v>
      </c>
      <c r="K408" s="7" t="s">
        <v>21</v>
      </c>
      <c r="L408" s="7" t="s">
        <v>24</v>
      </c>
      <c r="M408" s="7" t="s">
        <v>43</v>
      </c>
      <c r="N408" s="7" t="s">
        <v>27</v>
      </c>
      <c r="O408" s="7" t="s">
        <v>31</v>
      </c>
      <c r="P408" s="7">
        <v>6</v>
      </c>
      <c r="Q408" s="9">
        <v>1630</v>
      </c>
      <c r="R408" s="9">
        <v>1744.1</v>
      </c>
      <c r="S408" s="10">
        <v>0.06</v>
      </c>
      <c r="T408" s="9">
        <v>9836.7240000000002</v>
      </c>
      <c r="U408" s="9">
        <v>9780</v>
      </c>
      <c r="V408" s="9">
        <v>56.723999999999997</v>
      </c>
      <c r="W408" s="10">
        <v>5.7665539868761197E-3</v>
      </c>
    </row>
    <row r="409" spans="1:23" x14ac:dyDescent="0.3">
      <c r="A409" s="7" t="s">
        <v>1469</v>
      </c>
      <c r="B409" s="7" t="s">
        <v>1445</v>
      </c>
      <c r="C409" s="7" t="s">
        <v>1470</v>
      </c>
      <c r="D409" s="7" t="s">
        <v>1471</v>
      </c>
      <c r="E409" s="7" t="s">
        <v>192</v>
      </c>
      <c r="F409" s="8">
        <v>45586</v>
      </c>
      <c r="G409" s="8">
        <v>45587</v>
      </c>
      <c r="H409" s="8">
        <v>45590</v>
      </c>
      <c r="I409" s="7" t="s">
        <v>82</v>
      </c>
      <c r="J409" s="7" t="s">
        <v>1</v>
      </c>
      <c r="K409" s="7" t="s">
        <v>20</v>
      </c>
      <c r="L409" s="7" t="s">
        <v>25</v>
      </c>
      <c r="M409" s="7" t="s">
        <v>46</v>
      </c>
      <c r="N409" s="7" t="s">
        <v>38</v>
      </c>
      <c r="O409" s="7" t="s">
        <v>45</v>
      </c>
      <c r="P409" s="7">
        <v>2</v>
      </c>
      <c r="Q409" s="9">
        <v>350</v>
      </c>
      <c r="R409" s="9">
        <v>364</v>
      </c>
      <c r="S409" s="10">
        <v>0.09</v>
      </c>
      <c r="T409" s="9">
        <v>662.48</v>
      </c>
      <c r="U409" s="9">
        <v>700</v>
      </c>
      <c r="V409" s="9">
        <v>-37.520000000000003</v>
      </c>
      <c r="W409" s="10">
        <v>-5.6635672020287402E-2</v>
      </c>
    </row>
    <row r="410" spans="1:23" x14ac:dyDescent="0.3">
      <c r="A410" s="7" t="s">
        <v>1472</v>
      </c>
      <c r="B410" s="7" t="s">
        <v>1473</v>
      </c>
      <c r="C410" s="7" t="s">
        <v>1474</v>
      </c>
      <c r="D410" s="7" t="s">
        <v>1475</v>
      </c>
      <c r="E410" s="7" t="s">
        <v>192</v>
      </c>
      <c r="F410" s="8">
        <v>45760</v>
      </c>
      <c r="G410" s="8">
        <v>45761</v>
      </c>
      <c r="H410" s="8">
        <v>45763</v>
      </c>
      <c r="I410" s="7" t="s">
        <v>72</v>
      </c>
      <c r="J410" s="7" t="s">
        <v>2364</v>
      </c>
      <c r="K410" s="7" t="s">
        <v>21</v>
      </c>
      <c r="L410" s="7" t="s">
        <v>25</v>
      </c>
      <c r="M410" s="7" t="s">
        <v>46</v>
      </c>
      <c r="N410" s="7" t="s">
        <v>38</v>
      </c>
      <c r="O410" s="7" t="s">
        <v>45</v>
      </c>
      <c r="P410" s="7">
        <v>5</v>
      </c>
      <c r="Q410" s="9">
        <v>350</v>
      </c>
      <c r="R410" s="9">
        <v>364</v>
      </c>
      <c r="S410" s="10">
        <v>0.09</v>
      </c>
      <c r="T410" s="9">
        <v>1656.2</v>
      </c>
      <c r="U410" s="9">
        <v>1750</v>
      </c>
      <c r="V410" s="9">
        <v>-93.8</v>
      </c>
      <c r="W410" s="10">
        <v>-5.6635672020287402E-2</v>
      </c>
    </row>
    <row r="411" spans="1:23" x14ac:dyDescent="0.3">
      <c r="A411" s="7" t="s">
        <v>1476</v>
      </c>
      <c r="B411" s="7" t="s">
        <v>1065</v>
      </c>
      <c r="C411" s="7" t="s">
        <v>1477</v>
      </c>
      <c r="D411" s="7" t="s">
        <v>1478</v>
      </c>
      <c r="E411" s="7" t="s">
        <v>173</v>
      </c>
      <c r="F411" s="8">
        <v>45782</v>
      </c>
      <c r="G411" s="8">
        <v>45782</v>
      </c>
      <c r="H411" s="8">
        <v>45784</v>
      </c>
      <c r="I411" s="7" t="s">
        <v>82</v>
      </c>
      <c r="J411" s="7" t="s">
        <v>2362</v>
      </c>
      <c r="K411" s="7" t="s">
        <v>19</v>
      </c>
      <c r="L411" s="7" t="s">
        <v>25</v>
      </c>
      <c r="M411" s="7" t="s">
        <v>48</v>
      </c>
      <c r="N411" s="7" t="s">
        <v>38</v>
      </c>
      <c r="O411" s="7" t="s">
        <v>41</v>
      </c>
      <c r="P411" s="7">
        <v>1</v>
      </c>
      <c r="Q411" s="9">
        <v>580</v>
      </c>
      <c r="R411" s="9">
        <v>667</v>
      </c>
      <c r="S411" s="10">
        <v>0.08</v>
      </c>
      <c r="T411" s="9">
        <v>613.64</v>
      </c>
      <c r="U411" s="9">
        <v>580</v>
      </c>
      <c r="V411" s="9">
        <v>33.64</v>
      </c>
      <c r="W411" s="10">
        <v>5.4820415879017002E-2</v>
      </c>
    </row>
    <row r="412" spans="1:23" x14ac:dyDescent="0.3">
      <c r="A412" s="7" t="s">
        <v>1479</v>
      </c>
      <c r="B412" s="7" t="s">
        <v>1480</v>
      </c>
      <c r="C412" s="7" t="s">
        <v>1481</v>
      </c>
      <c r="D412" s="7" t="s">
        <v>1482</v>
      </c>
      <c r="E412" s="7" t="s">
        <v>208</v>
      </c>
      <c r="F412" s="8">
        <v>45969</v>
      </c>
      <c r="G412" s="8">
        <v>45969</v>
      </c>
      <c r="H412" s="8">
        <v>45972</v>
      </c>
      <c r="I412" s="7" t="s">
        <v>72</v>
      </c>
      <c r="J412" s="7" t="s">
        <v>2363</v>
      </c>
      <c r="K412" s="7" t="s">
        <v>20</v>
      </c>
      <c r="L412" s="7" t="s">
        <v>22</v>
      </c>
      <c r="M412" s="7" t="s">
        <v>50</v>
      </c>
      <c r="N412" s="7" t="s">
        <v>33</v>
      </c>
      <c r="O412" s="7" t="s">
        <v>36</v>
      </c>
      <c r="P412" s="7">
        <v>7</v>
      </c>
      <c r="Q412" s="9">
        <v>930</v>
      </c>
      <c r="R412" s="9">
        <v>1078.8</v>
      </c>
      <c r="S412" s="10">
        <v>0.03</v>
      </c>
      <c r="T412" s="9">
        <v>7325.0519999999997</v>
      </c>
      <c r="U412" s="9">
        <v>6510</v>
      </c>
      <c r="V412" s="9">
        <v>815.05200000000002</v>
      </c>
      <c r="W412" s="10">
        <v>0.111269107714184</v>
      </c>
    </row>
    <row r="413" spans="1:23" x14ac:dyDescent="0.3">
      <c r="A413" s="7" t="s">
        <v>1483</v>
      </c>
      <c r="B413" s="7" t="s">
        <v>297</v>
      </c>
      <c r="C413" s="7" t="s">
        <v>1484</v>
      </c>
      <c r="D413" s="7" t="s">
        <v>1485</v>
      </c>
      <c r="E413" s="7" t="s">
        <v>95</v>
      </c>
      <c r="F413" s="8">
        <v>45322</v>
      </c>
      <c r="G413" s="8">
        <v>45323</v>
      </c>
      <c r="H413" s="8">
        <v>45326</v>
      </c>
      <c r="I413" s="7" t="s">
        <v>72</v>
      </c>
      <c r="J413" s="7" t="s">
        <v>2362</v>
      </c>
      <c r="K413" s="7" t="s">
        <v>20</v>
      </c>
      <c r="L413" s="7" t="s">
        <v>24</v>
      </c>
      <c r="M413" s="7" t="s">
        <v>49</v>
      </c>
      <c r="N413" s="7" t="s">
        <v>33</v>
      </c>
      <c r="O413" s="7" t="s">
        <v>34</v>
      </c>
      <c r="P413" s="7">
        <v>9</v>
      </c>
      <c r="Q413" s="9">
        <v>1080</v>
      </c>
      <c r="R413" s="9">
        <v>1112.4000000000001</v>
      </c>
      <c r="S413" s="10">
        <v>0.1</v>
      </c>
      <c r="T413" s="9">
        <v>9010.44</v>
      </c>
      <c r="U413" s="9">
        <v>9720</v>
      </c>
      <c r="V413" s="9">
        <v>-709.56</v>
      </c>
      <c r="W413" s="10">
        <v>-7.8748651564185507E-2</v>
      </c>
    </row>
    <row r="414" spans="1:23" x14ac:dyDescent="0.3">
      <c r="A414" s="7" t="s">
        <v>1486</v>
      </c>
      <c r="B414" s="7" t="s">
        <v>689</v>
      </c>
      <c r="C414" s="7" t="s">
        <v>1487</v>
      </c>
      <c r="D414" s="7" t="s">
        <v>1488</v>
      </c>
      <c r="E414" s="7" t="s">
        <v>187</v>
      </c>
      <c r="F414" s="8">
        <v>46135</v>
      </c>
      <c r="G414" s="8">
        <v>46135</v>
      </c>
      <c r="H414" s="8">
        <v>46139</v>
      </c>
      <c r="I414" s="7" t="s">
        <v>82</v>
      </c>
      <c r="J414" s="7" t="s">
        <v>2364</v>
      </c>
      <c r="K414" s="7" t="s">
        <v>19</v>
      </c>
      <c r="L414" s="7" t="s">
        <v>25</v>
      </c>
      <c r="M414" s="7" t="s">
        <v>2367</v>
      </c>
      <c r="N414" s="7" t="s">
        <v>38</v>
      </c>
      <c r="O414" s="7" t="s">
        <v>41</v>
      </c>
      <c r="P414" s="7">
        <v>2</v>
      </c>
      <c r="Q414" s="9">
        <v>170</v>
      </c>
      <c r="R414" s="9">
        <v>188.7</v>
      </c>
      <c r="S414" s="10">
        <v>0.06</v>
      </c>
      <c r="T414" s="9">
        <v>354.75599999999997</v>
      </c>
      <c r="U414" s="9">
        <v>340</v>
      </c>
      <c r="V414" s="9">
        <v>14.756</v>
      </c>
      <c r="W414" s="10">
        <v>4.1594786275637299E-2</v>
      </c>
    </row>
    <row r="415" spans="1:23" x14ac:dyDescent="0.3">
      <c r="A415" s="7" t="s">
        <v>1489</v>
      </c>
      <c r="B415" s="7" t="s">
        <v>170</v>
      </c>
      <c r="C415" s="7" t="s">
        <v>1490</v>
      </c>
      <c r="D415" s="7" t="s">
        <v>1491</v>
      </c>
      <c r="E415" s="7" t="s">
        <v>208</v>
      </c>
      <c r="F415" s="8">
        <v>45727</v>
      </c>
      <c r="G415" s="8">
        <v>45728</v>
      </c>
      <c r="H415" s="8">
        <v>45732</v>
      </c>
      <c r="I415" s="7" t="s">
        <v>72</v>
      </c>
      <c r="J415" s="7" t="s">
        <v>2363</v>
      </c>
      <c r="K415" s="7" t="s">
        <v>21</v>
      </c>
      <c r="L415" s="7" t="s">
        <v>61</v>
      </c>
      <c r="M415" s="7" t="s">
        <v>50</v>
      </c>
      <c r="N415" s="7" t="s">
        <v>33</v>
      </c>
      <c r="O415" s="7" t="s">
        <v>36</v>
      </c>
      <c r="P415" s="7">
        <v>12</v>
      </c>
      <c r="Q415" s="9">
        <v>930</v>
      </c>
      <c r="R415" s="9">
        <v>1078.8</v>
      </c>
      <c r="S415" s="10">
        <v>0.04</v>
      </c>
      <c r="T415" s="9">
        <v>12427.776</v>
      </c>
      <c r="U415" s="9">
        <v>11160</v>
      </c>
      <c r="V415" s="9">
        <v>1267.7760000000001</v>
      </c>
      <c r="W415" s="10">
        <v>0.10201149425287399</v>
      </c>
    </row>
    <row r="416" spans="1:23" x14ac:dyDescent="0.3">
      <c r="A416" s="7" t="s">
        <v>1492</v>
      </c>
      <c r="B416" s="7" t="s">
        <v>490</v>
      </c>
      <c r="C416" s="7" t="s">
        <v>1493</v>
      </c>
      <c r="D416" s="7" t="s">
        <v>671</v>
      </c>
      <c r="E416" s="7" t="s">
        <v>77</v>
      </c>
      <c r="F416" s="8">
        <v>45922</v>
      </c>
      <c r="G416" s="8">
        <v>45923</v>
      </c>
      <c r="H416" s="8">
        <v>45926</v>
      </c>
      <c r="I416" s="7" t="s">
        <v>72</v>
      </c>
      <c r="J416" s="7" t="s">
        <v>2362</v>
      </c>
      <c r="K416" s="7" t="s">
        <v>21</v>
      </c>
      <c r="L416" s="7" t="s">
        <v>23</v>
      </c>
      <c r="M416" s="7" t="s">
        <v>44</v>
      </c>
      <c r="N416" s="7" t="s">
        <v>38</v>
      </c>
      <c r="O416" s="7" t="s">
        <v>45</v>
      </c>
      <c r="P416" s="7">
        <v>15</v>
      </c>
      <c r="Q416" s="9">
        <v>210</v>
      </c>
      <c r="R416" s="9">
        <v>222.6</v>
      </c>
      <c r="S416" s="10">
        <v>7.0000000000000007E-2</v>
      </c>
      <c r="T416" s="9">
        <v>3105.27</v>
      </c>
      <c r="U416" s="9">
        <v>3150</v>
      </c>
      <c r="V416" s="9">
        <v>-44.73</v>
      </c>
      <c r="W416" s="10">
        <v>-1.44045445323595E-2</v>
      </c>
    </row>
    <row r="417" spans="1:23" x14ac:dyDescent="0.3">
      <c r="A417" s="7" t="s">
        <v>1494</v>
      </c>
      <c r="B417" s="7" t="s">
        <v>851</v>
      </c>
      <c r="C417" s="7" t="s">
        <v>1495</v>
      </c>
      <c r="D417" s="7" t="s">
        <v>1496</v>
      </c>
      <c r="E417" s="7" t="s">
        <v>114</v>
      </c>
      <c r="F417" s="8">
        <v>45492</v>
      </c>
      <c r="G417" s="8">
        <v>45492</v>
      </c>
      <c r="H417" s="8">
        <v>45495</v>
      </c>
      <c r="I417" s="7" t="s">
        <v>72</v>
      </c>
      <c r="J417" s="7" t="s">
        <v>1</v>
      </c>
      <c r="K417" s="7" t="s">
        <v>19</v>
      </c>
      <c r="L417" s="7" t="s">
        <v>25</v>
      </c>
      <c r="M417" s="7" t="s">
        <v>51</v>
      </c>
      <c r="N417" s="7" t="s">
        <v>33</v>
      </c>
      <c r="O417" s="7" t="s">
        <v>52</v>
      </c>
      <c r="P417" s="7">
        <v>10</v>
      </c>
      <c r="Q417" s="9">
        <v>280</v>
      </c>
      <c r="R417" s="9">
        <v>336</v>
      </c>
      <c r="S417" s="10">
        <v>0.06</v>
      </c>
      <c r="T417" s="9">
        <v>3158.4</v>
      </c>
      <c r="U417" s="9">
        <v>2800</v>
      </c>
      <c r="V417" s="9">
        <v>358.4</v>
      </c>
      <c r="W417" s="10">
        <v>0.11347517730496499</v>
      </c>
    </row>
    <row r="418" spans="1:23" x14ac:dyDescent="0.3">
      <c r="A418" s="7" t="s">
        <v>1497</v>
      </c>
      <c r="B418" s="7" t="s">
        <v>214</v>
      </c>
      <c r="C418" s="7" t="s">
        <v>1498</v>
      </c>
      <c r="D418" s="7" t="s">
        <v>1499</v>
      </c>
      <c r="E418" s="7" t="s">
        <v>192</v>
      </c>
      <c r="F418" s="8">
        <v>45384</v>
      </c>
      <c r="G418" s="8">
        <v>45384</v>
      </c>
      <c r="H418" s="8">
        <v>45388</v>
      </c>
      <c r="I418" s="7" t="s">
        <v>72</v>
      </c>
      <c r="J418" s="7" t="s">
        <v>2</v>
      </c>
      <c r="K418" s="7" t="s">
        <v>21</v>
      </c>
      <c r="L418" s="7" t="s">
        <v>61</v>
      </c>
      <c r="M418" s="7" t="s">
        <v>46</v>
      </c>
      <c r="N418" s="7" t="s">
        <v>38</v>
      </c>
      <c r="O418" s="7" t="s">
        <v>45</v>
      </c>
      <c r="P418" s="7">
        <v>12</v>
      </c>
      <c r="Q418" s="9">
        <v>350</v>
      </c>
      <c r="R418" s="9">
        <v>364</v>
      </c>
      <c r="S418" s="10">
        <v>0</v>
      </c>
      <c r="T418" s="9">
        <v>4368</v>
      </c>
      <c r="U418" s="9">
        <v>4200</v>
      </c>
      <c r="V418" s="9">
        <v>168</v>
      </c>
      <c r="W418" s="10">
        <v>3.8461538461538498E-2</v>
      </c>
    </row>
    <row r="419" spans="1:23" x14ac:dyDescent="0.3">
      <c r="A419" s="7" t="s">
        <v>1500</v>
      </c>
      <c r="B419" s="7" t="s">
        <v>482</v>
      </c>
      <c r="C419" s="7" t="s">
        <v>1501</v>
      </c>
      <c r="D419" s="7" t="s">
        <v>879</v>
      </c>
      <c r="E419" s="7" t="s">
        <v>173</v>
      </c>
      <c r="F419" s="8">
        <v>46034</v>
      </c>
      <c r="G419" s="8">
        <v>46035</v>
      </c>
      <c r="H419" s="8">
        <v>46038</v>
      </c>
      <c r="I419" s="7" t="s">
        <v>82</v>
      </c>
      <c r="J419" s="7" t="s">
        <v>2</v>
      </c>
      <c r="K419" s="7" t="s">
        <v>20</v>
      </c>
      <c r="L419" s="7" t="s">
        <v>22</v>
      </c>
      <c r="M419" s="7" t="s">
        <v>48</v>
      </c>
      <c r="N419" s="7" t="s">
        <v>38</v>
      </c>
      <c r="O419" s="7" t="s">
        <v>41</v>
      </c>
      <c r="P419" s="7">
        <v>3</v>
      </c>
      <c r="Q419" s="9">
        <v>580</v>
      </c>
      <c r="R419" s="9">
        <v>667</v>
      </c>
      <c r="S419" s="10">
        <v>0.08</v>
      </c>
      <c r="T419" s="9">
        <v>1840.92</v>
      </c>
      <c r="U419" s="9">
        <v>1740</v>
      </c>
      <c r="V419" s="9">
        <v>100.92</v>
      </c>
      <c r="W419" s="10">
        <v>5.4820415879017002E-2</v>
      </c>
    </row>
    <row r="420" spans="1:23" x14ac:dyDescent="0.3">
      <c r="A420" s="7" t="s">
        <v>1502</v>
      </c>
      <c r="B420" s="7" t="s">
        <v>1503</v>
      </c>
      <c r="C420" s="7" t="s">
        <v>1504</v>
      </c>
      <c r="D420" s="7" t="s">
        <v>1505</v>
      </c>
      <c r="E420" s="7" t="s">
        <v>208</v>
      </c>
      <c r="F420" s="8">
        <v>45414</v>
      </c>
      <c r="G420" s="8">
        <v>45415</v>
      </c>
      <c r="H420" s="8">
        <v>45417</v>
      </c>
      <c r="I420" s="7" t="s">
        <v>82</v>
      </c>
      <c r="J420" s="7" t="s">
        <v>2362</v>
      </c>
      <c r="K420" s="7" t="s">
        <v>19</v>
      </c>
      <c r="L420" s="7" t="s">
        <v>22</v>
      </c>
      <c r="M420" s="7" t="s">
        <v>50</v>
      </c>
      <c r="N420" s="7" t="s">
        <v>33</v>
      </c>
      <c r="O420" s="7" t="s">
        <v>36</v>
      </c>
      <c r="P420" s="7">
        <v>2</v>
      </c>
      <c r="Q420" s="9">
        <v>930</v>
      </c>
      <c r="R420" s="9">
        <v>1078.8</v>
      </c>
      <c r="S420" s="10">
        <v>0</v>
      </c>
      <c r="T420" s="9">
        <v>2157.6</v>
      </c>
      <c r="U420" s="9">
        <v>1860</v>
      </c>
      <c r="V420" s="9">
        <v>297.60000000000002</v>
      </c>
      <c r="W420" s="10">
        <v>0.13793103448275901</v>
      </c>
    </row>
    <row r="421" spans="1:23" x14ac:dyDescent="0.3">
      <c r="A421" s="7" t="s">
        <v>1506</v>
      </c>
      <c r="B421" s="7" t="s">
        <v>381</v>
      </c>
      <c r="C421" s="7" t="s">
        <v>1507</v>
      </c>
      <c r="D421" s="7" t="s">
        <v>1508</v>
      </c>
      <c r="E421" s="7" t="s">
        <v>100</v>
      </c>
      <c r="F421" s="8">
        <v>45586</v>
      </c>
      <c r="G421" s="8">
        <v>45586</v>
      </c>
      <c r="H421" s="8">
        <v>45589</v>
      </c>
      <c r="I421" s="7" t="s">
        <v>72</v>
      </c>
      <c r="J421" s="7" t="s">
        <v>1</v>
      </c>
      <c r="K421" s="7" t="s">
        <v>21</v>
      </c>
      <c r="L421" s="7" t="s">
        <v>25</v>
      </c>
      <c r="M421" s="7" t="s">
        <v>42</v>
      </c>
      <c r="N421" s="7" t="s">
        <v>27</v>
      </c>
      <c r="O421" s="7" t="s">
        <v>28</v>
      </c>
      <c r="P421" s="7">
        <v>9</v>
      </c>
      <c r="Q421" s="9">
        <v>3030</v>
      </c>
      <c r="R421" s="9">
        <v>3211.8</v>
      </c>
      <c r="S421" s="10">
        <v>0.03</v>
      </c>
      <c r="T421" s="9">
        <v>28039.013999999999</v>
      </c>
      <c r="U421" s="9">
        <v>27270</v>
      </c>
      <c r="V421" s="9">
        <v>769.01400000000001</v>
      </c>
      <c r="W421" s="10">
        <v>2.74265707060883E-2</v>
      </c>
    </row>
    <row r="422" spans="1:23" x14ac:dyDescent="0.3">
      <c r="A422" s="7" t="s">
        <v>1509</v>
      </c>
      <c r="B422" s="7" t="s">
        <v>1510</v>
      </c>
      <c r="C422" s="7" t="s">
        <v>1511</v>
      </c>
      <c r="D422" s="7" t="s">
        <v>1512</v>
      </c>
      <c r="E422" s="7" t="s">
        <v>322</v>
      </c>
      <c r="F422" s="8">
        <v>46121</v>
      </c>
      <c r="G422" s="8">
        <v>46122</v>
      </c>
      <c r="H422" s="8">
        <v>46123</v>
      </c>
      <c r="I422" s="7" t="s">
        <v>82</v>
      </c>
      <c r="J422" s="7" t="s">
        <v>2</v>
      </c>
      <c r="K422" s="7" t="s">
        <v>20</v>
      </c>
      <c r="L422" s="7" t="s">
        <v>61</v>
      </c>
      <c r="M422" s="7" t="s">
        <v>26</v>
      </c>
      <c r="N422" s="7" t="s">
        <v>27</v>
      </c>
      <c r="O422" s="7" t="s">
        <v>28</v>
      </c>
      <c r="P422" s="7">
        <v>2</v>
      </c>
      <c r="Q422" s="9">
        <v>3330</v>
      </c>
      <c r="R422" s="9">
        <v>3629.7</v>
      </c>
      <c r="S422" s="10">
        <v>0.1</v>
      </c>
      <c r="T422" s="9">
        <v>6533.46</v>
      </c>
      <c r="U422" s="9">
        <v>6660</v>
      </c>
      <c r="V422" s="9">
        <v>-126.54</v>
      </c>
      <c r="W422" s="10">
        <v>-1.9367991845056099E-2</v>
      </c>
    </row>
    <row r="423" spans="1:23" x14ac:dyDescent="0.3">
      <c r="A423" s="7" t="s">
        <v>1513</v>
      </c>
      <c r="B423" s="7" t="s">
        <v>74</v>
      </c>
      <c r="C423" s="7" t="s">
        <v>1514</v>
      </c>
      <c r="D423" s="7" t="s">
        <v>1515</v>
      </c>
      <c r="E423" s="7" t="s">
        <v>87</v>
      </c>
      <c r="F423" s="8">
        <v>45382</v>
      </c>
      <c r="G423" s="8">
        <v>45383</v>
      </c>
      <c r="H423" s="8">
        <v>45387</v>
      </c>
      <c r="I423" s="7" t="s">
        <v>82</v>
      </c>
      <c r="J423" s="7" t="s">
        <v>2364</v>
      </c>
      <c r="K423" s="7" t="s">
        <v>19</v>
      </c>
      <c r="L423" s="7" t="s">
        <v>25</v>
      </c>
      <c r="M423" s="7" t="s">
        <v>30</v>
      </c>
      <c r="N423" s="7" t="s">
        <v>27</v>
      </c>
      <c r="O423" s="7" t="s">
        <v>31</v>
      </c>
      <c r="P423" s="7">
        <v>2</v>
      </c>
      <c r="Q423" s="9">
        <v>1030</v>
      </c>
      <c r="R423" s="9">
        <v>1174.2</v>
      </c>
      <c r="S423" s="10">
        <v>0.08</v>
      </c>
      <c r="T423" s="9">
        <v>2160.5279999999998</v>
      </c>
      <c r="U423" s="9">
        <v>2060</v>
      </c>
      <c r="V423" s="9">
        <v>100.52800000000001</v>
      </c>
      <c r="W423" s="10">
        <v>4.6529366895499601E-2</v>
      </c>
    </row>
    <row r="424" spans="1:23" x14ac:dyDescent="0.3">
      <c r="A424" s="7" t="s">
        <v>1516</v>
      </c>
      <c r="B424" s="7" t="s">
        <v>385</v>
      </c>
      <c r="C424" s="7" t="s">
        <v>1517</v>
      </c>
      <c r="D424" s="7" t="s">
        <v>1518</v>
      </c>
      <c r="E424" s="7" t="s">
        <v>132</v>
      </c>
      <c r="F424" s="8">
        <v>45697</v>
      </c>
      <c r="G424" s="8">
        <v>45697</v>
      </c>
      <c r="H424" s="8">
        <v>45699</v>
      </c>
      <c r="I424" s="7" t="s">
        <v>72</v>
      </c>
      <c r="J424" s="7" t="s">
        <v>2</v>
      </c>
      <c r="K424" s="7" t="s">
        <v>21</v>
      </c>
      <c r="L424" s="7" t="s">
        <v>25</v>
      </c>
      <c r="M424" s="7" t="s">
        <v>2366</v>
      </c>
      <c r="N424" s="7" t="s">
        <v>27</v>
      </c>
      <c r="O424" s="7" t="s">
        <v>54</v>
      </c>
      <c r="P424" s="7">
        <v>8</v>
      </c>
      <c r="Q424" s="9">
        <v>430</v>
      </c>
      <c r="R424" s="9">
        <v>455.8</v>
      </c>
      <c r="S424" s="10">
        <v>7.0000000000000007E-2</v>
      </c>
      <c r="T424" s="9">
        <v>3391.152</v>
      </c>
      <c r="U424" s="9">
        <v>3440</v>
      </c>
      <c r="V424" s="9">
        <v>-48.847999999999999</v>
      </c>
      <c r="W424" s="10">
        <v>-1.44045445323595E-2</v>
      </c>
    </row>
    <row r="425" spans="1:23" x14ac:dyDescent="0.3">
      <c r="A425" s="7" t="s">
        <v>1519</v>
      </c>
      <c r="B425" s="7" t="s">
        <v>466</v>
      </c>
      <c r="C425" s="7" t="s">
        <v>1520</v>
      </c>
      <c r="D425" s="7" t="s">
        <v>1521</v>
      </c>
      <c r="E425" s="7" t="s">
        <v>100</v>
      </c>
      <c r="F425" s="8">
        <v>46003</v>
      </c>
      <c r="G425" s="8">
        <v>46004</v>
      </c>
      <c r="H425" s="8">
        <v>46005</v>
      </c>
      <c r="I425" s="7" t="s">
        <v>82</v>
      </c>
      <c r="J425" s="7" t="s">
        <v>2362</v>
      </c>
      <c r="K425" s="7" t="s">
        <v>20</v>
      </c>
      <c r="L425" s="7" t="s">
        <v>61</v>
      </c>
      <c r="M425" s="7" t="s">
        <v>42</v>
      </c>
      <c r="N425" s="7" t="s">
        <v>27</v>
      </c>
      <c r="O425" s="7" t="s">
        <v>28</v>
      </c>
      <c r="P425" s="7">
        <v>2</v>
      </c>
      <c r="Q425" s="9">
        <v>3030</v>
      </c>
      <c r="R425" s="9">
        <v>3211.8</v>
      </c>
      <c r="S425" s="10">
        <v>0</v>
      </c>
      <c r="T425" s="9">
        <v>6423.6</v>
      </c>
      <c r="U425" s="9">
        <v>6060</v>
      </c>
      <c r="V425" s="9">
        <v>363.6</v>
      </c>
      <c r="W425" s="10">
        <v>5.6603773584905703E-2</v>
      </c>
    </row>
    <row r="426" spans="1:23" x14ac:dyDescent="0.3">
      <c r="A426" s="7" t="s">
        <v>1522</v>
      </c>
      <c r="B426" s="7" t="s">
        <v>1523</v>
      </c>
      <c r="C426" s="7" t="s">
        <v>1524</v>
      </c>
      <c r="D426" s="7" t="s">
        <v>1525</v>
      </c>
      <c r="E426" s="7" t="s">
        <v>217</v>
      </c>
      <c r="F426" s="8">
        <v>45724</v>
      </c>
      <c r="G426" s="8">
        <v>45724</v>
      </c>
      <c r="H426" s="8">
        <v>45726</v>
      </c>
      <c r="I426" s="7" t="s">
        <v>72</v>
      </c>
      <c r="J426" s="7" t="s">
        <v>2363</v>
      </c>
      <c r="K426" s="7" t="s">
        <v>21</v>
      </c>
      <c r="L426" s="7" t="s">
        <v>61</v>
      </c>
      <c r="M426" s="7" t="s">
        <v>29</v>
      </c>
      <c r="N426" s="7" t="s">
        <v>27</v>
      </c>
      <c r="O426" s="7" t="s">
        <v>28</v>
      </c>
      <c r="P426" s="7">
        <v>11</v>
      </c>
      <c r="Q426" s="9">
        <v>3930</v>
      </c>
      <c r="R426" s="9">
        <v>4362.3</v>
      </c>
      <c r="S426" s="10">
        <v>0.05</v>
      </c>
      <c r="T426" s="9">
        <v>45586.035000000003</v>
      </c>
      <c r="U426" s="9">
        <v>43230</v>
      </c>
      <c r="V426" s="9">
        <v>2356.0349999999999</v>
      </c>
      <c r="W426" s="10">
        <v>5.1683262209578001E-2</v>
      </c>
    </row>
    <row r="427" spans="1:23" x14ac:dyDescent="0.3">
      <c r="A427" s="7" t="s">
        <v>1526</v>
      </c>
      <c r="B427" s="7" t="s">
        <v>1019</v>
      </c>
      <c r="C427" s="7" t="s">
        <v>1527</v>
      </c>
      <c r="D427" s="7" t="s">
        <v>1528</v>
      </c>
      <c r="E427" s="7" t="s">
        <v>187</v>
      </c>
      <c r="F427" s="8">
        <v>45929</v>
      </c>
      <c r="G427" s="8">
        <v>45930</v>
      </c>
      <c r="H427" s="8">
        <v>45932</v>
      </c>
      <c r="I427" s="7" t="s">
        <v>82</v>
      </c>
      <c r="J427" s="7" t="s">
        <v>2362</v>
      </c>
      <c r="K427" s="7" t="s">
        <v>19</v>
      </c>
      <c r="L427" s="7" t="s">
        <v>23</v>
      </c>
      <c r="M427" s="7" t="s">
        <v>2367</v>
      </c>
      <c r="N427" s="7" t="s">
        <v>38</v>
      </c>
      <c r="O427" s="7" t="s">
        <v>41</v>
      </c>
      <c r="P427" s="7">
        <v>1</v>
      </c>
      <c r="Q427" s="9">
        <v>170</v>
      </c>
      <c r="R427" s="9">
        <v>188.7</v>
      </c>
      <c r="S427" s="10">
        <v>7.0000000000000007E-2</v>
      </c>
      <c r="T427" s="9">
        <v>175.49100000000001</v>
      </c>
      <c r="U427" s="9">
        <v>170</v>
      </c>
      <c r="V427" s="9">
        <v>5.4909999999999997</v>
      </c>
      <c r="W427" s="10">
        <v>3.1289353869999002E-2</v>
      </c>
    </row>
    <row r="428" spans="1:23" x14ac:dyDescent="0.3">
      <c r="A428" s="7" t="s">
        <v>1529</v>
      </c>
      <c r="B428" s="7" t="s">
        <v>1530</v>
      </c>
      <c r="C428" s="7" t="s">
        <v>1531</v>
      </c>
      <c r="D428" s="7" t="s">
        <v>1021</v>
      </c>
      <c r="E428" s="7" t="s">
        <v>71</v>
      </c>
      <c r="F428" s="8">
        <v>45353</v>
      </c>
      <c r="G428" s="8">
        <v>45354</v>
      </c>
      <c r="H428" s="8">
        <v>45357</v>
      </c>
      <c r="I428" s="7" t="s">
        <v>72</v>
      </c>
      <c r="J428" s="7" t="s">
        <v>2</v>
      </c>
      <c r="K428" s="7" t="s">
        <v>20</v>
      </c>
      <c r="L428" s="7" t="s">
        <v>61</v>
      </c>
      <c r="M428" s="7" t="s">
        <v>32</v>
      </c>
      <c r="N428" s="7" t="s">
        <v>33</v>
      </c>
      <c r="O428" s="7" t="s">
        <v>34</v>
      </c>
      <c r="P428" s="7">
        <v>5</v>
      </c>
      <c r="Q428" s="9">
        <v>730</v>
      </c>
      <c r="R428" s="9">
        <v>824.9</v>
      </c>
      <c r="S428" s="10">
        <v>0.04</v>
      </c>
      <c r="T428" s="9">
        <v>3959.52</v>
      </c>
      <c r="U428" s="9">
        <v>3650</v>
      </c>
      <c r="V428" s="9">
        <v>309.52</v>
      </c>
      <c r="W428" s="10">
        <v>7.8171091445427707E-2</v>
      </c>
    </row>
    <row r="429" spans="1:23" x14ac:dyDescent="0.3">
      <c r="A429" s="7" t="s">
        <v>1532</v>
      </c>
      <c r="B429" s="7" t="s">
        <v>201</v>
      </c>
      <c r="C429" s="7" t="s">
        <v>1533</v>
      </c>
      <c r="D429" s="7" t="s">
        <v>1534</v>
      </c>
      <c r="E429" s="7" t="s">
        <v>71</v>
      </c>
      <c r="F429" s="8">
        <v>46013</v>
      </c>
      <c r="G429" s="8">
        <v>46014</v>
      </c>
      <c r="H429" s="8">
        <v>46016</v>
      </c>
      <c r="I429" s="7" t="s">
        <v>72</v>
      </c>
      <c r="J429" s="7" t="s">
        <v>2362</v>
      </c>
      <c r="K429" s="7" t="s">
        <v>21</v>
      </c>
      <c r="L429" s="7" t="s">
        <v>61</v>
      </c>
      <c r="M429" s="7" t="s">
        <v>32</v>
      </c>
      <c r="N429" s="7" t="s">
        <v>33</v>
      </c>
      <c r="O429" s="7" t="s">
        <v>34</v>
      </c>
      <c r="P429" s="7">
        <v>9</v>
      </c>
      <c r="Q429" s="9">
        <v>730</v>
      </c>
      <c r="R429" s="9">
        <v>824.9</v>
      </c>
      <c r="S429" s="10">
        <v>0.05</v>
      </c>
      <c r="T429" s="9">
        <v>7052.8950000000004</v>
      </c>
      <c r="U429" s="9">
        <v>6570</v>
      </c>
      <c r="V429" s="9">
        <v>482.89499999999998</v>
      </c>
      <c r="W429" s="10">
        <v>6.8467629250116402E-2</v>
      </c>
    </row>
    <row r="430" spans="1:23" x14ac:dyDescent="0.3">
      <c r="A430" s="7" t="s">
        <v>1535</v>
      </c>
      <c r="B430" s="7" t="s">
        <v>1002</v>
      </c>
      <c r="C430" s="7" t="s">
        <v>1536</v>
      </c>
      <c r="D430" s="7" t="s">
        <v>1537</v>
      </c>
      <c r="E430" s="7" t="s">
        <v>291</v>
      </c>
      <c r="F430" s="8">
        <v>45478</v>
      </c>
      <c r="G430" s="8">
        <v>45479</v>
      </c>
      <c r="H430" s="8">
        <v>45482</v>
      </c>
      <c r="I430" s="7" t="s">
        <v>72</v>
      </c>
      <c r="J430" s="7" t="s">
        <v>1</v>
      </c>
      <c r="K430" s="7" t="s">
        <v>21</v>
      </c>
      <c r="L430" s="7" t="s">
        <v>61</v>
      </c>
      <c r="M430" s="7" t="s">
        <v>57</v>
      </c>
      <c r="N430" s="7" t="s">
        <v>27</v>
      </c>
      <c r="O430" s="7" t="s">
        <v>58</v>
      </c>
      <c r="P430" s="7">
        <v>5</v>
      </c>
      <c r="Q430" s="9">
        <v>480</v>
      </c>
      <c r="R430" s="9">
        <v>513.6</v>
      </c>
      <c r="S430" s="10">
        <v>0.06</v>
      </c>
      <c r="T430" s="9">
        <v>2413.92</v>
      </c>
      <c r="U430" s="9">
        <v>2400</v>
      </c>
      <c r="V430" s="9">
        <v>13.92</v>
      </c>
      <c r="W430" s="10">
        <v>5.7665539868761197E-3</v>
      </c>
    </row>
    <row r="431" spans="1:23" x14ac:dyDescent="0.3">
      <c r="A431" s="7" t="s">
        <v>1538</v>
      </c>
      <c r="B431" s="7" t="s">
        <v>158</v>
      </c>
      <c r="C431" s="7" t="s">
        <v>1539</v>
      </c>
      <c r="D431" s="7" t="s">
        <v>1540</v>
      </c>
      <c r="E431" s="7" t="s">
        <v>173</v>
      </c>
      <c r="F431" s="8">
        <v>45800</v>
      </c>
      <c r="G431" s="8">
        <v>45801</v>
      </c>
      <c r="H431" s="8">
        <v>45802</v>
      </c>
      <c r="I431" s="7" t="s">
        <v>72</v>
      </c>
      <c r="J431" s="7" t="s">
        <v>1</v>
      </c>
      <c r="K431" s="7" t="s">
        <v>20</v>
      </c>
      <c r="L431" s="7" t="s">
        <v>22</v>
      </c>
      <c r="M431" s="7" t="s">
        <v>48</v>
      </c>
      <c r="N431" s="7" t="s">
        <v>38</v>
      </c>
      <c r="O431" s="7" t="s">
        <v>41</v>
      </c>
      <c r="P431" s="7">
        <v>7</v>
      </c>
      <c r="Q431" s="9">
        <v>580</v>
      </c>
      <c r="R431" s="9">
        <v>667</v>
      </c>
      <c r="S431" s="10">
        <v>0.08</v>
      </c>
      <c r="T431" s="9">
        <v>4295.4799999999996</v>
      </c>
      <c r="U431" s="9">
        <v>4060</v>
      </c>
      <c r="V431" s="9">
        <v>235.48</v>
      </c>
      <c r="W431" s="10">
        <v>5.4820415879017002E-2</v>
      </c>
    </row>
    <row r="432" spans="1:23" x14ac:dyDescent="0.3">
      <c r="A432" s="7" t="s">
        <v>1541</v>
      </c>
      <c r="B432" s="7" t="s">
        <v>377</v>
      </c>
      <c r="C432" s="7" t="s">
        <v>1542</v>
      </c>
      <c r="D432" s="7" t="s">
        <v>1543</v>
      </c>
      <c r="E432" s="7" t="s">
        <v>322</v>
      </c>
      <c r="F432" s="8">
        <v>45486</v>
      </c>
      <c r="G432" s="8">
        <v>45487</v>
      </c>
      <c r="H432" s="8">
        <v>45489</v>
      </c>
      <c r="I432" s="7" t="s">
        <v>72</v>
      </c>
      <c r="J432" s="7" t="s">
        <v>2</v>
      </c>
      <c r="K432" s="7" t="s">
        <v>20</v>
      </c>
      <c r="L432" s="7" t="s">
        <v>22</v>
      </c>
      <c r="M432" s="7" t="s">
        <v>26</v>
      </c>
      <c r="N432" s="7" t="s">
        <v>27</v>
      </c>
      <c r="O432" s="7" t="s">
        <v>28</v>
      </c>
      <c r="P432" s="7">
        <v>9</v>
      </c>
      <c r="Q432" s="9">
        <v>3330</v>
      </c>
      <c r="R432" s="9">
        <v>3629.7</v>
      </c>
      <c r="S432" s="10">
        <v>0.02</v>
      </c>
      <c r="T432" s="9">
        <v>32013.954000000002</v>
      </c>
      <c r="U432" s="9">
        <v>29970</v>
      </c>
      <c r="V432" s="9">
        <v>2043.954</v>
      </c>
      <c r="W432" s="10">
        <v>6.3845721774948502E-2</v>
      </c>
    </row>
    <row r="433" spans="1:23" x14ac:dyDescent="0.3">
      <c r="A433" s="7" t="s">
        <v>1544</v>
      </c>
      <c r="B433" s="7" t="s">
        <v>1290</v>
      </c>
      <c r="C433" s="7" t="s">
        <v>1545</v>
      </c>
      <c r="D433" s="7" t="s">
        <v>1546</v>
      </c>
      <c r="E433" s="7" t="s">
        <v>71</v>
      </c>
      <c r="F433" s="8">
        <v>46125</v>
      </c>
      <c r="G433" s="8">
        <v>46126</v>
      </c>
      <c r="H433" s="8">
        <v>46130</v>
      </c>
      <c r="I433" s="7" t="s">
        <v>72</v>
      </c>
      <c r="J433" s="7" t="s">
        <v>1</v>
      </c>
      <c r="K433" s="7" t="s">
        <v>21</v>
      </c>
      <c r="L433" s="7" t="s">
        <v>25</v>
      </c>
      <c r="M433" s="7" t="s">
        <v>32</v>
      </c>
      <c r="N433" s="7" t="s">
        <v>33</v>
      </c>
      <c r="O433" s="7" t="s">
        <v>34</v>
      </c>
      <c r="P433" s="7">
        <v>7</v>
      </c>
      <c r="Q433" s="9">
        <v>730</v>
      </c>
      <c r="R433" s="9">
        <v>824.9</v>
      </c>
      <c r="S433" s="10">
        <v>0.02</v>
      </c>
      <c r="T433" s="9">
        <v>5658.8140000000003</v>
      </c>
      <c r="U433" s="9">
        <v>5110</v>
      </c>
      <c r="V433" s="9">
        <v>548.81399999999996</v>
      </c>
      <c r="W433" s="10">
        <v>9.6983926313888399E-2</v>
      </c>
    </row>
    <row r="434" spans="1:23" x14ac:dyDescent="0.3">
      <c r="A434" s="7" t="s">
        <v>1547</v>
      </c>
      <c r="B434" s="7" t="s">
        <v>248</v>
      </c>
      <c r="C434" s="7" t="s">
        <v>1548</v>
      </c>
      <c r="D434" s="7" t="s">
        <v>1549</v>
      </c>
      <c r="E434" s="7" t="s">
        <v>178</v>
      </c>
      <c r="F434" s="8">
        <v>46081</v>
      </c>
      <c r="G434" s="8">
        <v>46081</v>
      </c>
      <c r="H434" s="8">
        <v>46084</v>
      </c>
      <c r="I434" s="7" t="s">
        <v>72</v>
      </c>
      <c r="J434" s="7" t="s">
        <v>2363</v>
      </c>
      <c r="K434" s="7" t="s">
        <v>20</v>
      </c>
      <c r="L434" s="7" t="s">
        <v>25</v>
      </c>
      <c r="M434" s="7" t="s">
        <v>47</v>
      </c>
      <c r="N434" s="7" t="s">
        <v>38</v>
      </c>
      <c r="O434" s="7" t="s">
        <v>39</v>
      </c>
      <c r="P434" s="7">
        <v>8</v>
      </c>
      <c r="Q434" s="9">
        <v>390</v>
      </c>
      <c r="R434" s="9">
        <v>468</v>
      </c>
      <c r="S434" s="10">
        <v>0.09</v>
      </c>
      <c r="T434" s="9">
        <v>3407.04</v>
      </c>
      <c r="U434" s="9">
        <v>3120</v>
      </c>
      <c r="V434" s="9">
        <v>287.04000000000002</v>
      </c>
      <c r="W434" s="10">
        <v>8.42490842490842E-2</v>
      </c>
    </row>
    <row r="435" spans="1:23" x14ac:dyDescent="0.3">
      <c r="A435" s="7" t="s">
        <v>1550</v>
      </c>
      <c r="B435" s="7" t="s">
        <v>1009</v>
      </c>
      <c r="C435" s="7" t="s">
        <v>1551</v>
      </c>
      <c r="D435" s="7" t="s">
        <v>1552</v>
      </c>
      <c r="E435" s="7" t="s">
        <v>187</v>
      </c>
      <c r="F435" s="8">
        <v>45888</v>
      </c>
      <c r="G435" s="8">
        <v>45888</v>
      </c>
      <c r="H435" s="8">
        <v>45893</v>
      </c>
      <c r="I435" s="7" t="s">
        <v>72</v>
      </c>
      <c r="J435" s="7" t="s">
        <v>1</v>
      </c>
      <c r="K435" s="7" t="s">
        <v>19</v>
      </c>
      <c r="L435" s="7" t="s">
        <v>61</v>
      </c>
      <c r="M435" s="7" t="s">
        <v>2367</v>
      </c>
      <c r="N435" s="7" t="s">
        <v>38</v>
      </c>
      <c r="O435" s="7" t="s">
        <v>41</v>
      </c>
      <c r="P435" s="7">
        <v>7</v>
      </c>
      <c r="Q435" s="9">
        <v>170</v>
      </c>
      <c r="R435" s="9">
        <v>188.7</v>
      </c>
      <c r="S435" s="10">
        <v>0.03</v>
      </c>
      <c r="T435" s="9">
        <v>1281.2729999999999</v>
      </c>
      <c r="U435" s="9">
        <v>1190</v>
      </c>
      <c r="V435" s="9">
        <v>91.272999999999996</v>
      </c>
      <c r="W435" s="10">
        <v>7.1236184638246505E-2</v>
      </c>
    </row>
    <row r="436" spans="1:23" x14ac:dyDescent="0.3">
      <c r="A436" s="7" t="s">
        <v>1553</v>
      </c>
      <c r="B436" s="7" t="s">
        <v>538</v>
      </c>
      <c r="C436" s="7" t="s">
        <v>1554</v>
      </c>
      <c r="D436" s="7" t="s">
        <v>1555</v>
      </c>
      <c r="E436" s="7" t="s">
        <v>291</v>
      </c>
      <c r="F436" s="8">
        <v>45771</v>
      </c>
      <c r="G436" s="8">
        <v>45771</v>
      </c>
      <c r="H436" s="8">
        <v>45776</v>
      </c>
      <c r="I436" s="7" t="s">
        <v>72</v>
      </c>
      <c r="J436" s="7" t="s">
        <v>2</v>
      </c>
      <c r="K436" s="7" t="s">
        <v>19</v>
      </c>
      <c r="L436" s="7" t="s">
        <v>23</v>
      </c>
      <c r="M436" s="7" t="s">
        <v>57</v>
      </c>
      <c r="N436" s="7" t="s">
        <v>27</v>
      </c>
      <c r="O436" s="7" t="s">
        <v>58</v>
      </c>
      <c r="P436" s="7">
        <v>5</v>
      </c>
      <c r="Q436" s="9">
        <v>480</v>
      </c>
      <c r="R436" s="9">
        <v>513.6</v>
      </c>
      <c r="S436" s="10">
        <v>0.03</v>
      </c>
      <c r="T436" s="9">
        <v>2490.96</v>
      </c>
      <c r="U436" s="9">
        <v>2400</v>
      </c>
      <c r="V436" s="9">
        <v>90.96</v>
      </c>
      <c r="W436" s="10">
        <v>3.6516042007900602E-2</v>
      </c>
    </row>
    <row r="437" spans="1:23" x14ac:dyDescent="0.3">
      <c r="A437" s="7" t="s">
        <v>1556</v>
      </c>
      <c r="B437" s="7" t="s">
        <v>656</v>
      </c>
      <c r="C437" s="7" t="s">
        <v>1557</v>
      </c>
      <c r="D437" s="7" t="s">
        <v>1558</v>
      </c>
      <c r="E437" s="7" t="s">
        <v>71</v>
      </c>
      <c r="F437" s="8">
        <v>45377</v>
      </c>
      <c r="G437" s="8">
        <v>45377</v>
      </c>
      <c r="H437" s="8">
        <v>45382</v>
      </c>
      <c r="I437" s="7" t="s">
        <v>72</v>
      </c>
      <c r="J437" s="7" t="s">
        <v>2362</v>
      </c>
      <c r="K437" s="7" t="s">
        <v>21</v>
      </c>
      <c r="L437" s="7" t="s">
        <v>61</v>
      </c>
      <c r="M437" s="7" t="s">
        <v>32</v>
      </c>
      <c r="N437" s="7" t="s">
        <v>33</v>
      </c>
      <c r="O437" s="7" t="s">
        <v>34</v>
      </c>
      <c r="P437" s="7">
        <v>5</v>
      </c>
      <c r="Q437" s="9">
        <v>730</v>
      </c>
      <c r="R437" s="9">
        <v>824.9</v>
      </c>
      <c r="S437" s="10">
        <v>0.04</v>
      </c>
      <c r="T437" s="9">
        <v>3959.52</v>
      </c>
      <c r="U437" s="9">
        <v>3650</v>
      </c>
      <c r="V437" s="9">
        <v>309.52</v>
      </c>
      <c r="W437" s="10">
        <v>7.8171091445427707E-2</v>
      </c>
    </row>
    <row r="438" spans="1:23" x14ac:dyDescent="0.3">
      <c r="A438" s="7" t="s">
        <v>1559</v>
      </c>
      <c r="B438" s="7" t="s">
        <v>377</v>
      </c>
      <c r="C438" s="7" t="s">
        <v>1560</v>
      </c>
      <c r="D438" s="7" t="s">
        <v>1561</v>
      </c>
      <c r="E438" s="7" t="s">
        <v>178</v>
      </c>
      <c r="F438" s="8">
        <v>46126</v>
      </c>
      <c r="G438" s="8">
        <v>46126</v>
      </c>
      <c r="H438" s="8">
        <v>46130</v>
      </c>
      <c r="I438" s="7" t="s">
        <v>72</v>
      </c>
      <c r="J438" s="7" t="s">
        <v>1</v>
      </c>
      <c r="K438" s="7" t="s">
        <v>21</v>
      </c>
      <c r="L438" s="7" t="s">
        <v>61</v>
      </c>
      <c r="M438" s="7" t="s">
        <v>47</v>
      </c>
      <c r="N438" s="7" t="s">
        <v>38</v>
      </c>
      <c r="O438" s="7" t="s">
        <v>39</v>
      </c>
      <c r="P438" s="7">
        <v>10</v>
      </c>
      <c r="Q438" s="9">
        <v>390</v>
      </c>
      <c r="R438" s="9">
        <v>468</v>
      </c>
      <c r="S438" s="10">
        <v>0.04</v>
      </c>
      <c r="T438" s="9">
        <v>4492.8</v>
      </c>
      <c r="U438" s="9">
        <v>3900</v>
      </c>
      <c r="V438" s="9">
        <v>592.79999999999995</v>
      </c>
      <c r="W438" s="10">
        <v>0.131944444444444</v>
      </c>
    </row>
    <row r="439" spans="1:23" x14ac:dyDescent="0.3">
      <c r="A439" s="7" t="s">
        <v>1562</v>
      </c>
      <c r="B439" s="7" t="s">
        <v>275</v>
      </c>
      <c r="C439" s="7" t="s">
        <v>1563</v>
      </c>
      <c r="D439" s="7" t="s">
        <v>1564</v>
      </c>
      <c r="E439" s="7" t="s">
        <v>178</v>
      </c>
      <c r="F439" s="8">
        <v>45608</v>
      </c>
      <c r="G439" s="8">
        <v>45608</v>
      </c>
      <c r="H439" s="8">
        <v>45610</v>
      </c>
      <c r="I439" s="7" t="s">
        <v>82</v>
      </c>
      <c r="J439" s="7" t="s">
        <v>2364</v>
      </c>
      <c r="K439" s="7" t="s">
        <v>19</v>
      </c>
      <c r="L439" s="7" t="s">
        <v>25</v>
      </c>
      <c r="M439" s="7" t="s">
        <v>47</v>
      </c>
      <c r="N439" s="7" t="s">
        <v>38</v>
      </c>
      <c r="O439" s="7" t="s">
        <v>39</v>
      </c>
      <c r="P439" s="7">
        <v>1</v>
      </c>
      <c r="Q439" s="9">
        <v>390</v>
      </c>
      <c r="R439" s="9">
        <v>468</v>
      </c>
      <c r="S439" s="10">
        <v>0.01</v>
      </c>
      <c r="T439" s="9">
        <v>463.32</v>
      </c>
      <c r="U439" s="9">
        <v>390</v>
      </c>
      <c r="V439" s="9">
        <v>73.319999999999993</v>
      </c>
      <c r="W439" s="10">
        <v>0.158249158249158</v>
      </c>
    </row>
    <row r="440" spans="1:23" x14ac:dyDescent="0.3">
      <c r="A440" s="7" t="s">
        <v>1565</v>
      </c>
      <c r="B440" s="7" t="s">
        <v>1009</v>
      </c>
      <c r="C440" s="7" t="s">
        <v>1566</v>
      </c>
      <c r="D440" s="7" t="s">
        <v>1567</v>
      </c>
      <c r="E440" s="7" t="s">
        <v>71</v>
      </c>
      <c r="F440" s="8">
        <v>46040</v>
      </c>
      <c r="G440" s="8">
        <v>46041</v>
      </c>
      <c r="H440" s="8">
        <v>46044</v>
      </c>
      <c r="I440" s="7" t="s">
        <v>82</v>
      </c>
      <c r="J440" s="7" t="s">
        <v>1</v>
      </c>
      <c r="K440" s="7" t="s">
        <v>19</v>
      </c>
      <c r="L440" s="7" t="s">
        <v>22</v>
      </c>
      <c r="M440" s="7" t="s">
        <v>32</v>
      </c>
      <c r="N440" s="7" t="s">
        <v>33</v>
      </c>
      <c r="O440" s="7" t="s">
        <v>34</v>
      </c>
      <c r="P440" s="7">
        <v>3</v>
      </c>
      <c r="Q440" s="9">
        <v>730</v>
      </c>
      <c r="R440" s="9">
        <v>824.9</v>
      </c>
      <c r="S440" s="10">
        <v>0.08</v>
      </c>
      <c r="T440" s="9">
        <v>2276.7240000000002</v>
      </c>
      <c r="U440" s="9">
        <v>2190</v>
      </c>
      <c r="V440" s="9">
        <v>86.724000000000004</v>
      </c>
      <c r="W440" s="10">
        <v>3.8091573682185499E-2</v>
      </c>
    </row>
    <row r="441" spans="1:23" x14ac:dyDescent="0.3">
      <c r="A441" s="7" t="s">
        <v>1568</v>
      </c>
      <c r="B441" s="7" t="s">
        <v>319</v>
      </c>
      <c r="C441" s="7" t="s">
        <v>1569</v>
      </c>
      <c r="D441" s="7" t="s">
        <v>1570</v>
      </c>
      <c r="E441" s="7" t="s">
        <v>77</v>
      </c>
      <c r="F441" s="8">
        <v>45637</v>
      </c>
      <c r="G441" s="8">
        <v>45638</v>
      </c>
      <c r="H441" s="8">
        <v>45642</v>
      </c>
      <c r="I441" s="7" t="s">
        <v>82</v>
      </c>
      <c r="J441" s="7" t="s">
        <v>2363</v>
      </c>
      <c r="K441" s="7" t="s">
        <v>20</v>
      </c>
      <c r="L441" s="7" t="s">
        <v>23</v>
      </c>
      <c r="M441" s="7" t="s">
        <v>44</v>
      </c>
      <c r="N441" s="7" t="s">
        <v>38</v>
      </c>
      <c r="O441" s="7" t="s">
        <v>45</v>
      </c>
      <c r="P441" s="7">
        <v>1</v>
      </c>
      <c r="Q441" s="9">
        <v>210</v>
      </c>
      <c r="R441" s="9">
        <v>222.6</v>
      </c>
      <c r="S441" s="10">
        <v>0.02</v>
      </c>
      <c r="T441" s="9">
        <v>218.148</v>
      </c>
      <c r="U441" s="9">
        <v>210</v>
      </c>
      <c r="V441" s="9">
        <v>8.1479999999999997</v>
      </c>
      <c r="W441" s="10">
        <v>3.73507893723527E-2</v>
      </c>
    </row>
    <row r="442" spans="1:23" x14ac:dyDescent="0.3">
      <c r="A442" s="7" t="s">
        <v>1571</v>
      </c>
      <c r="B442" s="7" t="s">
        <v>1429</v>
      </c>
      <c r="C442" s="7" t="s">
        <v>1572</v>
      </c>
      <c r="D442" s="7" t="s">
        <v>510</v>
      </c>
      <c r="E442" s="7" t="s">
        <v>109</v>
      </c>
      <c r="F442" s="8">
        <v>45696</v>
      </c>
      <c r="G442" s="8">
        <v>45697</v>
      </c>
      <c r="H442" s="8">
        <v>45701</v>
      </c>
      <c r="I442" s="7" t="s">
        <v>72</v>
      </c>
      <c r="J442" s="7" t="s">
        <v>1</v>
      </c>
      <c r="K442" s="7" t="s">
        <v>19</v>
      </c>
      <c r="L442" s="7" t="s">
        <v>25</v>
      </c>
      <c r="M442" s="7" t="s">
        <v>2365</v>
      </c>
      <c r="N442" s="7" t="s">
        <v>27</v>
      </c>
      <c r="O442" s="7" t="s">
        <v>56</v>
      </c>
      <c r="P442" s="7">
        <v>6</v>
      </c>
      <c r="Q442" s="9">
        <v>650</v>
      </c>
      <c r="R442" s="9">
        <v>663</v>
      </c>
      <c r="S442" s="10">
        <v>0.04</v>
      </c>
      <c r="T442" s="9">
        <v>3818.88</v>
      </c>
      <c r="U442" s="9">
        <v>3900</v>
      </c>
      <c r="V442" s="9">
        <v>-81.12</v>
      </c>
      <c r="W442" s="10">
        <v>-2.1241830065359499E-2</v>
      </c>
    </row>
    <row r="443" spans="1:23" x14ac:dyDescent="0.3">
      <c r="A443" s="7" t="s">
        <v>1573</v>
      </c>
      <c r="B443" s="7" t="s">
        <v>252</v>
      </c>
      <c r="C443" s="7" t="s">
        <v>1574</v>
      </c>
      <c r="D443" s="7" t="s">
        <v>1575</v>
      </c>
      <c r="E443" s="7" t="s">
        <v>95</v>
      </c>
      <c r="F443" s="8">
        <v>46175</v>
      </c>
      <c r="G443" s="8">
        <v>46176</v>
      </c>
      <c r="H443" s="8">
        <v>46178</v>
      </c>
      <c r="I443" s="7" t="s">
        <v>82</v>
      </c>
      <c r="J443" s="7" t="s">
        <v>1</v>
      </c>
      <c r="K443" s="7" t="s">
        <v>20</v>
      </c>
      <c r="L443" s="7" t="s">
        <v>61</v>
      </c>
      <c r="M443" s="7" t="s">
        <v>49</v>
      </c>
      <c r="N443" s="7" t="s">
        <v>33</v>
      </c>
      <c r="O443" s="7" t="s">
        <v>34</v>
      </c>
      <c r="P443" s="7">
        <v>4</v>
      </c>
      <c r="Q443" s="9">
        <v>1080</v>
      </c>
      <c r="R443" s="9">
        <v>1112.4000000000001</v>
      </c>
      <c r="S443" s="10">
        <v>0.01</v>
      </c>
      <c r="T443" s="9">
        <v>4405.1040000000003</v>
      </c>
      <c r="U443" s="9">
        <v>4320</v>
      </c>
      <c r="V443" s="9">
        <v>85.103999999999999</v>
      </c>
      <c r="W443" s="10">
        <v>1.9319407668922199E-2</v>
      </c>
    </row>
    <row r="444" spans="1:23" x14ac:dyDescent="0.3">
      <c r="A444" s="7" t="s">
        <v>1576</v>
      </c>
      <c r="B444" s="7" t="s">
        <v>925</v>
      </c>
      <c r="C444" s="7" t="s">
        <v>1577</v>
      </c>
      <c r="D444" s="7" t="s">
        <v>1578</v>
      </c>
      <c r="E444" s="7" t="s">
        <v>109</v>
      </c>
      <c r="F444" s="8">
        <v>45718</v>
      </c>
      <c r="G444" s="8">
        <v>45719</v>
      </c>
      <c r="H444" s="8">
        <v>45723</v>
      </c>
      <c r="I444" s="7" t="s">
        <v>82</v>
      </c>
      <c r="J444" s="7" t="s">
        <v>2</v>
      </c>
      <c r="K444" s="7" t="s">
        <v>20</v>
      </c>
      <c r="L444" s="7" t="s">
        <v>61</v>
      </c>
      <c r="M444" s="7" t="s">
        <v>2365</v>
      </c>
      <c r="N444" s="7" t="s">
        <v>27</v>
      </c>
      <c r="O444" s="7" t="s">
        <v>56</v>
      </c>
      <c r="P444" s="7">
        <v>3</v>
      </c>
      <c r="Q444" s="9">
        <v>650</v>
      </c>
      <c r="R444" s="9">
        <v>663</v>
      </c>
      <c r="S444" s="10">
        <v>0.03</v>
      </c>
      <c r="T444" s="9">
        <v>1929.33</v>
      </c>
      <c r="U444" s="9">
        <v>1950</v>
      </c>
      <c r="V444" s="9">
        <v>-20.67</v>
      </c>
      <c r="W444" s="10">
        <v>-1.07135637760259E-2</v>
      </c>
    </row>
    <row r="445" spans="1:23" x14ac:dyDescent="0.3">
      <c r="A445" s="7" t="s">
        <v>1579</v>
      </c>
      <c r="B445" s="7" t="s">
        <v>263</v>
      </c>
      <c r="C445" s="7" t="s">
        <v>1580</v>
      </c>
      <c r="D445" s="7" t="s">
        <v>1570</v>
      </c>
      <c r="E445" s="7" t="s">
        <v>95</v>
      </c>
      <c r="F445" s="8">
        <v>45785</v>
      </c>
      <c r="G445" s="8">
        <v>45786</v>
      </c>
      <c r="H445" s="8">
        <v>45788</v>
      </c>
      <c r="I445" s="7" t="s">
        <v>72</v>
      </c>
      <c r="J445" s="7" t="s">
        <v>2</v>
      </c>
      <c r="K445" s="7" t="s">
        <v>20</v>
      </c>
      <c r="L445" s="7" t="s">
        <v>24</v>
      </c>
      <c r="M445" s="7" t="s">
        <v>49</v>
      </c>
      <c r="N445" s="7" t="s">
        <v>33</v>
      </c>
      <c r="O445" s="7" t="s">
        <v>34</v>
      </c>
      <c r="P445" s="7">
        <v>7</v>
      </c>
      <c r="Q445" s="9">
        <v>1080</v>
      </c>
      <c r="R445" s="9">
        <v>1112.4000000000001</v>
      </c>
      <c r="S445" s="10">
        <v>0</v>
      </c>
      <c r="T445" s="9">
        <v>7786.8</v>
      </c>
      <c r="U445" s="9">
        <v>7560</v>
      </c>
      <c r="V445" s="9">
        <v>226.8</v>
      </c>
      <c r="W445" s="10">
        <v>2.9126213592233E-2</v>
      </c>
    </row>
    <row r="446" spans="1:23" x14ac:dyDescent="0.3">
      <c r="A446" s="7" t="s">
        <v>1581</v>
      </c>
      <c r="B446" s="7" t="s">
        <v>201</v>
      </c>
      <c r="C446" s="7" t="s">
        <v>1582</v>
      </c>
      <c r="D446" s="7" t="s">
        <v>1583</v>
      </c>
      <c r="E446" s="7" t="s">
        <v>322</v>
      </c>
      <c r="F446" s="8">
        <v>45851</v>
      </c>
      <c r="G446" s="8">
        <v>45851</v>
      </c>
      <c r="H446" s="8">
        <v>45855</v>
      </c>
      <c r="I446" s="7" t="s">
        <v>82</v>
      </c>
      <c r="J446" s="7" t="s">
        <v>2</v>
      </c>
      <c r="K446" s="7" t="s">
        <v>19</v>
      </c>
      <c r="L446" s="7" t="s">
        <v>61</v>
      </c>
      <c r="M446" s="7" t="s">
        <v>26</v>
      </c>
      <c r="N446" s="7" t="s">
        <v>27</v>
      </c>
      <c r="O446" s="7" t="s">
        <v>28</v>
      </c>
      <c r="P446" s="7">
        <v>3</v>
      </c>
      <c r="Q446" s="9">
        <v>3330</v>
      </c>
      <c r="R446" s="9">
        <v>3629.7</v>
      </c>
      <c r="S446" s="10">
        <v>0.02</v>
      </c>
      <c r="T446" s="9">
        <v>10671.317999999999</v>
      </c>
      <c r="U446" s="9">
        <v>9990</v>
      </c>
      <c r="V446" s="9">
        <v>681.31799999999998</v>
      </c>
      <c r="W446" s="10">
        <v>6.3845721774948502E-2</v>
      </c>
    </row>
    <row r="447" spans="1:23" x14ac:dyDescent="0.3">
      <c r="A447" s="7" t="s">
        <v>1584</v>
      </c>
      <c r="B447" s="7" t="s">
        <v>428</v>
      </c>
      <c r="C447" s="7" t="s">
        <v>1585</v>
      </c>
      <c r="D447" s="7" t="s">
        <v>1586</v>
      </c>
      <c r="E447" s="7" t="s">
        <v>217</v>
      </c>
      <c r="F447" s="8">
        <v>46031</v>
      </c>
      <c r="G447" s="8">
        <v>46032</v>
      </c>
      <c r="H447" s="8">
        <v>46034</v>
      </c>
      <c r="I447" s="7" t="s">
        <v>82</v>
      </c>
      <c r="J447" s="7" t="s">
        <v>1</v>
      </c>
      <c r="K447" s="7" t="s">
        <v>19</v>
      </c>
      <c r="L447" s="7" t="s">
        <v>25</v>
      </c>
      <c r="M447" s="7" t="s">
        <v>29</v>
      </c>
      <c r="N447" s="7" t="s">
        <v>27</v>
      </c>
      <c r="O447" s="7" t="s">
        <v>28</v>
      </c>
      <c r="P447" s="7">
        <v>2</v>
      </c>
      <c r="Q447" s="9">
        <v>3930</v>
      </c>
      <c r="R447" s="9">
        <v>4362.3</v>
      </c>
      <c r="S447" s="10">
        <v>0.05</v>
      </c>
      <c r="T447" s="9">
        <v>8288.3700000000008</v>
      </c>
      <c r="U447" s="9">
        <v>7860</v>
      </c>
      <c r="V447" s="9">
        <v>428.37</v>
      </c>
      <c r="W447" s="10">
        <v>5.1683262209578001E-2</v>
      </c>
    </row>
    <row r="448" spans="1:23" x14ac:dyDescent="0.3">
      <c r="A448" s="7" t="s">
        <v>1587</v>
      </c>
      <c r="B448" s="7" t="s">
        <v>508</v>
      </c>
      <c r="C448" s="7" t="s">
        <v>1588</v>
      </c>
      <c r="D448" s="7" t="s">
        <v>1589</v>
      </c>
      <c r="E448" s="7" t="s">
        <v>291</v>
      </c>
      <c r="F448" s="8">
        <v>46018</v>
      </c>
      <c r="G448" s="8">
        <v>46019</v>
      </c>
      <c r="H448" s="8">
        <v>46021</v>
      </c>
      <c r="I448" s="7" t="s">
        <v>72</v>
      </c>
      <c r="J448" s="7" t="s">
        <v>2362</v>
      </c>
      <c r="K448" s="7" t="s">
        <v>21</v>
      </c>
      <c r="L448" s="7" t="s">
        <v>24</v>
      </c>
      <c r="M448" s="7" t="s">
        <v>57</v>
      </c>
      <c r="N448" s="7" t="s">
        <v>27</v>
      </c>
      <c r="O448" s="7" t="s">
        <v>58</v>
      </c>
      <c r="P448" s="7">
        <v>13</v>
      </c>
      <c r="Q448" s="9">
        <v>480</v>
      </c>
      <c r="R448" s="9">
        <v>513.6</v>
      </c>
      <c r="S448" s="10">
        <v>7.0000000000000007E-2</v>
      </c>
      <c r="T448" s="9">
        <v>6209.424</v>
      </c>
      <c r="U448" s="9">
        <v>6240</v>
      </c>
      <c r="V448" s="9">
        <v>-30.576000000000001</v>
      </c>
      <c r="W448" s="10">
        <v>-4.9241282283187596E-3</v>
      </c>
    </row>
    <row r="449" spans="1:23" x14ac:dyDescent="0.3">
      <c r="A449" s="7" t="s">
        <v>1590</v>
      </c>
      <c r="B449" s="7" t="s">
        <v>501</v>
      </c>
      <c r="C449" s="7" t="s">
        <v>1591</v>
      </c>
      <c r="D449" s="7" t="s">
        <v>1592</v>
      </c>
      <c r="E449" s="7" t="s">
        <v>322</v>
      </c>
      <c r="F449" s="8">
        <v>45583</v>
      </c>
      <c r="G449" s="8">
        <v>45583</v>
      </c>
      <c r="H449" s="8">
        <v>45586</v>
      </c>
      <c r="I449" s="7" t="s">
        <v>82</v>
      </c>
      <c r="J449" s="7" t="s">
        <v>1</v>
      </c>
      <c r="K449" s="7" t="s">
        <v>19</v>
      </c>
      <c r="L449" s="7" t="s">
        <v>25</v>
      </c>
      <c r="M449" s="7" t="s">
        <v>26</v>
      </c>
      <c r="N449" s="7" t="s">
        <v>27</v>
      </c>
      <c r="O449" s="7" t="s">
        <v>28</v>
      </c>
      <c r="P449" s="7">
        <v>3</v>
      </c>
      <c r="Q449" s="9">
        <v>3330</v>
      </c>
      <c r="R449" s="9">
        <v>3629.7</v>
      </c>
      <c r="S449" s="10">
        <v>0.04</v>
      </c>
      <c r="T449" s="9">
        <v>10453.536</v>
      </c>
      <c r="U449" s="9">
        <v>9990</v>
      </c>
      <c r="V449" s="9">
        <v>463.536</v>
      </c>
      <c r="W449" s="10">
        <v>4.4342507645259897E-2</v>
      </c>
    </row>
    <row r="450" spans="1:23" x14ac:dyDescent="0.3">
      <c r="A450" s="7" t="s">
        <v>1593</v>
      </c>
      <c r="B450" s="7" t="s">
        <v>1316</v>
      </c>
      <c r="C450" s="7" t="s">
        <v>1594</v>
      </c>
      <c r="D450" s="7" t="s">
        <v>707</v>
      </c>
      <c r="E450" s="7" t="s">
        <v>95</v>
      </c>
      <c r="F450" s="8">
        <v>45830</v>
      </c>
      <c r="G450" s="8">
        <v>45831</v>
      </c>
      <c r="H450" s="8">
        <v>45832</v>
      </c>
      <c r="I450" s="7" t="s">
        <v>82</v>
      </c>
      <c r="J450" s="7" t="s">
        <v>2362</v>
      </c>
      <c r="K450" s="7" t="s">
        <v>20</v>
      </c>
      <c r="L450" s="7" t="s">
        <v>22</v>
      </c>
      <c r="M450" s="7" t="s">
        <v>49</v>
      </c>
      <c r="N450" s="7" t="s">
        <v>33</v>
      </c>
      <c r="O450" s="7" t="s">
        <v>34</v>
      </c>
      <c r="P450" s="7">
        <v>4</v>
      </c>
      <c r="Q450" s="9">
        <v>1080</v>
      </c>
      <c r="R450" s="9">
        <v>1112.4000000000001</v>
      </c>
      <c r="S450" s="10">
        <v>0.09</v>
      </c>
      <c r="T450" s="9">
        <v>4049.136</v>
      </c>
      <c r="U450" s="9">
        <v>4320</v>
      </c>
      <c r="V450" s="9">
        <v>-270.86399999999998</v>
      </c>
      <c r="W450" s="10">
        <v>-6.6894270777765899E-2</v>
      </c>
    </row>
    <row r="451" spans="1:23" x14ac:dyDescent="0.3">
      <c r="A451" s="7" t="s">
        <v>1595</v>
      </c>
      <c r="B451" s="7" t="s">
        <v>764</v>
      </c>
      <c r="C451" s="7" t="s">
        <v>1596</v>
      </c>
      <c r="D451" s="7" t="s">
        <v>1597</v>
      </c>
      <c r="E451" s="7" t="s">
        <v>87</v>
      </c>
      <c r="F451" s="8">
        <v>45812</v>
      </c>
      <c r="G451" s="8">
        <v>45812</v>
      </c>
      <c r="H451" s="8">
        <v>45816</v>
      </c>
      <c r="I451" s="7" t="s">
        <v>82</v>
      </c>
      <c r="J451" s="7" t="s">
        <v>2</v>
      </c>
      <c r="K451" s="7" t="s">
        <v>19</v>
      </c>
      <c r="L451" s="7" t="s">
        <v>24</v>
      </c>
      <c r="M451" s="7" t="s">
        <v>30</v>
      </c>
      <c r="N451" s="7" t="s">
        <v>27</v>
      </c>
      <c r="O451" s="7" t="s">
        <v>31</v>
      </c>
      <c r="P451" s="7">
        <v>4</v>
      </c>
      <c r="Q451" s="9">
        <v>1030</v>
      </c>
      <c r="R451" s="9">
        <v>1174.2</v>
      </c>
      <c r="S451" s="10">
        <v>0.03</v>
      </c>
      <c r="T451" s="9">
        <v>4555.8959999999997</v>
      </c>
      <c r="U451" s="9">
        <v>4120</v>
      </c>
      <c r="V451" s="9">
        <v>435.89600000000002</v>
      </c>
      <c r="W451" s="10">
        <v>9.5677337674082097E-2</v>
      </c>
    </row>
    <row r="452" spans="1:23" x14ac:dyDescent="0.3">
      <c r="A452" s="7" t="s">
        <v>1598</v>
      </c>
      <c r="B452" s="7" t="s">
        <v>474</v>
      </c>
      <c r="C452" s="7" t="s">
        <v>1599</v>
      </c>
      <c r="D452" s="7" t="s">
        <v>1600</v>
      </c>
      <c r="E452" s="7" t="s">
        <v>141</v>
      </c>
      <c r="F452" s="8">
        <v>45446</v>
      </c>
      <c r="G452" s="8">
        <v>45447</v>
      </c>
      <c r="H452" s="8">
        <v>45450</v>
      </c>
      <c r="I452" s="7" t="s">
        <v>72</v>
      </c>
      <c r="J452" s="7" t="s">
        <v>2362</v>
      </c>
      <c r="K452" s="7" t="s">
        <v>21</v>
      </c>
      <c r="L452" s="7" t="s">
        <v>24</v>
      </c>
      <c r="M452" s="7" t="s">
        <v>35</v>
      </c>
      <c r="N452" s="7" t="s">
        <v>33</v>
      </c>
      <c r="O452" s="7" t="s">
        <v>36</v>
      </c>
      <c r="P452" s="7">
        <v>9</v>
      </c>
      <c r="Q452" s="9">
        <v>1530</v>
      </c>
      <c r="R452" s="9">
        <v>1790.1</v>
      </c>
      <c r="S452" s="10">
        <v>0.01</v>
      </c>
      <c r="T452" s="9">
        <v>15949.790999999999</v>
      </c>
      <c r="U452" s="9">
        <v>13770</v>
      </c>
      <c r="V452" s="9">
        <v>2179.7910000000002</v>
      </c>
      <c r="W452" s="10">
        <v>0.13666580333247</v>
      </c>
    </row>
    <row r="453" spans="1:23" x14ac:dyDescent="0.3">
      <c r="A453" s="7" t="s">
        <v>1601</v>
      </c>
      <c r="B453" s="7" t="s">
        <v>478</v>
      </c>
      <c r="C453" s="7" t="s">
        <v>1602</v>
      </c>
      <c r="D453" s="7" t="s">
        <v>1603</v>
      </c>
      <c r="E453" s="7" t="s">
        <v>81</v>
      </c>
      <c r="F453" s="8">
        <v>45383</v>
      </c>
      <c r="G453" s="8">
        <v>45383</v>
      </c>
      <c r="H453" s="8">
        <v>45388</v>
      </c>
      <c r="I453" s="7" t="s">
        <v>82</v>
      </c>
      <c r="J453" s="7" t="s">
        <v>1</v>
      </c>
      <c r="K453" s="7" t="s">
        <v>20</v>
      </c>
      <c r="L453" s="7" t="s">
        <v>61</v>
      </c>
      <c r="M453" s="7" t="s">
        <v>59</v>
      </c>
      <c r="N453" s="7" t="s">
        <v>27</v>
      </c>
      <c r="O453" s="7" t="s">
        <v>60</v>
      </c>
      <c r="P453" s="7">
        <v>2</v>
      </c>
      <c r="Q453" s="9">
        <v>1230</v>
      </c>
      <c r="R453" s="9">
        <v>1328.4</v>
      </c>
      <c r="S453" s="10">
        <v>0.06</v>
      </c>
      <c r="T453" s="9">
        <v>2497.3919999999998</v>
      </c>
      <c r="U453" s="9">
        <v>2460</v>
      </c>
      <c r="V453" s="9">
        <v>37.392000000000003</v>
      </c>
      <c r="W453" s="10">
        <v>1.49724192277384E-2</v>
      </c>
    </row>
    <row r="454" spans="1:23" x14ac:dyDescent="0.3">
      <c r="A454" s="7" t="s">
        <v>1604</v>
      </c>
      <c r="B454" s="7" t="s">
        <v>285</v>
      </c>
      <c r="C454" s="7" t="s">
        <v>1605</v>
      </c>
      <c r="D454" s="7" t="s">
        <v>468</v>
      </c>
      <c r="E454" s="7" t="s">
        <v>164</v>
      </c>
      <c r="F454" s="8">
        <v>45511</v>
      </c>
      <c r="G454" s="8">
        <v>45512</v>
      </c>
      <c r="H454" s="8">
        <v>45516</v>
      </c>
      <c r="I454" s="7" t="s">
        <v>72</v>
      </c>
      <c r="J454" s="7" t="s">
        <v>2363</v>
      </c>
      <c r="K454" s="7" t="s">
        <v>21</v>
      </c>
      <c r="L454" s="7" t="s">
        <v>23</v>
      </c>
      <c r="M454" s="7" t="s">
        <v>43</v>
      </c>
      <c r="N454" s="7" t="s">
        <v>27</v>
      </c>
      <c r="O454" s="7" t="s">
        <v>31</v>
      </c>
      <c r="P454" s="7">
        <v>11</v>
      </c>
      <c r="Q454" s="9">
        <v>1630</v>
      </c>
      <c r="R454" s="9">
        <v>1744.1</v>
      </c>
      <c r="S454" s="10">
        <v>0.1</v>
      </c>
      <c r="T454" s="9">
        <v>17266.59</v>
      </c>
      <c r="U454" s="9">
        <v>17930</v>
      </c>
      <c r="V454" s="9">
        <v>-663.41</v>
      </c>
      <c r="W454" s="10">
        <v>-3.8421599169262702E-2</v>
      </c>
    </row>
    <row r="455" spans="1:23" x14ac:dyDescent="0.3">
      <c r="A455" s="7" t="s">
        <v>1606</v>
      </c>
      <c r="B455" s="7" t="s">
        <v>1607</v>
      </c>
      <c r="C455" s="7" t="s">
        <v>1608</v>
      </c>
      <c r="D455" s="7" t="s">
        <v>1609</v>
      </c>
      <c r="E455" s="7" t="s">
        <v>132</v>
      </c>
      <c r="F455" s="8">
        <v>46170</v>
      </c>
      <c r="G455" s="8">
        <v>46171</v>
      </c>
      <c r="H455" s="8">
        <v>46174</v>
      </c>
      <c r="I455" s="7" t="s">
        <v>72</v>
      </c>
      <c r="J455" s="7" t="s">
        <v>2363</v>
      </c>
      <c r="K455" s="7" t="s">
        <v>19</v>
      </c>
      <c r="L455" s="7" t="s">
        <v>25</v>
      </c>
      <c r="M455" s="7" t="s">
        <v>2366</v>
      </c>
      <c r="N455" s="7" t="s">
        <v>27</v>
      </c>
      <c r="O455" s="7" t="s">
        <v>54</v>
      </c>
      <c r="P455" s="7">
        <v>6</v>
      </c>
      <c r="Q455" s="9">
        <v>430</v>
      </c>
      <c r="R455" s="9">
        <v>455.8</v>
      </c>
      <c r="S455" s="10">
        <v>0</v>
      </c>
      <c r="T455" s="9">
        <v>2734.8</v>
      </c>
      <c r="U455" s="9">
        <v>2580</v>
      </c>
      <c r="V455" s="9">
        <v>154.80000000000001</v>
      </c>
      <c r="W455" s="10">
        <v>5.6603773584905703E-2</v>
      </c>
    </row>
    <row r="456" spans="1:23" x14ac:dyDescent="0.3">
      <c r="A456" s="7" t="s">
        <v>1610</v>
      </c>
      <c r="B456" s="7" t="s">
        <v>689</v>
      </c>
      <c r="C456" s="7" t="s">
        <v>1611</v>
      </c>
      <c r="D456" s="7" t="s">
        <v>1612</v>
      </c>
      <c r="E456" s="7" t="s">
        <v>77</v>
      </c>
      <c r="F456" s="8">
        <v>45623</v>
      </c>
      <c r="G456" s="8">
        <v>45623</v>
      </c>
      <c r="H456" s="8">
        <v>45628</v>
      </c>
      <c r="I456" s="7" t="s">
        <v>82</v>
      </c>
      <c r="J456" s="7" t="s">
        <v>2364</v>
      </c>
      <c r="K456" s="7" t="s">
        <v>19</v>
      </c>
      <c r="L456" s="7" t="s">
        <v>22</v>
      </c>
      <c r="M456" s="7" t="s">
        <v>44</v>
      </c>
      <c r="N456" s="7" t="s">
        <v>38</v>
      </c>
      <c r="O456" s="7" t="s">
        <v>45</v>
      </c>
      <c r="P456" s="7">
        <v>2</v>
      </c>
      <c r="Q456" s="9">
        <v>210</v>
      </c>
      <c r="R456" s="9">
        <v>222.6</v>
      </c>
      <c r="S456" s="10">
        <v>0</v>
      </c>
      <c r="T456" s="9">
        <v>445.2</v>
      </c>
      <c r="U456" s="9">
        <v>420</v>
      </c>
      <c r="V456" s="9">
        <v>25.2</v>
      </c>
      <c r="W456" s="10">
        <v>5.6603773584905703E-2</v>
      </c>
    </row>
    <row r="457" spans="1:23" x14ac:dyDescent="0.3">
      <c r="A457" s="7" t="s">
        <v>1613</v>
      </c>
      <c r="B457" s="7" t="s">
        <v>116</v>
      </c>
      <c r="C457" s="7" t="s">
        <v>1614</v>
      </c>
      <c r="D457" s="7" t="s">
        <v>687</v>
      </c>
      <c r="E457" s="7" t="s">
        <v>178</v>
      </c>
      <c r="F457" s="8">
        <v>46120</v>
      </c>
      <c r="G457" s="8">
        <v>46121</v>
      </c>
      <c r="H457" s="8">
        <v>46123</v>
      </c>
      <c r="I457" s="7" t="s">
        <v>82</v>
      </c>
      <c r="J457" s="7" t="s">
        <v>2364</v>
      </c>
      <c r="K457" s="7" t="s">
        <v>19</v>
      </c>
      <c r="L457" s="7" t="s">
        <v>61</v>
      </c>
      <c r="M457" s="7" t="s">
        <v>47</v>
      </c>
      <c r="N457" s="7" t="s">
        <v>38</v>
      </c>
      <c r="O457" s="7" t="s">
        <v>39</v>
      </c>
      <c r="P457" s="7">
        <v>4</v>
      </c>
      <c r="Q457" s="9">
        <v>390</v>
      </c>
      <c r="R457" s="9">
        <v>468</v>
      </c>
      <c r="S457" s="10">
        <v>0.06</v>
      </c>
      <c r="T457" s="9">
        <v>1759.68</v>
      </c>
      <c r="U457" s="9">
        <v>1560</v>
      </c>
      <c r="V457" s="9">
        <v>199.68</v>
      </c>
      <c r="W457" s="10">
        <v>0.11347517730496499</v>
      </c>
    </row>
    <row r="458" spans="1:23" x14ac:dyDescent="0.3">
      <c r="A458" s="7" t="s">
        <v>1615</v>
      </c>
      <c r="B458" s="7" t="s">
        <v>1297</v>
      </c>
      <c r="C458" s="7" t="s">
        <v>1616</v>
      </c>
      <c r="D458" s="7" t="s">
        <v>1617</v>
      </c>
      <c r="E458" s="7" t="s">
        <v>77</v>
      </c>
      <c r="F458" s="8">
        <v>46116</v>
      </c>
      <c r="G458" s="8">
        <v>46117</v>
      </c>
      <c r="H458" s="8">
        <v>46121</v>
      </c>
      <c r="I458" s="7" t="s">
        <v>72</v>
      </c>
      <c r="J458" s="7" t="s">
        <v>2364</v>
      </c>
      <c r="K458" s="7" t="s">
        <v>20</v>
      </c>
      <c r="L458" s="7" t="s">
        <v>25</v>
      </c>
      <c r="M458" s="7" t="s">
        <v>44</v>
      </c>
      <c r="N458" s="7" t="s">
        <v>38</v>
      </c>
      <c r="O458" s="7" t="s">
        <v>45</v>
      </c>
      <c r="P458" s="7">
        <v>10</v>
      </c>
      <c r="Q458" s="9">
        <v>210</v>
      </c>
      <c r="R458" s="9">
        <v>222.6</v>
      </c>
      <c r="S458" s="10">
        <v>7.0000000000000007E-2</v>
      </c>
      <c r="T458" s="9">
        <v>2070.1799999999998</v>
      </c>
      <c r="U458" s="9">
        <v>2100</v>
      </c>
      <c r="V458" s="9">
        <v>-29.82</v>
      </c>
      <c r="W458" s="10">
        <v>-1.44045445323595E-2</v>
      </c>
    </row>
    <row r="459" spans="1:23" x14ac:dyDescent="0.3">
      <c r="A459" s="7" t="s">
        <v>1618</v>
      </c>
      <c r="B459" s="7" t="s">
        <v>1503</v>
      </c>
      <c r="C459" s="7" t="s">
        <v>1619</v>
      </c>
      <c r="D459" s="7" t="s">
        <v>1437</v>
      </c>
      <c r="E459" s="7" t="s">
        <v>100</v>
      </c>
      <c r="F459" s="8">
        <v>45822</v>
      </c>
      <c r="G459" s="8">
        <v>45823</v>
      </c>
      <c r="H459" s="8">
        <v>45826</v>
      </c>
      <c r="I459" s="7" t="s">
        <v>72</v>
      </c>
      <c r="J459" s="7" t="s">
        <v>2</v>
      </c>
      <c r="K459" s="7" t="s">
        <v>21</v>
      </c>
      <c r="L459" s="7" t="s">
        <v>61</v>
      </c>
      <c r="M459" s="7" t="s">
        <v>42</v>
      </c>
      <c r="N459" s="7" t="s">
        <v>27</v>
      </c>
      <c r="O459" s="7" t="s">
        <v>28</v>
      </c>
      <c r="P459" s="7">
        <v>13</v>
      </c>
      <c r="Q459" s="9">
        <v>3030</v>
      </c>
      <c r="R459" s="9">
        <v>3211.8</v>
      </c>
      <c r="S459" s="10">
        <v>0.03</v>
      </c>
      <c r="T459" s="9">
        <v>40500.798000000003</v>
      </c>
      <c r="U459" s="9">
        <v>39390</v>
      </c>
      <c r="V459" s="9">
        <v>1110.798</v>
      </c>
      <c r="W459" s="10">
        <v>2.74265707060883E-2</v>
      </c>
    </row>
    <row r="460" spans="1:23" x14ac:dyDescent="0.3">
      <c r="A460" s="7" t="s">
        <v>1620</v>
      </c>
      <c r="B460" s="7" t="s">
        <v>979</v>
      </c>
      <c r="C460" s="7" t="s">
        <v>1621</v>
      </c>
      <c r="D460" s="7" t="s">
        <v>1622</v>
      </c>
      <c r="E460" s="7" t="s">
        <v>71</v>
      </c>
      <c r="F460" s="8">
        <v>45519</v>
      </c>
      <c r="G460" s="8">
        <v>45520</v>
      </c>
      <c r="H460" s="8">
        <v>45522</v>
      </c>
      <c r="I460" s="7" t="s">
        <v>72</v>
      </c>
      <c r="J460" s="7" t="s">
        <v>2</v>
      </c>
      <c r="K460" s="7" t="s">
        <v>20</v>
      </c>
      <c r="L460" s="7" t="s">
        <v>22</v>
      </c>
      <c r="M460" s="7" t="s">
        <v>32</v>
      </c>
      <c r="N460" s="7" t="s">
        <v>33</v>
      </c>
      <c r="O460" s="7" t="s">
        <v>34</v>
      </c>
      <c r="P460" s="7">
        <v>7</v>
      </c>
      <c r="Q460" s="9">
        <v>730</v>
      </c>
      <c r="R460" s="9">
        <v>824.9</v>
      </c>
      <c r="S460" s="10">
        <v>0.01</v>
      </c>
      <c r="T460" s="9">
        <v>5716.5569999999998</v>
      </c>
      <c r="U460" s="9">
        <v>5110</v>
      </c>
      <c r="V460" s="9">
        <v>606.55700000000002</v>
      </c>
      <c r="W460" s="10">
        <v>0.106105300795566</v>
      </c>
    </row>
    <row r="461" spans="1:23" x14ac:dyDescent="0.3">
      <c r="A461" s="7" t="s">
        <v>1623</v>
      </c>
      <c r="B461" s="7" t="s">
        <v>354</v>
      </c>
      <c r="C461" s="7" t="s">
        <v>1624</v>
      </c>
      <c r="D461" s="7" t="s">
        <v>1625</v>
      </c>
      <c r="E461" s="7" t="s">
        <v>71</v>
      </c>
      <c r="F461" s="8">
        <v>45500</v>
      </c>
      <c r="G461" s="8">
        <v>45501</v>
      </c>
      <c r="H461" s="8">
        <v>45505</v>
      </c>
      <c r="I461" s="7" t="s">
        <v>72</v>
      </c>
      <c r="J461" s="7" t="s">
        <v>2362</v>
      </c>
      <c r="K461" s="7" t="s">
        <v>21</v>
      </c>
      <c r="L461" s="7" t="s">
        <v>25</v>
      </c>
      <c r="M461" s="7" t="s">
        <v>32</v>
      </c>
      <c r="N461" s="7" t="s">
        <v>33</v>
      </c>
      <c r="O461" s="7" t="s">
        <v>34</v>
      </c>
      <c r="P461" s="7">
        <v>5</v>
      </c>
      <c r="Q461" s="9">
        <v>730</v>
      </c>
      <c r="R461" s="9">
        <v>824.9</v>
      </c>
      <c r="S461" s="10">
        <v>0.04</v>
      </c>
      <c r="T461" s="9">
        <v>3959.52</v>
      </c>
      <c r="U461" s="9">
        <v>3650</v>
      </c>
      <c r="V461" s="9">
        <v>309.52</v>
      </c>
      <c r="W461" s="10">
        <v>7.8171091445427707E-2</v>
      </c>
    </row>
    <row r="462" spans="1:23" x14ac:dyDescent="0.3">
      <c r="A462" s="7" t="s">
        <v>1626</v>
      </c>
      <c r="B462" s="7" t="s">
        <v>1627</v>
      </c>
      <c r="C462" s="7" t="s">
        <v>1628</v>
      </c>
      <c r="D462" s="7" t="s">
        <v>1629</v>
      </c>
      <c r="E462" s="7" t="s">
        <v>95</v>
      </c>
      <c r="F462" s="8">
        <v>45516</v>
      </c>
      <c r="G462" s="8">
        <v>45516</v>
      </c>
      <c r="H462" s="8">
        <v>45520</v>
      </c>
      <c r="I462" s="7" t="s">
        <v>72</v>
      </c>
      <c r="J462" s="7" t="s">
        <v>2363</v>
      </c>
      <c r="K462" s="7" t="s">
        <v>19</v>
      </c>
      <c r="L462" s="7" t="s">
        <v>61</v>
      </c>
      <c r="M462" s="7" t="s">
        <v>49</v>
      </c>
      <c r="N462" s="7" t="s">
        <v>33</v>
      </c>
      <c r="O462" s="7" t="s">
        <v>34</v>
      </c>
      <c r="P462" s="7">
        <v>10</v>
      </c>
      <c r="Q462" s="9">
        <v>1080</v>
      </c>
      <c r="R462" s="9">
        <v>1112.4000000000001</v>
      </c>
      <c r="S462" s="10">
        <v>0.05</v>
      </c>
      <c r="T462" s="9">
        <v>10567.8</v>
      </c>
      <c r="U462" s="9">
        <v>10800</v>
      </c>
      <c r="V462" s="9">
        <v>-232.2</v>
      </c>
      <c r="W462" s="10">
        <v>-2.1972406745017901E-2</v>
      </c>
    </row>
    <row r="463" spans="1:23" x14ac:dyDescent="0.3">
      <c r="A463" s="7" t="s">
        <v>1630</v>
      </c>
      <c r="B463" s="7" t="s">
        <v>1081</v>
      </c>
      <c r="C463" s="7" t="s">
        <v>1631</v>
      </c>
      <c r="D463" s="7" t="s">
        <v>1632</v>
      </c>
      <c r="E463" s="7" t="s">
        <v>192</v>
      </c>
      <c r="F463" s="8">
        <v>45621</v>
      </c>
      <c r="G463" s="8">
        <v>45622</v>
      </c>
      <c r="H463" s="8">
        <v>45625</v>
      </c>
      <c r="I463" s="7" t="s">
        <v>72</v>
      </c>
      <c r="J463" s="7" t="s">
        <v>2363</v>
      </c>
      <c r="K463" s="7" t="s">
        <v>21</v>
      </c>
      <c r="L463" s="7" t="s">
        <v>61</v>
      </c>
      <c r="M463" s="7" t="s">
        <v>46</v>
      </c>
      <c r="N463" s="7" t="s">
        <v>38</v>
      </c>
      <c r="O463" s="7" t="s">
        <v>45</v>
      </c>
      <c r="P463" s="7">
        <v>6</v>
      </c>
      <c r="Q463" s="9">
        <v>350</v>
      </c>
      <c r="R463" s="9">
        <v>364</v>
      </c>
      <c r="S463" s="10">
        <v>0.04</v>
      </c>
      <c r="T463" s="9">
        <v>2096.64</v>
      </c>
      <c r="U463" s="9">
        <v>2100</v>
      </c>
      <c r="V463" s="9">
        <v>-3.36</v>
      </c>
      <c r="W463" s="10">
        <v>-1.6025641025640999E-3</v>
      </c>
    </row>
    <row r="464" spans="1:23" x14ac:dyDescent="0.3">
      <c r="A464" s="7" t="s">
        <v>1633</v>
      </c>
      <c r="B464" s="7" t="s">
        <v>1634</v>
      </c>
      <c r="C464" s="7" t="s">
        <v>1635</v>
      </c>
      <c r="D464" s="7" t="s">
        <v>1636</v>
      </c>
      <c r="E464" s="7" t="s">
        <v>141</v>
      </c>
      <c r="F464" s="8">
        <v>45894</v>
      </c>
      <c r="G464" s="8">
        <v>45894</v>
      </c>
      <c r="H464" s="8">
        <v>45897</v>
      </c>
      <c r="I464" s="7" t="s">
        <v>72</v>
      </c>
      <c r="J464" s="7" t="s">
        <v>2</v>
      </c>
      <c r="K464" s="7" t="s">
        <v>20</v>
      </c>
      <c r="L464" s="7" t="s">
        <v>23</v>
      </c>
      <c r="M464" s="7" t="s">
        <v>35</v>
      </c>
      <c r="N464" s="7" t="s">
        <v>33</v>
      </c>
      <c r="O464" s="7" t="s">
        <v>36</v>
      </c>
      <c r="P464" s="7">
        <v>10</v>
      </c>
      <c r="Q464" s="9">
        <v>1530</v>
      </c>
      <c r="R464" s="9">
        <v>1790.1</v>
      </c>
      <c r="S464" s="10">
        <v>0.01</v>
      </c>
      <c r="T464" s="9">
        <v>17721.990000000002</v>
      </c>
      <c r="U464" s="9">
        <v>15300</v>
      </c>
      <c r="V464" s="9">
        <v>2421.9899999999998</v>
      </c>
      <c r="W464" s="10">
        <v>0.13666580333247</v>
      </c>
    </row>
    <row r="465" spans="1:23" x14ac:dyDescent="0.3">
      <c r="A465" s="7" t="s">
        <v>1637</v>
      </c>
      <c r="B465" s="7" t="s">
        <v>111</v>
      </c>
      <c r="C465" s="7" t="s">
        <v>1638</v>
      </c>
      <c r="D465" s="7" t="s">
        <v>553</v>
      </c>
      <c r="E465" s="7" t="s">
        <v>173</v>
      </c>
      <c r="F465" s="8">
        <v>45633</v>
      </c>
      <c r="G465" s="8">
        <v>45633</v>
      </c>
      <c r="H465" s="8">
        <v>45637</v>
      </c>
      <c r="I465" s="7" t="s">
        <v>72</v>
      </c>
      <c r="J465" s="7" t="s">
        <v>2362</v>
      </c>
      <c r="K465" s="7" t="s">
        <v>20</v>
      </c>
      <c r="L465" s="7" t="s">
        <v>25</v>
      </c>
      <c r="M465" s="7" t="s">
        <v>48</v>
      </c>
      <c r="N465" s="7" t="s">
        <v>38</v>
      </c>
      <c r="O465" s="7" t="s">
        <v>41</v>
      </c>
      <c r="P465" s="7">
        <v>7</v>
      </c>
      <c r="Q465" s="9">
        <v>580</v>
      </c>
      <c r="R465" s="9">
        <v>667</v>
      </c>
      <c r="S465" s="10">
        <v>0.1</v>
      </c>
      <c r="T465" s="9">
        <v>4202.1000000000004</v>
      </c>
      <c r="U465" s="9">
        <v>4060</v>
      </c>
      <c r="V465" s="9">
        <v>142.1</v>
      </c>
      <c r="W465" s="10">
        <v>3.3816425120772903E-2</v>
      </c>
    </row>
    <row r="466" spans="1:23" x14ac:dyDescent="0.3">
      <c r="A466" s="7" t="s">
        <v>1639</v>
      </c>
      <c r="B466" s="7" t="s">
        <v>877</v>
      </c>
      <c r="C466" s="7" t="s">
        <v>1640</v>
      </c>
      <c r="D466" s="7" t="s">
        <v>1641</v>
      </c>
      <c r="E466" s="7" t="s">
        <v>87</v>
      </c>
      <c r="F466" s="8">
        <v>45921</v>
      </c>
      <c r="G466" s="8">
        <v>45922</v>
      </c>
      <c r="H466" s="8">
        <v>45925</v>
      </c>
      <c r="I466" s="7" t="s">
        <v>72</v>
      </c>
      <c r="J466" s="7" t="s">
        <v>2364</v>
      </c>
      <c r="K466" s="7" t="s">
        <v>19</v>
      </c>
      <c r="L466" s="7" t="s">
        <v>61</v>
      </c>
      <c r="M466" s="7" t="s">
        <v>30</v>
      </c>
      <c r="N466" s="7" t="s">
        <v>27</v>
      </c>
      <c r="O466" s="7" t="s">
        <v>31</v>
      </c>
      <c r="P466" s="7">
        <v>10</v>
      </c>
      <c r="Q466" s="9">
        <v>1030</v>
      </c>
      <c r="R466" s="9">
        <v>1174.2</v>
      </c>
      <c r="S466" s="10">
        <v>0.06</v>
      </c>
      <c r="T466" s="9">
        <v>11037.48</v>
      </c>
      <c r="U466" s="9">
        <v>10300</v>
      </c>
      <c r="V466" s="9">
        <v>737.48</v>
      </c>
      <c r="W466" s="10">
        <v>6.6815976110489006E-2</v>
      </c>
    </row>
    <row r="467" spans="1:23" x14ac:dyDescent="0.3">
      <c r="A467" s="7" t="s">
        <v>1642</v>
      </c>
      <c r="B467" s="7" t="s">
        <v>1081</v>
      </c>
      <c r="C467" s="7" t="s">
        <v>1643</v>
      </c>
      <c r="D467" s="7" t="s">
        <v>1644</v>
      </c>
      <c r="E467" s="7" t="s">
        <v>132</v>
      </c>
      <c r="F467" s="8">
        <v>45297</v>
      </c>
      <c r="G467" s="8">
        <v>45298</v>
      </c>
      <c r="H467" s="8">
        <v>45302</v>
      </c>
      <c r="I467" s="7" t="s">
        <v>72</v>
      </c>
      <c r="J467" s="7" t="s">
        <v>2363</v>
      </c>
      <c r="K467" s="7" t="s">
        <v>21</v>
      </c>
      <c r="L467" s="7" t="s">
        <v>22</v>
      </c>
      <c r="M467" s="7" t="s">
        <v>2366</v>
      </c>
      <c r="N467" s="7" t="s">
        <v>27</v>
      </c>
      <c r="O467" s="7" t="s">
        <v>54</v>
      </c>
      <c r="P467" s="7">
        <v>5</v>
      </c>
      <c r="Q467" s="9">
        <v>430</v>
      </c>
      <c r="R467" s="9">
        <v>455.8</v>
      </c>
      <c r="S467" s="10">
        <v>7.0000000000000007E-2</v>
      </c>
      <c r="T467" s="9">
        <v>2119.4699999999998</v>
      </c>
      <c r="U467" s="9">
        <v>2150</v>
      </c>
      <c r="V467" s="9">
        <v>-30.53</v>
      </c>
      <c r="W467" s="10">
        <v>-1.44045445323595E-2</v>
      </c>
    </row>
    <row r="468" spans="1:23" x14ac:dyDescent="0.3">
      <c r="A468" s="7" t="s">
        <v>1645</v>
      </c>
      <c r="B468" s="7" t="s">
        <v>482</v>
      </c>
      <c r="C468" s="7" t="s">
        <v>1646</v>
      </c>
      <c r="D468" s="7" t="s">
        <v>1647</v>
      </c>
      <c r="E468" s="7" t="s">
        <v>192</v>
      </c>
      <c r="F468" s="8">
        <v>45499</v>
      </c>
      <c r="G468" s="8">
        <v>45499</v>
      </c>
      <c r="H468" s="8">
        <v>45502</v>
      </c>
      <c r="I468" s="7" t="s">
        <v>82</v>
      </c>
      <c r="J468" s="7" t="s">
        <v>2</v>
      </c>
      <c r="K468" s="7" t="s">
        <v>20</v>
      </c>
      <c r="L468" s="7" t="s">
        <v>61</v>
      </c>
      <c r="M468" s="7" t="s">
        <v>46</v>
      </c>
      <c r="N468" s="7" t="s">
        <v>38</v>
      </c>
      <c r="O468" s="7" t="s">
        <v>45</v>
      </c>
      <c r="P468" s="7">
        <v>4</v>
      </c>
      <c r="Q468" s="9">
        <v>350</v>
      </c>
      <c r="R468" s="9">
        <v>364</v>
      </c>
      <c r="S468" s="10">
        <v>0.04</v>
      </c>
      <c r="T468" s="9">
        <v>1397.76</v>
      </c>
      <c r="U468" s="9">
        <v>1400</v>
      </c>
      <c r="V468" s="9">
        <v>-2.2400000000000002</v>
      </c>
      <c r="W468" s="10">
        <v>-1.6025641025640999E-3</v>
      </c>
    </row>
    <row r="469" spans="1:23" x14ac:dyDescent="0.3">
      <c r="A469" s="7" t="s">
        <v>1648</v>
      </c>
      <c r="B469" s="7" t="s">
        <v>1649</v>
      </c>
      <c r="C469" s="7" t="s">
        <v>1650</v>
      </c>
      <c r="D469" s="7" t="s">
        <v>1651</v>
      </c>
      <c r="E469" s="7" t="s">
        <v>87</v>
      </c>
      <c r="F469" s="8">
        <v>45793</v>
      </c>
      <c r="G469" s="8">
        <v>45794</v>
      </c>
      <c r="H469" s="8">
        <v>45796</v>
      </c>
      <c r="I469" s="7" t="s">
        <v>72</v>
      </c>
      <c r="J469" s="7" t="s">
        <v>2364</v>
      </c>
      <c r="K469" s="7" t="s">
        <v>20</v>
      </c>
      <c r="L469" s="7" t="s">
        <v>61</v>
      </c>
      <c r="M469" s="7" t="s">
        <v>30</v>
      </c>
      <c r="N469" s="7" t="s">
        <v>27</v>
      </c>
      <c r="O469" s="7" t="s">
        <v>31</v>
      </c>
      <c r="P469" s="7">
        <v>7</v>
      </c>
      <c r="Q469" s="9">
        <v>1030</v>
      </c>
      <c r="R469" s="9">
        <v>1174.2</v>
      </c>
      <c r="S469" s="10">
        <v>0.03</v>
      </c>
      <c r="T469" s="9">
        <v>7972.8180000000002</v>
      </c>
      <c r="U469" s="9">
        <v>7210</v>
      </c>
      <c r="V469" s="9">
        <v>762.81799999999998</v>
      </c>
      <c r="W469" s="10">
        <v>9.5677337674082097E-2</v>
      </c>
    </row>
    <row r="470" spans="1:23" x14ac:dyDescent="0.3">
      <c r="A470" s="7" t="s">
        <v>1652</v>
      </c>
      <c r="B470" s="7" t="s">
        <v>828</v>
      </c>
      <c r="C470" s="7" t="s">
        <v>1653</v>
      </c>
      <c r="D470" s="7" t="s">
        <v>1654</v>
      </c>
      <c r="E470" s="7" t="s">
        <v>291</v>
      </c>
      <c r="F470" s="8">
        <v>45678</v>
      </c>
      <c r="G470" s="8">
        <v>45678</v>
      </c>
      <c r="H470" s="8">
        <v>45682</v>
      </c>
      <c r="I470" s="7" t="s">
        <v>72</v>
      </c>
      <c r="J470" s="7" t="s">
        <v>2364</v>
      </c>
      <c r="K470" s="7" t="s">
        <v>21</v>
      </c>
      <c r="L470" s="7" t="s">
        <v>61</v>
      </c>
      <c r="M470" s="7" t="s">
        <v>57</v>
      </c>
      <c r="N470" s="7" t="s">
        <v>27</v>
      </c>
      <c r="O470" s="7" t="s">
        <v>58</v>
      </c>
      <c r="P470" s="7">
        <v>9</v>
      </c>
      <c r="Q470" s="9">
        <v>480</v>
      </c>
      <c r="R470" s="9">
        <v>513.6</v>
      </c>
      <c r="S470" s="10">
        <v>0.03</v>
      </c>
      <c r="T470" s="9">
        <v>4483.7280000000001</v>
      </c>
      <c r="U470" s="9">
        <v>4320</v>
      </c>
      <c r="V470" s="9">
        <v>163.72800000000001</v>
      </c>
      <c r="W470" s="10">
        <v>3.6516042007900602E-2</v>
      </c>
    </row>
    <row r="471" spans="1:23" x14ac:dyDescent="0.3">
      <c r="A471" s="7" t="s">
        <v>1655</v>
      </c>
      <c r="B471" s="7" t="s">
        <v>1656</v>
      </c>
      <c r="C471" s="7" t="s">
        <v>1657</v>
      </c>
      <c r="D471" s="7" t="s">
        <v>1658</v>
      </c>
      <c r="E471" s="7" t="s">
        <v>81</v>
      </c>
      <c r="F471" s="8">
        <v>45913</v>
      </c>
      <c r="G471" s="8">
        <v>45914</v>
      </c>
      <c r="H471" s="8">
        <v>45918</v>
      </c>
      <c r="I471" s="7" t="s">
        <v>82</v>
      </c>
      <c r="J471" s="7" t="s">
        <v>2</v>
      </c>
      <c r="K471" s="7" t="s">
        <v>20</v>
      </c>
      <c r="L471" s="7" t="s">
        <v>24</v>
      </c>
      <c r="M471" s="7" t="s">
        <v>59</v>
      </c>
      <c r="N471" s="7" t="s">
        <v>27</v>
      </c>
      <c r="O471" s="7" t="s">
        <v>60</v>
      </c>
      <c r="P471" s="7">
        <v>4</v>
      </c>
      <c r="Q471" s="9">
        <v>1230</v>
      </c>
      <c r="R471" s="9">
        <v>1328.4</v>
      </c>
      <c r="S471" s="10">
        <v>0.1</v>
      </c>
      <c r="T471" s="9">
        <v>4782.24</v>
      </c>
      <c r="U471" s="9">
        <v>4920</v>
      </c>
      <c r="V471" s="9">
        <v>-137.76</v>
      </c>
      <c r="W471" s="10">
        <v>-2.8806584362139901E-2</v>
      </c>
    </row>
    <row r="472" spans="1:23" x14ac:dyDescent="0.3">
      <c r="A472" s="7" t="s">
        <v>1659</v>
      </c>
      <c r="B472" s="7" t="s">
        <v>175</v>
      </c>
      <c r="C472" s="7" t="s">
        <v>1660</v>
      </c>
      <c r="D472" s="7" t="s">
        <v>1661</v>
      </c>
      <c r="E472" s="7" t="s">
        <v>187</v>
      </c>
      <c r="F472" s="8">
        <v>46156</v>
      </c>
      <c r="G472" s="8">
        <v>46157</v>
      </c>
      <c r="H472" s="8">
        <v>46161</v>
      </c>
      <c r="I472" s="7" t="s">
        <v>72</v>
      </c>
      <c r="J472" s="7" t="s">
        <v>2364</v>
      </c>
      <c r="K472" s="7" t="s">
        <v>21</v>
      </c>
      <c r="L472" s="7" t="s">
        <v>25</v>
      </c>
      <c r="M472" s="7" t="s">
        <v>2367</v>
      </c>
      <c r="N472" s="7" t="s">
        <v>38</v>
      </c>
      <c r="O472" s="7" t="s">
        <v>41</v>
      </c>
      <c r="P472" s="7">
        <v>5</v>
      </c>
      <c r="Q472" s="9">
        <v>170</v>
      </c>
      <c r="R472" s="9">
        <v>188.7</v>
      </c>
      <c r="S472" s="10">
        <v>0.03</v>
      </c>
      <c r="T472" s="9">
        <v>915.19500000000005</v>
      </c>
      <c r="U472" s="9">
        <v>850</v>
      </c>
      <c r="V472" s="9">
        <v>65.194999999999993</v>
      </c>
      <c r="W472" s="10">
        <v>7.1236184638246505E-2</v>
      </c>
    </row>
    <row r="473" spans="1:23" x14ac:dyDescent="0.3">
      <c r="A473" s="7" t="s">
        <v>1662</v>
      </c>
      <c r="B473" s="7" t="s">
        <v>161</v>
      </c>
      <c r="C473" s="7" t="s">
        <v>1663</v>
      </c>
      <c r="D473" s="7" t="s">
        <v>1664</v>
      </c>
      <c r="E473" s="7" t="s">
        <v>217</v>
      </c>
      <c r="F473" s="8">
        <v>45589</v>
      </c>
      <c r="G473" s="8">
        <v>45589</v>
      </c>
      <c r="H473" s="8">
        <v>45591</v>
      </c>
      <c r="I473" s="7" t="s">
        <v>72</v>
      </c>
      <c r="J473" s="7" t="s">
        <v>2364</v>
      </c>
      <c r="K473" s="7" t="s">
        <v>20</v>
      </c>
      <c r="L473" s="7" t="s">
        <v>22</v>
      </c>
      <c r="M473" s="7" t="s">
        <v>29</v>
      </c>
      <c r="N473" s="7" t="s">
        <v>27</v>
      </c>
      <c r="O473" s="7" t="s">
        <v>28</v>
      </c>
      <c r="P473" s="7">
        <v>8</v>
      </c>
      <c r="Q473" s="9">
        <v>3930</v>
      </c>
      <c r="R473" s="9">
        <v>4362.3</v>
      </c>
      <c r="S473" s="10">
        <v>0.1</v>
      </c>
      <c r="T473" s="9">
        <v>31408.560000000001</v>
      </c>
      <c r="U473" s="9">
        <v>31440</v>
      </c>
      <c r="V473" s="9">
        <v>-31.44</v>
      </c>
      <c r="W473" s="10">
        <v>-1.0010010010009999E-3</v>
      </c>
    </row>
    <row r="474" spans="1:23" x14ac:dyDescent="0.3">
      <c r="A474" s="7" t="s">
        <v>1665</v>
      </c>
      <c r="B474" s="7" t="s">
        <v>983</v>
      </c>
      <c r="C474" s="7" t="s">
        <v>1666</v>
      </c>
      <c r="D474" s="7" t="s">
        <v>1667</v>
      </c>
      <c r="E474" s="7" t="s">
        <v>192</v>
      </c>
      <c r="F474" s="8">
        <v>46102</v>
      </c>
      <c r="G474" s="8">
        <v>46103</v>
      </c>
      <c r="H474" s="8">
        <v>46106</v>
      </c>
      <c r="I474" s="7" t="s">
        <v>82</v>
      </c>
      <c r="J474" s="7" t="s">
        <v>2363</v>
      </c>
      <c r="K474" s="7" t="s">
        <v>19</v>
      </c>
      <c r="L474" s="7" t="s">
        <v>25</v>
      </c>
      <c r="M474" s="7" t="s">
        <v>46</v>
      </c>
      <c r="N474" s="7" t="s">
        <v>38</v>
      </c>
      <c r="O474" s="7" t="s">
        <v>45</v>
      </c>
      <c r="P474" s="7">
        <v>4</v>
      </c>
      <c r="Q474" s="9">
        <v>350</v>
      </c>
      <c r="R474" s="9">
        <v>364</v>
      </c>
      <c r="S474" s="10">
        <v>0.01</v>
      </c>
      <c r="T474" s="9">
        <v>1441.44</v>
      </c>
      <c r="U474" s="9">
        <v>1400</v>
      </c>
      <c r="V474" s="9">
        <v>41.44</v>
      </c>
      <c r="W474" s="10">
        <v>2.87490287490287E-2</v>
      </c>
    </row>
    <row r="475" spans="1:23" x14ac:dyDescent="0.3">
      <c r="A475" s="7" t="s">
        <v>1668</v>
      </c>
      <c r="B475" s="7" t="s">
        <v>1290</v>
      </c>
      <c r="C475" s="7" t="s">
        <v>1669</v>
      </c>
      <c r="D475" s="7" t="s">
        <v>1011</v>
      </c>
      <c r="E475" s="7" t="s">
        <v>173</v>
      </c>
      <c r="F475" s="8">
        <v>45724</v>
      </c>
      <c r="G475" s="8">
        <v>45724</v>
      </c>
      <c r="H475" s="8">
        <v>45729</v>
      </c>
      <c r="I475" s="7" t="s">
        <v>82</v>
      </c>
      <c r="J475" s="7" t="s">
        <v>2363</v>
      </c>
      <c r="K475" s="7" t="s">
        <v>20</v>
      </c>
      <c r="L475" s="7" t="s">
        <v>22</v>
      </c>
      <c r="M475" s="7" t="s">
        <v>48</v>
      </c>
      <c r="N475" s="7" t="s">
        <v>38</v>
      </c>
      <c r="O475" s="7" t="s">
        <v>41</v>
      </c>
      <c r="P475" s="7">
        <v>2</v>
      </c>
      <c r="Q475" s="9">
        <v>580</v>
      </c>
      <c r="R475" s="9">
        <v>667</v>
      </c>
      <c r="S475" s="10">
        <v>0</v>
      </c>
      <c r="T475" s="9">
        <v>1334</v>
      </c>
      <c r="U475" s="9">
        <v>1160</v>
      </c>
      <c r="V475" s="9">
        <v>174</v>
      </c>
      <c r="W475" s="10">
        <v>0.13043478260869601</v>
      </c>
    </row>
    <row r="476" spans="1:23" x14ac:dyDescent="0.3">
      <c r="A476" s="7" t="s">
        <v>1670</v>
      </c>
      <c r="B476" s="7" t="s">
        <v>155</v>
      </c>
      <c r="C476" s="7" t="s">
        <v>1671</v>
      </c>
      <c r="D476" s="7" t="s">
        <v>1672</v>
      </c>
      <c r="E476" s="7" t="s">
        <v>208</v>
      </c>
      <c r="F476" s="8">
        <v>45358</v>
      </c>
      <c r="G476" s="8">
        <v>45359</v>
      </c>
      <c r="H476" s="8">
        <v>45361</v>
      </c>
      <c r="I476" s="7" t="s">
        <v>82</v>
      </c>
      <c r="J476" s="7" t="s">
        <v>2</v>
      </c>
      <c r="K476" s="7" t="s">
        <v>20</v>
      </c>
      <c r="L476" s="7" t="s">
        <v>61</v>
      </c>
      <c r="M476" s="7" t="s">
        <v>50</v>
      </c>
      <c r="N476" s="7" t="s">
        <v>33</v>
      </c>
      <c r="O476" s="7" t="s">
        <v>36</v>
      </c>
      <c r="P476" s="7">
        <v>3</v>
      </c>
      <c r="Q476" s="9">
        <v>930</v>
      </c>
      <c r="R476" s="9">
        <v>1078.8</v>
      </c>
      <c r="S476" s="10">
        <v>0.06</v>
      </c>
      <c r="T476" s="9">
        <v>3042.2159999999999</v>
      </c>
      <c r="U476" s="9">
        <v>2790</v>
      </c>
      <c r="V476" s="9">
        <v>252.21600000000001</v>
      </c>
      <c r="W476" s="10">
        <v>8.2905355832722002E-2</v>
      </c>
    </row>
    <row r="477" spans="1:23" x14ac:dyDescent="0.3">
      <c r="A477" s="7" t="s">
        <v>1673</v>
      </c>
      <c r="B477" s="7" t="s">
        <v>1009</v>
      </c>
      <c r="C477" s="7" t="s">
        <v>1674</v>
      </c>
      <c r="D477" s="7" t="s">
        <v>1675</v>
      </c>
      <c r="E477" s="7" t="s">
        <v>141</v>
      </c>
      <c r="F477" s="8">
        <v>45759</v>
      </c>
      <c r="G477" s="8">
        <v>45760</v>
      </c>
      <c r="H477" s="8">
        <v>45763</v>
      </c>
      <c r="I477" s="7" t="s">
        <v>82</v>
      </c>
      <c r="J477" s="7" t="s">
        <v>2362</v>
      </c>
      <c r="K477" s="7" t="s">
        <v>19</v>
      </c>
      <c r="L477" s="7" t="s">
        <v>61</v>
      </c>
      <c r="M477" s="7" t="s">
        <v>35</v>
      </c>
      <c r="N477" s="7" t="s">
        <v>33</v>
      </c>
      <c r="O477" s="7" t="s">
        <v>36</v>
      </c>
      <c r="P477" s="7">
        <v>1</v>
      </c>
      <c r="Q477" s="9">
        <v>1530</v>
      </c>
      <c r="R477" s="9">
        <v>1790.1</v>
      </c>
      <c r="S477" s="10">
        <v>0.06</v>
      </c>
      <c r="T477" s="9">
        <v>1682.694</v>
      </c>
      <c r="U477" s="9">
        <v>1530</v>
      </c>
      <c r="V477" s="9">
        <v>152.69399999999999</v>
      </c>
      <c r="W477" s="10">
        <v>9.0743771594835404E-2</v>
      </c>
    </row>
    <row r="478" spans="1:23" x14ac:dyDescent="0.3">
      <c r="A478" s="7" t="s">
        <v>1676</v>
      </c>
      <c r="B478" s="7" t="s">
        <v>1677</v>
      </c>
      <c r="C478" s="7" t="s">
        <v>1678</v>
      </c>
      <c r="D478" s="7" t="s">
        <v>1679</v>
      </c>
      <c r="E478" s="7" t="s">
        <v>178</v>
      </c>
      <c r="F478" s="8">
        <v>45822</v>
      </c>
      <c r="G478" s="8">
        <v>45822</v>
      </c>
      <c r="H478" s="8">
        <v>45824</v>
      </c>
      <c r="I478" s="7" t="s">
        <v>82</v>
      </c>
      <c r="J478" s="7" t="s">
        <v>2363</v>
      </c>
      <c r="K478" s="7" t="s">
        <v>19</v>
      </c>
      <c r="L478" s="7" t="s">
        <v>25</v>
      </c>
      <c r="M478" s="7" t="s">
        <v>47</v>
      </c>
      <c r="N478" s="7" t="s">
        <v>38</v>
      </c>
      <c r="O478" s="7" t="s">
        <v>39</v>
      </c>
      <c r="P478" s="7">
        <v>2</v>
      </c>
      <c r="Q478" s="9">
        <v>390</v>
      </c>
      <c r="R478" s="9">
        <v>468</v>
      </c>
      <c r="S478" s="10">
        <v>0</v>
      </c>
      <c r="T478" s="9">
        <v>936</v>
      </c>
      <c r="U478" s="9">
        <v>780</v>
      </c>
      <c r="V478" s="9">
        <v>156</v>
      </c>
      <c r="W478" s="10">
        <v>0.16666666666666699</v>
      </c>
    </row>
    <row r="479" spans="1:23" x14ac:dyDescent="0.3">
      <c r="A479" s="7" t="s">
        <v>1680</v>
      </c>
      <c r="B479" s="7" t="s">
        <v>898</v>
      </c>
      <c r="C479" s="7" t="s">
        <v>1681</v>
      </c>
      <c r="D479" s="7" t="s">
        <v>1682</v>
      </c>
      <c r="E479" s="7" t="s">
        <v>187</v>
      </c>
      <c r="F479" s="8">
        <v>45326</v>
      </c>
      <c r="G479" s="8">
        <v>45326</v>
      </c>
      <c r="H479" s="8">
        <v>45330</v>
      </c>
      <c r="I479" s="7" t="s">
        <v>72</v>
      </c>
      <c r="J479" s="7" t="s">
        <v>2364</v>
      </c>
      <c r="K479" s="7" t="s">
        <v>20</v>
      </c>
      <c r="L479" s="7" t="s">
        <v>61</v>
      </c>
      <c r="M479" s="7" t="s">
        <v>2367</v>
      </c>
      <c r="N479" s="7" t="s">
        <v>38</v>
      </c>
      <c r="O479" s="7" t="s">
        <v>41</v>
      </c>
      <c r="P479" s="7">
        <v>10</v>
      </c>
      <c r="Q479" s="9">
        <v>170</v>
      </c>
      <c r="R479" s="9">
        <v>188.7</v>
      </c>
      <c r="S479" s="10">
        <v>0.02</v>
      </c>
      <c r="T479" s="9">
        <v>1849.26</v>
      </c>
      <c r="U479" s="9">
        <v>1700</v>
      </c>
      <c r="V479" s="9">
        <v>149.26</v>
      </c>
      <c r="W479" s="10">
        <v>8.0713366427652103E-2</v>
      </c>
    </row>
    <row r="480" spans="1:23" x14ac:dyDescent="0.3">
      <c r="A480" s="7" t="s">
        <v>1683</v>
      </c>
      <c r="B480" s="7" t="s">
        <v>1656</v>
      </c>
      <c r="C480" s="7" t="s">
        <v>1684</v>
      </c>
      <c r="D480" s="7" t="s">
        <v>1685</v>
      </c>
      <c r="E480" s="7" t="s">
        <v>132</v>
      </c>
      <c r="F480" s="8">
        <v>45848</v>
      </c>
      <c r="G480" s="8">
        <v>45848</v>
      </c>
      <c r="H480" s="8">
        <v>45851</v>
      </c>
      <c r="I480" s="7" t="s">
        <v>72</v>
      </c>
      <c r="J480" s="7" t="s">
        <v>1</v>
      </c>
      <c r="K480" s="7" t="s">
        <v>21</v>
      </c>
      <c r="L480" s="7" t="s">
        <v>23</v>
      </c>
      <c r="M480" s="7" t="s">
        <v>2366</v>
      </c>
      <c r="N480" s="7" t="s">
        <v>27</v>
      </c>
      <c r="O480" s="7" t="s">
        <v>54</v>
      </c>
      <c r="P480" s="7">
        <v>11</v>
      </c>
      <c r="Q480" s="9">
        <v>430</v>
      </c>
      <c r="R480" s="9">
        <v>455.8</v>
      </c>
      <c r="S480" s="10">
        <v>7.0000000000000007E-2</v>
      </c>
      <c r="T480" s="9">
        <v>4662.8339999999998</v>
      </c>
      <c r="U480" s="9">
        <v>4730</v>
      </c>
      <c r="V480" s="9">
        <v>-67.165999999999997</v>
      </c>
      <c r="W480" s="10">
        <v>-1.44045445323595E-2</v>
      </c>
    </row>
    <row r="481" spans="1:23" x14ac:dyDescent="0.3">
      <c r="A481" s="7" t="s">
        <v>1686</v>
      </c>
      <c r="B481" s="7" t="s">
        <v>319</v>
      </c>
      <c r="C481" s="7" t="s">
        <v>1687</v>
      </c>
      <c r="D481" s="7" t="s">
        <v>1688</v>
      </c>
      <c r="E481" s="7" t="s">
        <v>187</v>
      </c>
      <c r="F481" s="8">
        <v>45752</v>
      </c>
      <c r="G481" s="8">
        <v>45753</v>
      </c>
      <c r="H481" s="8">
        <v>45757</v>
      </c>
      <c r="I481" s="7" t="s">
        <v>72</v>
      </c>
      <c r="J481" s="7" t="s">
        <v>2363</v>
      </c>
      <c r="K481" s="7" t="s">
        <v>19</v>
      </c>
      <c r="L481" s="7" t="s">
        <v>23</v>
      </c>
      <c r="M481" s="7" t="s">
        <v>2367</v>
      </c>
      <c r="N481" s="7" t="s">
        <v>38</v>
      </c>
      <c r="O481" s="7" t="s">
        <v>41</v>
      </c>
      <c r="P481" s="7">
        <v>5</v>
      </c>
      <c r="Q481" s="9">
        <v>170</v>
      </c>
      <c r="R481" s="9">
        <v>188.7</v>
      </c>
      <c r="S481" s="10">
        <v>0</v>
      </c>
      <c r="T481" s="9">
        <v>943.5</v>
      </c>
      <c r="U481" s="9">
        <v>850</v>
      </c>
      <c r="V481" s="9">
        <v>93.5</v>
      </c>
      <c r="W481" s="10">
        <v>9.90990990990991E-2</v>
      </c>
    </row>
    <row r="482" spans="1:23" x14ac:dyDescent="0.3">
      <c r="A482" s="7" t="s">
        <v>1689</v>
      </c>
      <c r="B482" s="7" t="s">
        <v>979</v>
      </c>
      <c r="C482" s="7" t="s">
        <v>1690</v>
      </c>
      <c r="D482" s="7" t="s">
        <v>1691</v>
      </c>
      <c r="E482" s="7" t="s">
        <v>141</v>
      </c>
      <c r="F482" s="8">
        <v>45423</v>
      </c>
      <c r="G482" s="8">
        <v>45424</v>
      </c>
      <c r="H482" s="8">
        <v>45428</v>
      </c>
      <c r="I482" s="7" t="s">
        <v>72</v>
      </c>
      <c r="J482" s="7" t="s">
        <v>2</v>
      </c>
      <c r="K482" s="7" t="s">
        <v>21</v>
      </c>
      <c r="L482" s="7" t="s">
        <v>22</v>
      </c>
      <c r="M482" s="7" t="s">
        <v>35</v>
      </c>
      <c r="N482" s="7" t="s">
        <v>33</v>
      </c>
      <c r="O482" s="7" t="s">
        <v>36</v>
      </c>
      <c r="P482" s="7">
        <v>9</v>
      </c>
      <c r="Q482" s="9">
        <v>1530</v>
      </c>
      <c r="R482" s="9">
        <v>1790.1</v>
      </c>
      <c r="S482" s="10">
        <v>0.06</v>
      </c>
      <c r="T482" s="9">
        <v>15144.245999999999</v>
      </c>
      <c r="U482" s="9">
        <v>13770</v>
      </c>
      <c r="V482" s="9">
        <v>1374.2460000000001</v>
      </c>
      <c r="W482" s="10">
        <v>9.0743771594835404E-2</v>
      </c>
    </row>
    <row r="483" spans="1:23" x14ac:dyDescent="0.3">
      <c r="A483" s="7" t="s">
        <v>1692</v>
      </c>
      <c r="B483" s="7" t="s">
        <v>736</v>
      </c>
      <c r="C483" s="7" t="s">
        <v>1693</v>
      </c>
      <c r="D483" s="7" t="s">
        <v>1694</v>
      </c>
      <c r="E483" s="7" t="s">
        <v>192</v>
      </c>
      <c r="F483" s="8">
        <v>46153</v>
      </c>
      <c r="G483" s="8">
        <v>46154</v>
      </c>
      <c r="H483" s="8">
        <v>46156</v>
      </c>
      <c r="I483" s="7" t="s">
        <v>72</v>
      </c>
      <c r="J483" s="7" t="s">
        <v>2364</v>
      </c>
      <c r="K483" s="7" t="s">
        <v>20</v>
      </c>
      <c r="L483" s="7" t="s">
        <v>24</v>
      </c>
      <c r="M483" s="7" t="s">
        <v>46</v>
      </c>
      <c r="N483" s="7" t="s">
        <v>38</v>
      </c>
      <c r="O483" s="7" t="s">
        <v>45</v>
      </c>
      <c r="P483" s="7">
        <v>5</v>
      </c>
      <c r="Q483" s="9">
        <v>350</v>
      </c>
      <c r="R483" s="9">
        <v>364</v>
      </c>
      <c r="S483" s="10">
        <v>0</v>
      </c>
      <c r="T483" s="9">
        <v>1820</v>
      </c>
      <c r="U483" s="9">
        <v>1750</v>
      </c>
      <c r="V483" s="9">
        <v>70</v>
      </c>
      <c r="W483" s="10">
        <v>3.8461538461538498E-2</v>
      </c>
    </row>
    <row r="484" spans="1:23" x14ac:dyDescent="0.3">
      <c r="A484" s="7" t="s">
        <v>1695</v>
      </c>
      <c r="B484" s="7" t="s">
        <v>1696</v>
      </c>
      <c r="C484" s="7" t="s">
        <v>1697</v>
      </c>
      <c r="D484" s="7" t="s">
        <v>1698</v>
      </c>
      <c r="E484" s="7" t="s">
        <v>173</v>
      </c>
      <c r="F484" s="8">
        <v>45467</v>
      </c>
      <c r="G484" s="8">
        <v>45468</v>
      </c>
      <c r="H484" s="8">
        <v>45469</v>
      </c>
      <c r="I484" s="7" t="s">
        <v>72</v>
      </c>
      <c r="J484" s="7" t="s">
        <v>2364</v>
      </c>
      <c r="K484" s="7" t="s">
        <v>21</v>
      </c>
      <c r="L484" s="7" t="s">
        <v>24</v>
      </c>
      <c r="M484" s="7" t="s">
        <v>48</v>
      </c>
      <c r="N484" s="7" t="s">
        <v>38</v>
      </c>
      <c r="O484" s="7" t="s">
        <v>41</v>
      </c>
      <c r="P484" s="7">
        <v>15</v>
      </c>
      <c r="Q484" s="9">
        <v>580</v>
      </c>
      <c r="R484" s="9">
        <v>667</v>
      </c>
      <c r="S484" s="10">
        <v>0</v>
      </c>
      <c r="T484" s="9">
        <v>10005</v>
      </c>
      <c r="U484" s="9">
        <v>8700</v>
      </c>
      <c r="V484" s="9">
        <v>1305</v>
      </c>
      <c r="W484" s="10">
        <v>0.13043478260869601</v>
      </c>
    </row>
    <row r="485" spans="1:23" x14ac:dyDescent="0.3">
      <c r="A485" s="7" t="s">
        <v>1699</v>
      </c>
      <c r="B485" s="7" t="s">
        <v>1445</v>
      </c>
      <c r="C485" s="7" t="s">
        <v>1700</v>
      </c>
      <c r="D485" s="7" t="s">
        <v>1701</v>
      </c>
      <c r="E485" s="7" t="s">
        <v>100</v>
      </c>
      <c r="F485" s="8">
        <v>45375</v>
      </c>
      <c r="G485" s="8">
        <v>45375</v>
      </c>
      <c r="H485" s="8">
        <v>45379</v>
      </c>
      <c r="I485" s="7" t="s">
        <v>72</v>
      </c>
      <c r="J485" s="7" t="s">
        <v>2364</v>
      </c>
      <c r="K485" s="7" t="s">
        <v>19</v>
      </c>
      <c r="L485" s="7" t="s">
        <v>25</v>
      </c>
      <c r="M485" s="7" t="s">
        <v>42</v>
      </c>
      <c r="N485" s="7" t="s">
        <v>27</v>
      </c>
      <c r="O485" s="7" t="s">
        <v>28</v>
      </c>
      <c r="P485" s="7">
        <v>5</v>
      </c>
      <c r="Q485" s="9">
        <v>3030</v>
      </c>
      <c r="R485" s="9">
        <v>3211.8</v>
      </c>
      <c r="S485" s="10">
        <v>0.1</v>
      </c>
      <c r="T485" s="9">
        <v>14453.1</v>
      </c>
      <c r="U485" s="9">
        <v>15150</v>
      </c>
      <c r="V485" s="9">
        <v>-696.9</v>
      </c>
      <c r="W485" s="10">
        <v>-4.8218029350104802E-2</v>
      </c>
    </row>
    <row r="486" spans="1:23" x14ac:dyDescent="0.3">
      <c r="A486" s="7" t="s">
        <v>1702</v>
      </c>
      <c r="B486" s="7" t="s">
        <v>803</v>
      </c>
      <c r="C486" s="7" t="s">
        <v>1703</v>
      </c>
      <c r="D486" s="7" t="s">
        <v>1704</v>
      </c>
      <c r="E486" s="7" t="s">
        <v>164</v>
      </c>
      <c r="F486" s="8">
        <v>46055</v>
      </c>
      <c r="G486" s="8">
        <v>46055</v>
      </c>
      <c r="H486" s="8">
        <v>46057</v>
      </c>
      <c r="I486" s="7" t="s">
        <v>82</v>
      </c>
      <c r="J486" s="7" t="s">
        <v>2362</v>
      </c>
      <c r="K486" s="7" t="s">
        <v>19</v>
      </c>
      <c r="L486" s="7" t="s">
        <v>22</v>
      </c>
      <c r="M486" s="7" t="s">
        <v>43</v>
      </c>
      <c r="N486" s="7" t="s">
        <v>27</v>
      </c>
      <c r="O486" s="7" t="s">
        <v>31</v>
      </c>
      <c r="P486" s="7">
        <v>2</v>
      </c>
      <c r="Q486" s="9">
        <v>1630</v>
      </c>
      <c r="R486" s="9">
        <v>1744.1</v>
      </c>
      <c r="S486" s="10">
        <v>0.03</v>
      </c>
      <c r="T486" s="9">
        <v>3383.5540000000001</v>
      </c>
      <c r="U486" s="9">
        <v>3260</v>
      </c>
      <c r="V486" s="9">
        <v>123.554</v>
      </c>
      <c r="W486" s="10">
        <v>3.6516042007900602E-2</v>
      </c>
    </row>
    <row r="487" spans="1:23" x14ac:dyDescent="0.3">
      <c r="A487" s="7" t="s">
        <v>1705</v>
      </c>
      <c r="B487" s="7" t="s">
        <v>656</v>
      </c>
      <c r="C487" s="7" t="s">
        <v>1706</v>
      </c>
      <c r="D487" s="7" t="s">
        <v>1707</v>
      </c>
      <c r="E487" s="7" t="s">
        <v>132</v>
      </c>
      <c r="F487" s="8">
        <v>45491</v>
      </c>
      <c r="G487" s="8">
        <v>45492</v>
      </c>
      <c r="H487" s="8">
        <v>45494</v>
      </c>
      <c r="I487" s="7" t="s">
        <v>72</v>
      </c>
      <c r="J487" s="7" t="s">
        <v>2363</v>
      </c>
      <c r="K487" s="7" t="s">
        <v>21</v>
      </c>
      <c r="L487" s="7" t="s">
        <v>24</v>
      </c>
      <c r="M487" s="7" t="s">
        <v>2366</v>
      </c>
      <c r="N487" s="7" t="s">
        <v>27</v>
      </c>
      <c r="O487" s="7" t="s">
        <v>54</v>
      </c>
      <c r="P487" s="7">
        <v>13</v>
      </c>
      <c r="Q487" s="9">
        <v>430</v>
      </c>
      <c r="R487" s="9">
        <v>455.8</v>
      </c>
      <c r="S487" s="10">
        <v>0.03</v>
      </c>
      <c r="T487" s="9">
        <v>5747.6379999999999</v>
      </c>
      <c r="U487" s="9">
        <v>5590</v>
      </c>
      <c r="V487" s="9">
        <v>157.63800000000001</v>
      </c>
      <c r="W487" s="10">
        <v>2.74265707060883E-2</v>
      </c>
    </row>
    <row r="488" spans="1:23" x14ac:dyDescent="0.3">
      <c r="A488" s="7" t="s">
        <v>1708</v>
      </c>
      <c r="B488" s="7" t="s">
        <v>702</v>
      </c>
      <c r="C488" s="7" t="s">
        <v>1709</v>
      </c>
      <c r="D488" s="7" t="s">
        <v>1710</v>
      </c>
      <c r="E488" s="7" t="s">
        <v>178</v>
      </c>
      <c r="F488" s="8">
        <v>45395</v>
      </c>
      <c r="G488" s="8">
        <v>45395</v>
      </c>
      <c r="H488" s="8">
        <v>45397</v>
      </c>
      <c r="I488" s="7" t="s">
        <v>72</v>
      </c>
      <c r="J488" s="7" t="s">
        <v>2362</v>
      </c>
      <c r="K488" s="7" t="s">
        <v>19</v>
      </c>
      <c r="L488" s="7" t="s">
        <v>25</v>
      </c>
      <c r="M488" s="7" t="s">
        <v>47</v>
      </c>
      <c r="N488" s="7" t="s">
        <v>38</v>
      </c>
      <c r="O488" s="7" t="s">
        <v>39</v>
      </c>
      <c r="P488" s="7">
        <v>10</v>
      </c>
      <c r="Q488" s="9">
        <v>390</v>
      </c>
      <c r="R488" s="9">
        <v>468</v>
      </c>
      <c r="S488" s="10">
        <v>0.09</v>
      </c>
      <c r="T488" s="9">
        <v>4258.8</v>
      </c>
      <c r="U488" s="9">
        <v>3900</v>
      </c>
      <c r="V488" s="9">
        <v>358.8</v>
      </c>
      <c r="W488" s="10">
        <v>8.42490842490842E-2</v>
      </c>
    </row>
    <row r="489" spans="1:23" x14ac:dyDescent="0.3">
      <c r="A489" s="7" t="s">
        <v>1711</v>
      </c>
      <c r="B489" s="7" t="s">
        <v>350</v>
      </c>
      <c r="C489" s="7" t="s">
        <v>1712</v>
      </c>
      <c r="D489" s="7" t="s">
        <v>1228</v>
      </c>
      <c r="E489" s="7" t="s">
        <v>178</v>
      </c>
      <c r="F489" s="8">
        <v>46031</v>
      </c>
      <c r="G489" s="8">
        <v>46031</v>
      </c>
      <c r="H489" s="8">
        <v>46036</v>
      </c>
      <c r="I489" s="7" t="s">
        <v>72</v>
      </c>
      <c r="J489" s="7" t="s">
        <v>2362</v>
      </c>
      <c r="K489" s="7" t="s">
        <v>21</v>
      </c>
      <c r="L489" s="7" t="s">
        <v>25</v>
      </c>
      <c r="M489" s="7" t="s">
        <v>47</v>
      </c>
      <c r="N489" s="7" t="s">
        <v>38</v>
      </c>
      <c r="O489" s="7" t="s">
        <v>39</v>
      </c>
      <c r="P489" s="7">
        <v>12</v>
      </c>
      <c r="Q489" s="9">
        <v>390</v>
      </c>
      <c r="R489" s="9">
        <v>468</v>
      </c>
      <c r="S489" s="10">
        <v>7.0000000000000007E-2</v>
      </c>
      <c r="T489" s="9">
        <v>5222.88</v>
      </c>
      <c r="U489" s="9">
        <v>4680</v>
      </c>
      <c r="V489" s="9">
        <v>542.88</v>
      </c>
      <c r="W489" s="10">
        <v>0.103942652329749</v>
      </c>
    </row>
    <row r="490" spans="1:23" x14ac:dyDescent="0.3">
      <c r="A490" s="7" t="s">
        <v>1713</v>
      </c>
      <c r="B490" s="7" t="s">
        <v>1278</v>
      </c>
      <c r="C490" s="7" t="s">
        <v>1714</v>
      </c>
      <c r="D490" s="7" t="s">
        <v>1715</v>
      </c>
      <c r="E490" s="7" t="s">
        <v>164</v>
      </c>
      <c r="F490" s="8">
        <v>45953</v>
      </c>
      <c r="G490" s="8">
        <v>45954</v>
      </c>
      <c r="H490" s="8">
        <v>45955</v>
      </c>
      <c r="I490" s="7" t="s">
        <v>72</v>
      </c>
      <c r="J490" s="7" t="s">
        <v>2364</v>
      </c>
      <c r="K490" s="7" t="s">
        <v>21</v>
      </c>
      <c r="L490" s="7" t="s">
        <v>61</v>
      </c>
      <c r="M490" s="7" t="s">
        <v>43</v>
      </c>
      <c r="N490" s="7" t="s">
        <v>27</v>
      </c>
      <c r="O490" s="7" t="s">
        <v>31</v>
      </c>
      <c r="P490" s="7">
        <v>14</v>
      </c>
      <c r="Q490" s="9">
        <v>1630</v>
      </c>
      <c r="R490" s="9">
        <v>1744.1</v>
      </c>
      <c r="S490" s="10">
        <v>0.04</v>
      </c>
      <c r="T490" s="9">
        <v>23440.704000000002</v>
      </c>
      <c r="U490" s="9">
        <v>22820</v>
      </c>
      <c r="V490" s="9">
        <v>620.70399999999995</v>
      </c>
      <c r="W490" s="10">
        <v>2.6479750778816199E-2</v>
      </c>
    </row>
    <row r="491" spans="1:23" x14ac:dyDescent="0.3">
      <c r="A491" s="7" t="s">
        <v>1716</v>
      </c>
      <c r="B491" s="7" t="s">
        <v>158</v>
      </c>
      <c r="C491" s="7" t="s">
        <v>1717</v>
      </c>
      <c r="D491" s="7" t="s">
        <v>430</v>
      </c>
      <c r="E491" s="7" t="s">
        <v>164</v>
      </c>
      <c r="F491" s="8">
        <v>46015</v>
      </c>
      <c r="G491" s="8">
        <v>46015</v>
      </c>
      <c r="H491" s="8">
        <v>46020</v>
      </c>
      <c r="I491" s="7" t="s">
        <v>72</v>
      </c>
      <c r="J491" s="7" t="s">
        <v>2362</v>
      </c>
      <c r="K491" s="7" t="s">
        <v>21</v>
      </c>
      <c r="L491" s="7" t="s">
        <v>24</v>
      </c>
      <c r="M491" s="7" t="s">
        <v>43</v>
      </c>
      <c r="N491" s="7" t="s">
        <v>27</v>
      </c>
      <c r="O491" s="7" t="s">
        <v>31</v>
      </c>
      <c r="P491" s="7">
        <v>6</v>
      </c>
      <c r="Q491" s="9">
        <v>1630</v>
      </c>
      <c r="R491" s="9">
        <v>1744.1</v>
      </c>
      <c r="S491" s="10">
        <v>0.01</v>
      </c>
      <c r="T491" s="9">
        <v>10359.954</v>
      </c>
      <c r="U491" s="9">
        <v>9780</v>
      </c>
      <c r="V491" s="9">
        <v>579.95399999999995</v>
      </c>
      <c r="W491" s="10">
        <v>5.5980364391579301E-2</v>
      </c>
    </row>
    <row r="492" spans="1:23" x14ac:dyDescent="0.3">
      <c r="A492" s="7" t="s">
        <v>1718</v>
      </c>
      <c r="B492" s="7" t="s">
        <v>995</v>
      </c>
      <c r="C492" s="7" t="s">
        <v>1719</v>
      </c>
      <c r="D492" s="7" t="s">
        <v>1720</v>
      </c>
      <c r="E492" s="7" t="s">
        <v>109</v>
      </c>
      <c r="F492" s="8">
        <v>45767</v>
      </c>
      <c r="G492" s="8">
        <v>45768</v>
      </c>
      <c r="H492" s="8">
        <v>45770</v>
      </c>
      <c r="I492" s="7" t="s">
        <v>82</v>
      </c>
      <c r="J492" s="7" t="s">
        <v>2363</v>
      </c>
      <c r="K492" s="7" t="s">
        <v>20</v>
      </c>
      <c r="L492" s="7" t="s">
        <v>24</v>
      </c>
      <c r="M492" s="7" t="s">
        <v>2365</v>
      </c>
      <c r="N492" s="7" t="s">
        <v>27</v>
      </c>
      <c r="O492" s="7" t="s">
        <v>56</v>
      </c>
      <c r="P492" s="7">
        <v>1</v>
      </c>
      <c r="Q492" s="9">
        <v>650</v>
      </c>
      <c r="R492" s="9">
        <v>663</v>
      </c>
      <c r="S492" s="10">
        <v>0.09</v>
      </c>
      <c r="T492" s="9">
        <v>603.33000000000004</v>
      </c>
      <c r="U492" s="9">
        <v>650</v>
      </c>
      <c r="V492" s="9">
        <v>-46.67</v>
      </c>
      <c r="W492" s="10">
        <v>-7.7354018530489094E-2</v>
      </c>
    </row>
    <row r="493" spans="1:23" x14ac:dyDescent="0.3">
      <c r="A493" s="7" t="s">
        <v>1721</v>
      </c>
      <c r="B493" s="7" t="s">
        <v>1290</v>
      </c>
      <c r="C493" s="7" t="s">
        <v>1722</v>
      </c>
      <c r="D493" s="7" t="s">
        <v>1723</v>
      </c>
      <c r="E493" s="7" t="s">
        <v>187</v>
      </c>
      <c r="F493" s="8">
        <v>45675</v>
      </c>
      <c r="G493" s="8">
        <v>45676</v>
      </c>
      <c r="H493" s="8">
        <v>45680</v>
      </c>
      <c r="I493" s="7" t="s">
        <v>82</v>
      </c>
      <c r="J493" s="7" t="s">
        <v>2364</v>
      </c>
      <c r="K493" s="7" t="s">
        <v>19</v>
      </c>
      <c r="L493" s="7" t="s">
        <v>23</v>
      </c>
      <c r="M493" s="7" t="s">
        <v>2367</v>
      </c>
      <c r="N493" s="7" t="s">
        <v>38</v>
      </c>
      <c r="O493" s="7" t="s">
        <v>41</v>
      </c>
      <c r="P493" s="7">
        <v>2</v>
      </c>
      <c r="Q493" s="9">
        <v>170</v>
      </c>
      <c r="R493" s="9">
        <v>188.7</v>
      </c>
      <c r="S493" s="10">
        <v>0.1</v>
      </c>
      <c r="T493" s="9">
        <v>339.66</v>
      </c>
      <c r="U493" s="9">
        <v>340</v>
      </c>
      <c r="V493" s="9">
        <v>-0.34</v>
      </c>
      <c r="W493" s="10">
        <v>-1.0010010010009999E-3</v>
      </c>
    </row>
    <row r="494" spans="1:23" x14ac:dyDescent="0.3">
      <c r="A494" s="7" t="s">
        <v>1724</v>
      </c>
      <c r="B494" s="7" t="s">
        <v>1725</v>
      </c>
      <c r="C494" s="7" t="s">
        <v>1726</v>
      </c>
      <c r="D494" s="7" t="s">
        <v>1727</v>
      </c>
      <c r="E494" s="7" t="s">
        <v>164</v>
      </c>
      <c r="F494" s="8">
        <v>45398</v>
      </c>
      <c r="G494" s="8">
        <v>45398</v>
      </c>
      <c r="H494" s="8">
        <v>45401</v>
      </c>
      <c r="I494" s="7" t="s">
        <v>72</v>
      </c>
      <c r="J494" s="7" t="s">
        <v>1</v>
      </c>
      <c r="K494" s="7" t="s">
        <v>21</v>
      </c>
      <c r="L494" s="7" t="s">
        <v>23</v>
      </c>
      <c r="M494" s="7" t="s">
        <v>43</v>
      </c>
      <c r="N494" s="7" t="s">
        <v>27</v>
      </c>
      <c r="O494" s="7" t="s">
        <v>31</v>
      </c>
      <c r="P494" s="7">
        <v>9</v>
      </c>
      <c r="Q494" s="9">
        <v>1630</v>
      </c>
      <c r="R494" s="9">
        <v>1744.1</v>
      </c>
      <c r="S494" s="10">
        <v>0</v>
      </c>
      <c r="T494" s="9">
        <v>15696.9</v>
      </c>
      <c r="U494" s="9">
        <v>14670</v>
      </c>
      <c r="V494" s="9">
        <v>1026.9000000000001</v>
      </c>
      <c r="W494" s="10">
        <v>6.54205607476636E-2</v>
      </c>
    </row>
    <row r="495" spans="1:23" x14ac:dyDescent="0.3">
      <c r="A495" s="7" t="s">
        <v>1728</v>
      </c>
      <c r="B495" s="7" t="s">
        <v>524</v>
      </c>
      <c r="C495" s="7" t="s">
        <v>1729</v>
      </c>
      <c r="D495" s="7" t="s">
        <v>1730</v>
      </c>
      <c r="E495" s="7" t="s">
        <v>77</v>
      </c>
      <c r="F495" s="8">
        <v>45571</v>
      </c>
      <c r="G495" s="8">
        <v>45572</v>
      </c>
      <c r="H495" s="8">
        <v>45575</v>
      </c>
      <c r="I495" s="7" t="s">
        <v>72</v>
      </c>
      <c r="J495" s="7" t="s">
        <v>2362</v>
      </c>
      <c r="K495" s="7" t="s">
        <v>20</v>
      </c>
      <c r="L495" s="7" t="s">
        <v>24</v>
      </c>
      <c r="M495" s="7" t="s">
        <v>44</v>
      </c>
      <c r="N495" s="7" t="s">
        <v>38</v>
      </c>
      <c r="O495" s="7" t="s">
        <v>45</v>
      </c>
      <c r="P495" s="7">
        <v>7</v>
      </c>
      <c r="Q495" s="9">
        <v>210</v>
      </c>
      <c r="R495" s="9">
        <v>222.6</v>
      </c>
      <c r="S495" s="10">
        <v>7.0000000000000007E-2</v>
      </c>
      <c r="T495" s="9">
        <v>1449.126</v>
      </c>
      <c r="U495" s="9">
        <v>1470</v>
      </c>
      <c r="V495" s="9">
        <v>-20.873999999999999</v>
      </c>
      <c r="W495" s="10">
        <v>-1.44045445323595E-2</v>
      </c>
    </row>
    <row r="496" spans="1:23" x14ac:dyDescent="0.3">
      <c r="A496" s="7" t="s">
        <v>1731</v>
      </c>
      <c r="B496" s="7" t="s">
        <v>466</v>
      </c>
      <c r="C496" s="7" t="s">
        <v>1732</v>
      </c>
      <c r="D496" s="7" t="s">
        <v>1733</v>
      </c>
      <c r="E496" s="7" t="s">
        <v>95</v>
      </c>
      <c r="F496" s="8">
        <v>46189</v>
      </c>
      <c r="G496" s="8">
        <v>46189</v>
      </c>
      <c r="H496" s="8">
        <v>46194</v>
      </c>
      <c r="I496" s="7" t="s">
        <v>82</v>
      </c>
      <c r="J496" s="7" t="s">
        <v>2363</v>
      </c>
      <c r="K496" s="7" t="s">
        <v>19</v>
      </c>
      <c r="L496" s="7" t="s">
        <v>22</v>
      </c>
      <c r="M496" s="7" t="s">
        <v>49</v>
      </c>
      <c r="N496" s="7" t="s">
        <v>33</v>
      </c>
      <c r="O496" s="7" t="s">
        <v>34</v>
      </c>
      <c r="P496" s="7">
        <v>1</v>
      </c>
      <c r="Q496" s="9">
        <v>1080</v>
      </c>
      <c r="R496" s="9">
        <v>1112.4000000000001</v>
      </c>
      <c r="S496" s="10">
        <v>0.08</v>
      </c>
      <c r="T496" s="9">
        <v>1023.408</v>
      </c>
      <c r="U496" s="9">
        <v>1080</v>
      </c>
      <c r="V496" s="9">
        <v>-56.591999999999999</v>
      </c>
      <c r="W496" s="10">
        <v>-5.5297593921485901E-2</v>
      </c>
    </row>
    <row r="497" spans="1:23" x14ac:dyDescent="0.3">
      <c r="A497" s="7" t="s">
        <v>1734</v>
      </c>
      <c r="B497" s="7" t="s">
        <v>138</v>
      </c>
      <c r="C497" s="7" t="s">
        <v>1735</v>
      </c>
      <c r="D497" s="7" t="s">
        <v>1736</v>
      </c>
      <c r="E497" s="7" t="s">
        <v>178</v>
      </c>
      <c r="F497" s="8">
        <v>45560</v>
      </c>
      <c r="G497" s="8">
        <v>45560</v>
      </c>
      <c r="H497" s="8">
        <v>45562</v>
      </c>
      <c r="I497" s="7" t="s">
        <v>72</v>
      </c>
      <c r="J497" s="7" t="s">
        <v>1</v>
      </c>
      <c r="K497" s="7" t="s">
        <v>19</v>
      </c>
      <c r="L497" s="7" t="s">
        <v>24</v>
      </c>
      <c r="M497" s="7" t="s">
        <v>47</v>
      </c>
      <c r="N497" s="7" t="s">
        <v>38</v>
      </c>
      <c r="O497" s="7" t="s">
        <v>39</v>
      </c>
      <c r="P497" s="7">
        <v>9</v>
      </c>
      <c r="Q497" s="9">
        <v>390</v>
      </c>
      <c r="R497" s="9">
        <v>468</v>
      </c>
      <c r="S497" s="10">
        <v>0.04</v>
      </c>
      <c r="T497" s="9">
        <v>4043.52</v>
      </c>
      <c r="U497" s="9">
        <v>3510</v>
      </c>
      <c r="V497" s="9">
        <v>533.52</v>
      </c>
      <c r="W497" s="10">
        <v>0.131944444444444</v>
      </c>
    </row>
    <row r="498" spans="1:23" x14ac:dyDescent="0.3">
      <c r="A498" s="7" t="s">
        <v>1737</v>
      </c>
      <c r="B498" s="7" t="s">
        <v>898</v>
      </c>
      <c r="C498" s="7" t="s">
        <v>1738</v>
      </c>
      <c r="D498" s="7" t="s">
        <v>1739</v>
      </c>
      <c r="E498" s="7" t="s">
        <v>208</v>
      </c>
      <c r="F498" s="8">
        <v>45944</v>
      </c>
      <c r="G498" s="8">
        <v>45945</v>
      </c>
      <c r="H498" s="8">
        <v>45948</v>
      </c>
      <c r="I498" s="7" t="s">
        <v>72</v>
      </c>
      <c r="J498" s="7" t="s">
        <v>2364</v>
      </c>
      <c r="K498" s="7" t="s">
        <v>21</v>
      </c>
      <c r="L498" s="7" t="s">
        <v>61</v>
      </c>
      <c r="M498" s="7" t="s">
        <v>50</v>
      </c>
      <c r="N498" s="7" t="s">
        <v>33</v>
      </c>
      <c r="O498" s="7" t="s">
        <v>36</v>
      </c>
      <c r="P498" s="7">
        <v>11</v>
      </c>
      <c r="Q498" s="9">
        <v>930</v>
      </c>
      <c r="R498" s="9">
        <v>1078.8</v>
      </c>
      <c r="S498" s="10">
        <v>0.09</v>
      </c>
      <c r="T498" s="9">
        <v>10798.788</v>
      </c>
      <c r="U498" s="9">
        <v>10230</v>
      </c>
      <c r="V498" s="9">
        <v>568.78800000000001</v>
      </c>
      <c r="W498" s="10">
        <v>5.2671466464569897E-2</v>
      </c>
    </row>
    <row r="499" spans="1:23" x14ac:dyDescent="0.3">
      <c r="A499" s="7" t="s">
        <v>1740</v>
      </c>
      <c r="B499" s="7" t="s">
        <v>166</v>
      </c>
      <c r="C499" s="7" t="s">
        <v>1741</v>
      </c>
      <c r="D499" s="7" t="s">
        <v>1549</v>
      </c>
      <c r="E499" s="7" t="s">
        <v>178</v>
      </c>
      <c r="F499" s="8">
        <v>46116</v>
      </c>
      <c r="G499" s="8">
        <v>46116</v>
      </c>
      <c r="H499" s="8">
        <v>46121</v>
      </c>
      <c r="I499" s="7" t="s">
        <v>72</v>
      </c>
      <c r="J499" s="7" t="s">
        <v>1</v>
      </c>
      <c r="K499" s="7" t="s">
        <v>20</v>
      </c>
      <c r="L499" s="7" t="s">
        <v>23</v>
      </c>
      <c r="M499" s="7" t="s">
        <v>47</v>
      </c>
      <c r="N499" s="7" t="s">
        <v>38</v>
      </c>
      <c r="O499" s="7" t="s">
        <v>39</v>
      </c>
      <c r="P499" s="7">
        <v>10</v>
      </c>
      <c r="Q499" s="9">
        <v>390</v>
      </c>
      <c r="R499" s="9">
        <v>468</v>
      </c>
      <c r="S499" s="10">
        <v>0.03</v>
      </c>
      <c r="T499" s="9">
        <v>4539.6000000000004</v>
      </c>
      <c r="U499" s="9">
        <v>3900</v>
      </c>
      <c r="V499" s="9">
        <v>639.6</v>
      </c>
      <c r="W499" s="10">
        <v>0.14089347079037801</v>
      </c>
    </row>
    <row r="500" spans="1:23" x14ac:dyDescent="0.3">
      <c r="A500" s="7" t="s">
        <v>1742</v>
      </c>
      <c r="B500" s="7" t="s">
        <v>633</v>
      </c>
      <c r="C500" s="7" t="s">
        <v>1743</v>
      </c>
      <c r="D500" s="7" t="s">
        <v>1744</v>
      </c>
      <c r="E500" s="7" t="s">
        <v>132</v>
      </c>
      <c r="F500" s="8">
        <v>46094</v>
      </c>
      <c r="G500" s="8">
        <v>46095</v>
      </c>
      <c r="H500" s="8">
        <v>46099</v>
      </c>
      <c r="I500" s="7" t="s">
        <v>72</v>
      </c>
      <c r="J500" s="7" t="s">
        <v>2362</v>
      </c>
      <c r="K500" s="7" t="s">
        <v>19</v>
      </c>
      <c r="L500" s="7" t="s">
        <v>25</v>
      </c>
      <c r="M500" s="7" t="s">
        <v>2366</v>
      </c>
      <c r="N500" s="7" t="s">
        <v>27</v>
      </c>
      <c r="O500" s="7" t="s">
        <v>54</v>
      </c>
      <c r="P500" s="7">
        <v>7</v>
      </c>
      <c r="Q500" s="9">
        <v>430</v>
      </c>
      <c r="R500" s="9">
        <v>455.8</v>
      </c>
      <c r="S500" s="10">
        <v>0.03</v>
      </c>
      <c r="T500" s="9">
        <v>3094.8820000000001</v>
      </c>
      <c r="U500" s="9">
        <v>3010</v>
      </c>
      <c r="V500" s="9">
        <v>84.882000000000005</v>
      </c>
      <c r="W500" s="10">
        <v>2.74265707060883E-2</v>
      </c>
    </row>
    <row r="501" spans="1:23" x14ac:dyDescent="0.3">
      <c r="A501" s="7" t="s">
        <v>1745</v>
      </c>
      <c r="B501" s="7" t="s">
        <v>1510</v>
      </c>
      <c r="C501" s="7" t="s">
        <v>1746</v>
      </c>
      <c r="D501" s="7" t="s">
        <v>1747</v>
      </c>
      <c r="E501" s="7" t="s">
        <v>164</v>
      </c>
      <c r="F501" s="8">
        <v>45893</v>
      </c>
      <c r="G501" s="8">
        <v>45894</v>
      </c>
      <c r="H501" s="8">
        <v>45896</v>
      </c>
      <c r="I501" s="7" t="s">
        <v>72</v>
      </c>
      <c r="J501" s="7" t="s">
        <v>2362</v>
      </c>
      <c r="K501" s="7" t="s">
        <v>20</v>
      </c>
      <c r="L501" s="7" t="s">
        <v>23</v>
      </c>
      <c r="M501" s="7" t="s">
        <v>43</v>
      </c>
      <c r="N501" s="7" t="s">
        <v>27</v>
      </c>
      <c r="O501" s="7" t="s">
        <v>31</v>
      </c>
      <c r="P501" s="7">
        <v>6</v>
      </c>
      <c r="Q501" s="9">
        <v>1630</v>
      </c>
      <c r="R501" s="9">
        <v>1744.1</v>
      </c>
      <c r="S501" s="10">
        <v>0.06</v>
      </c>
      <c r="T501" s="9">
        <v>9836.7240000000002</v>
      </c>
      <c r="U501" s="9">
        <v>9780</v>
      </c>
      <c r="V501" s="9">
        <v>56.723999999999997</v>
      </c>
      <c r="W501" s="10">
        <v>5.7665539868761197E-3</v>
      </c>
    </row>
    <row r="502" spans="1:23" x14ac:dyDescent="0.3">
      <c r="A502" s="7" t="s">
        <v>1748</v>
      </c>
      <c r="B502" s="7" t="s">
        <v>867</v>
      </c>
      <c r="C502" s="7" t="s">
        <v>1749</v>
      </c>
      <c r="D502" s="7" t="s">
        <v>1750</v>
      </c>
      <c r="E502" s="7" t="s">
        <v>141</v>
      </c>
      <c r="F502" s="8">
        <v>46021</v>
      </c>
      <c r="G502" s="8">
        <v>46022</v>
      </c>
      <c r="H502" s="8">
        <v>46025</v>
      </c>
      <c r="I502" s="7" t="s">
        <v>82</v>
      </c>
      <c r="J502" s="7" t="s">
        <v>2</v>
      </c>
      <c r="K502" s="7" t="s">
        <v>20</v>
      </c>
      <c r="L502" s="7" t="s">
        <v>22</v>
      </c>
      <c r="M502" s="7" t="s">
        <v>35</v>
      </c>
      <c r="N502" s="7" t="s">
        <v>33</v>
      </c>
      <c r="O502" s="7" t="s">
        <v>36</v>
      </c>
      <c r="P502" s="7">
        <v>2</v>
      </c>
      <c r="Q502" s="9">
        <v>1530</v>
      </c>
      <c r="R502" s="9">
        <v>1790.1</v>
      </c>
      <c r="S502" s="10">
        <v>0.04</v>
      </c>
      <c r="T502" s="9">
        <v>3436.9920000000002</v>
      </c>
      <c r="U502" s="9">
        <v>3060</v>
      </c>
      <c r="V502" s="9">
        <v>376.99200000000002</v>
      </c>
      <c r="W502" s="10">
        <v>0.10968660968661</v>
      </c>
    </row>
    <row r="503" spans="1:23" x14ac:dyDescent="0.3">
      <c r="A503" s="7" t="s">
        <v>1751</v>
      </c>
      <c r="B503" s="7" t="s">
        <v>1752</v>
      </c>
      <c r="C503" s="7" t="s">
        <v>1753</v>
      </c>
      <c r="D503" s="7" t="s">
        <v>1754</v>
      </c>
      <c r="E503" s="7" t="s">
        <v>109</v>
      </c>
      <c r="F503" s="8">
        <v>45656</v>
      </c>
      <c r="G503" s="8">
        <v>45656</v>
      </c>
      <c r="H503" s="8">
        <v>45658</v>
      </c>
      <c r="I503" s="7" t="s">
        <v>72</v>
      </c>
      <c r="J503" s="7" t="s">
        <v>2364</v>
      </c>
      <c r="K503" s="7" t="s">
        <v>20</v>
      </c>
      <c r="L503" s="7" t="s">
        <v>24</v>
      </c>
      <c r="M503" s="7" t="s">
        <v>2365</v>
      </c>
      <c r="N503" s="7" t="s">
        <v>27</v>
      </c>
      <c r="O503" s="7" t="s">
        <v>56</v>
      </c>
      <c r="P503" s="7">
        <v>9</v>
      </c>
      <c r="Q503" s="9">
        <v>650</v>
      </c>
      <c r="R503" s="9">
        <v>663</v>
      </c>
      <c r="S503" s="10">
        <v>7.0000000000000007E-2</v>
      </c>
      <c r="T503" s="9">
        <v>5549.31</v>
      </c>
      <c r="U503" s="9">
        <v>5850</v>
      </c>
      <c r="V503" s="9">
        <v>-300.69</v>
      </c>
      <c r="W503" s="10">
        <v>-5.4185114906177501E-2</v>
      </c>
    </row>
    <row r="504" spans="1:23" x14ac:dyDescent="0.3">
      <c r="A504" s="7" t="s">
        <v>1755</v>
      </c>
      <c r="B504" s="7" t="s">
        <v>416</v>
      </c>
      <c r="C504" s="7" t="s">
        <v>1756</v>
      </c>
      <c r="D504" s="7" t="s">
        <v>1757</v>
      </c>
      <c r="E504" s="7" t="s">
        <v>164</v>
      </c>
      <c r="F504" s="8">
        <v>46119</v>
      </c>
      <c r="G504" s="8">
        <v>46119</v>
      </c>
      <c r="H504" s="8">
        <v>46121</v>
      </c>
      <c r="I504" s="7" t="s">
        <v>72</v>
      </c>
      <c r="J504" s="7" t="s">
        <v>2364</v>
      </c>
      <c r="K504" s="7" t="s">
        <v>20</v>
      </c>
      <c r="L504" s="7" t="s">
        <v>23</v>
      </c>
      <c r="M504" s="7" t="s">
        <v>43</v>
      </c>
      <c r="N504" s="7" t="s">
        <v>27</v>
      </c>
      <c r="O504" s="7" t="s">
        <v>31</v>
      </c>
      <c r="P504" s="7">
        <v>6</v>
      </c>
      <c r="Q504" s="9">
        <v>1630</v>
      </c>
      <c r="R504" s="9">
        <v>1744.1</v>
      </c>
      <c r="S504" s="10">
        <v>0.05</v>
      </c>
      <c r="T504" s="9">
        <v>9941.3700000000008</v>
      </c>
      <c r="U504" s="9">
        <v>9780</v>
      </c>
      <c r="V504" s="9">
        <v>161.37</v>
      </c>
      <c r="W504" s="10">
        <v>1.6232169208066902E-2</v>
      </c>
    </row>
    <row r="505" spans="1:23" x14ac:dyDescent="0.3">
      <c r="A505" s="7" t="s">
        <v>1758</v>
      </c>
      <c r="B505" s="7" t="s">
        <v>1053</v>
      </c>
      <c r="C505" s="7" t="s">
        <v>1759</v>
      </c>
      <c r="D505" s="7" t="s">
        <v>1760</v>
      </c>
      <c r="E505" s="7" t="s">
        <v>81</v>
      </c>
      <c r="F505" s="8">
        <v>45513</v>
      </c>
      <c r="G505" s="8">
        <v>45513</v>
      </c>
      <c r="H505" s="8">
        <v>45516</v>
      </c>
      <c r="I505" s="7" t="s">
        <v>72</v>
      </c>
      <c r="J505" s="7" t="s">
        <v>2363</v>
      </c>
      <c r="K505" s="7" t="s">
        <v>21</v>
      </c>
      <c r="L505" s="7" t="s">
        <v>22</v>
      </c>
      <c r="M505" s="7" t="s">
        <v>59</v>
      </c>
      <c r="N505" s="7" t="s">
        <v>27</v>
      </c>
      <c r="O505" s="7" t="s">
        <v>60</v>
      </c>
      <c r="P505" s="7">
        <v>6</v>
      </c>
      <c r="Q505" s="9">
        <v>1230</v>
      </c>
      <c r="R505" s="9">
        <v>1328.4</v>
      </c>
      <c r="S505" s="10">
        <v>0.04</v>
      </c>
      <c r="T505" s="9">
        <v>7651.5839999999998</v>
      </c>
      <c r="U505" s="9">
        <v>7380</v>
      </c>
      <c r="V505" s="9">
        <v>271.584</v>
      </c>
      <c r="W505" s="10">
        <v>3.5493827160493797E-2</v>
      </c>
    </row>
    <row r="506" spans="1:23" x14ac:dyDescent="0.3">
      <c r="A506" s="7" t="s">
        <v>1761</v>
      </c>
      <c r="B506" s="7" t="s">
        <v>1762</v>
      </c>
      <c r="C506" s="7" t="s">
        <v>1763</v>
      </c>
      <c r="D506" s="7" t="s">
        <v>1764</v>
      </c>
      <c r="E506" s="7" t="s">
        <v>77</v>
      </c>
      <c r="F506" s="8">
        <v>45366</v>
      </c>
      <c r="G506" s="8">
        <v>45367</v>
      </c>
      <c r="H506" s="8">
        <v>45368</v>
      </c>
      <c r="I506" s="7" t="s">
        <v>72</v>
      </c>
      <c r="J506" s="7" t="s">
        <v>2364</v>
      </c>
      <c r="K506" s="7" t="s">
        <v>20</v>
      </c>
      <c r="L506" s="7" t="s">
        <v>24</v>
      </c>
      <c r="M506" s="7" t="s">
        <v>44</v>
      </c>
      <c r="N506" s="7" t="s">
        <v>38</v>
      </c>
      <c r="O506" s="7" t="s">
        <v>45</v>
      </c>
      <c r="P506" s="7">
        <v>6</v>
      </c>
      <c r="Q506" s="9">
        <v>210</v>
      </c>
      <c r="R506" s="9">
        <v>222.6</v>
      </c>
      <c r="S506" s="10">
        <v>7.0000000000000007E-2</v>
      </c>
      <c r="T506" s="9">
        <v>1242.1079999999999</v>
      </c>
      <c r="U506" s="9">
        <v>1260</v>
      </c>
      <c r="V506" s="9">
        <v>-17.891999999999999</v>
      </c>
      <c r="W506" s="10">
        <v>-1.44045445323595E-2</v>
      </c>
    </row>
    <row r="507" spans="1:23" x14ac:dyDescent="0.3">
      <c r="A507" s="7" t="s">
        <v>1765</v>
      </c>
      <c r="B507" s="7" t="s">
        <v>1766</v>
      </c>
      <c r="C507" s="7" t="s">
        <v>1767</v>
      </c>
      <c r="D507" s="7" t="s">
        <v>1768</v>
      </c>
      <c r="E507" s="7" t="s">
        <v>322</v>
      </c>
      <c r="F507" s="8">
        <v>45978</v>
      </c>
      <c r="G507" s="8">
        <v>45978</v>
      </c>
      <c r="H507" s="8">
        <v>45982</v>
      </c>
      <c r="I507" s="7" t="s">
        <v>72</v>
      </c>
      <c r="J507" s="7" t="s">
        <v>2</v>
      </c>
      <c r="K507" s="7" t="s">
        <v>21</v>
      </c>
      <c r="L507" s="7" t="s">
        <v>23</v>
      </c>
      <c r="M507" s="7" t="s">
        <v>26</v>
      </c>
      <c r="N507" s="7" t="s">
        <v>27</v>
      </c>
      <c r="O507" s="7" t="s">
        <v>28</v>
      </c>
      <c r="P507" s="7">
        <v>15</v>
      </c>
      <c r="Q507" s="9">
        <v>3330</v>
      </c>
      <c r="R507" s="9">
        <v>3629.7</v>
      </c>
      <c r="S507" s="10">
        <v>0.01</v>
      </c>
      <c r="T507" s="9">
        <v>53901.044999999998</v>
      </c>
      <c r="U507" s="9">
        <v>49950</v>
      </c>
      <c r="V507" s="9">
        <v>3951.0450000000001</v>
      </c>
      <c r="W507" s="10">
        <v>7.3301825595403602E-2</v>
      </c>
    </row>
    <row r="508" spans="1:23" x14ac:dyDescent="0.3">
      <c r="A508" s="7" t="s">
        <v>1769</v>
      </c>
      <c r="B508" s="7" t="s">
        <v>1634</v>
      </c>
      <c r="C508" s="7" t="s">
        <v>1770</v>
      </c>
      <c r="D508" s="7" t="s">
        <v>783</v>
      </c>
      <c r="E508" s="7" t="s">
        <v>119</v>
      </c>
      <c r="F508" s="8">
        <v>45395</v>
      </c>
      <c r="G508" s="8">
        <v>45395</v>
      </c>
      <c r="H508" s="8">
        <v>45397</v>
      </c>
      <c r="I508" s="7" t="s">
        <v>72</v>
      </c>
      <c r="J508" s="7" t="s">
        <v>2363</v>
      </c>
      <c r="K508" s="7" t="s">
        <v>20</v>
      </c>
      <c r="L508" s="7" t="s">
        <v>22</v>
      </c>
      <c r="M508" s="7" t="s">
        <v>37</v>
      </c>
      <c r="N508" s="7" t="s">
        <v>38</v>
      </c>
      <c r="O508" s="7" t="s">
        <v>39</v>
      </c>
      <c r="P508" s="7">
        <v>10</v>
      </c>
      <c r="Q508" s="9">
        <v>250</v>
      </c>
      <c r="R508" s="9">
        <v>270</v>
      </c>
      <c r="S508" s="10">
        <v>0.01</v>
      </c>
      <c r="T508" s="9">
        <v>2673</v>
      </c>
      <c r="U508" s="9">
        <v>2500</v>
      </c>
      <c r="V508" s="9">
        <v>173</v>
      </c>
      <c r="W508" s="10">
        <v>6.4721286943509204E-2</v>
      </c>
    </row>
    <row r="509" spans="1:23" x14ac:dyDescent="0.3">
      <c r="A509" s="7" t="s">
        <v>1771</v>
      </c>
      <c r="B509" s="7" t="s">
        <v>404</v>
      </c>
      <c r="C509" s="7" t="s">
        <v>1772</v>
      </c>
      <c r="D509" s="7" t="s">
        <v>1048</v>
      </c>
      <c r="E509" s="7" t="s">
        <v>178</v>
      </c>
      <c r="F509" s="8">
        <v>45477</v>
      </c>
      <c r="G509" s="8">
        <v>45477</v>
      </c>
      <c r="H509" s="8">
        <v>45481</v>
      </c>
      <c r="I509" s="7" t="s">
        <v>72</v>
      </c>
      <c r="J509" s="7" t="s">
        <v>2364</v>
      </c>
      <c r="K509" s="7" t="s">
        <v>20</v>
      </c>
      <c r="L509" s="7" t="s">
        <v>61</v>
      </c>
      <c r="M509" s="7" t="s">
        <v>47</v>
      </c>
      <c r="N509" s="7" t="s">
        <v>38</v>
      </c>
      <c r="O509" s="7" t="s">
        <v>39</v>
      </c>
      <c r="P509" s="7">
        <v>6</v>
      </c>
      <c r="Q509" s="9">
        <v>390</v>
      </c>
      <c r="R509" s="9">
        <v>468</v>
      </c>
      <c r="S509" s="10">
        <v>0.05</v>
      </c>
      <c r="T509" s="9">
        <v>2667.6</v>
      </c>
      <c r="U509" s="9">
        <v>2340</v>
      </c>
      <c r="V509" s="9">
        <v>327.60000000000002</v>
      </c>
      <c r="W509" s="10">
        <v>0.12280701754386</v>
      </c>
    </row>
    <row r="510" spans="1:23" x14ac:dyDescent="0.3">
      <c r="A510" s="7" t="s">
        <v>1773</v>
      </c>
      <c r="B510" s="7" t="s">
        <v>490</v>
      </c>
      <c r="C510" s="7" t="s">
        <v>1774</v>
      </c>
      <c r="D510" s="7" t="s">
        <v>1775</v>
      </c>
      <c r="E510" s="7" t="s">
        <v>87</v>
      </c>
      <c r="F510" s="8">
        <v>45458</v>
      </c>
      <c r="G510" s="8">
        <v>45458</v>
      </c>
      <c r="H510" s="8">
        <v>45462</v>
      </c>
      <c r="I510" s="7" t="s">
        <v>72</v>
      </c>
      <c r="J510" s="7" t="s">
        <v>1</v>
      </c>
      <c r="K510" s="7" t="s">
        <v>21</v>
      </c>
      <c r="L510" s="7" t="s">
        <v>25</v>
      </c>
      <c r="M510" s="7" t="s">
        <v>30</v>
      </c>
      <c r="N510" s="7" t="s">
        <v>27</v>
      </c>
      <c r="O510" s="7" t="s">
        <v>31</v>
      </c>
      <c r="P510" s="7">
        <v>14</v>
      </c>
      <c r="Q510" s="9">
        <v>1030</v>
      </c>
      <c r="R510" s="9">
        <v>1174.2</v>
      </c>
      <c r="S510" s="10">
        <v>0.04</v>
      </c>
      <c r="T510" s="9">
        <v>15781.248</v>
      </c>
      <c r="U510" s="9">
        <v>14420</v>
      </c>
      <c r="V510" s="9">
        <v>1361.248</v>
      </c>
      <c r="W510" s="10">
        <v>8.6257309941520505E-2</v>
      </c>
    </row>
    <row r="511" spans="1:23" x14ac:dyDescent="0.3">
      <c r="A511" s="7" t="s">
        <v>1776</v>
      </c>
      <c r="B511" s="7" t="s">
        <v>1361</v>
      </c>
      <c r="C511" s="7" t="s">
        <v>1777</v>
      </c>
      <c r="D511" s="7" t="s">
        <v>1778</v>
      </c>
      <c r="E511" s="7" t="s">
        <v>164</v>
      </c>
      <c r="F511" s="8">
        <v>45407</v>
      </c>
      <c r="G511" s="8">
        <v>45408</v>
      </c>
      <c r="H511" s="8">
        <v>45409</v>
      </c>
      <c r="I511" s="7" t="s">
        <v>72</v>
      </c>
      <c r="J511" s="7" t="s">
        <v>2363</v>
      </c>
      <c r="K511" s="7" t="s">
        <v>19</v>
      </c>
      <c r="L511" s="7" t="s">
        <v>61</v>
      </c>
      <c r="M511" s="7" t="s">
        <v>43</v>
      </c>
      <c r="N511" s="7" t="s">
        <v>27</v>
      </c>
      <c r="O511" s="7" t="s">
        <v>31</v>
      </c>
      <c r="P511" s="7">
        <v>7</v>
      </c>
      <c r="Q511" s="9">
        <v>1630</v>
      </c>
      <c r="R511" s="9">
        <v>1744.1</v>
      </c>
      <c r="S511" s="10">
        <v>0.03</v>
      </c>
      <c r="T511" s="9">
        <v>11842.439</v>
      </c>
      <c r="U511" s="9">
        <v>11410</v>
      </c>
      <c r="V511" s="9">
        <v>432.43900000000002</v>
      </c>
      <c r="W511" s="10">
        <v>3.6516042007900602E-2</v>
      </c>
    </row>
    <row r="512" spans="1:23" x14ac:dyDescent="0.3">
      <c r="A512" s="7" t="s">
        <v>1779</v>
      </c>
      <c r="B512" s="7" t="s">
        <v>1762</v>
      </c>
      <c r="C512" s="7" t="s">
        <v>1780</v>
      </c>
      <c r="D512" s="7" t="s">
        <v>849</v>
      </c>
      <c r="E512" s="7" t="s">
        <v>114</v>
      </c>
      <c r="F512" s="8">
        <v>45817</v>
      </c>
      <c r="G512" s="8">
        <v>45818</v>
      </c>
      <c r="H512" s="8">
        <v>45819</v>
      </c>
      <c r="I512" s="7" t="s">
        <v>82</v>
      </c>
      <c r="J512" s="7" t="s">
        <v>2363</v>
      </c>
      <c r="K512" s="7" t="s">
        <v>19</v>
      </c>
      <c r="L512" s="7" t="s">
        <v>22</v>
      </c>
      <c r="M512" s="7" t="s">
        <v>51</v>
      </c>
      <c r="N512" s="7" t="s">
        <v>33</v>
      </c>
      <c r="O512" s="7" t="s">
        <v>52</v>
      </c>
      <c r="P512" s="7">
        <v>1</v>
      </c>
      <c r="Q512" s="9">
        <v>280</v>
      </c>
      <c r="R512" s="9">
        <v>336</v>
      </c>
      <c r="S512" s="10">
        <v>0.05</v>
      </c>
      <c r="T512" s="9">
        <v>319.2</v>
      </c>
      <c r="U512" s="9">
        <v>280</v>
      </c>
      <c r="V512" s="9">
        <v>39.200000000000003</v>
      </c>
      <c r="W512" s="10">
        <v>0.12280701754386</v>
      </c>
    </row>
    <row r="513" spans="1:23" x14ac:dyDescent="0.3">
      <c r="A513" s="7" t="s">
        <v>1781</v>
      </c>
      <c r="B513" s="7" t="s">
        <v>97</v>
      </c>
      <c r="C513" s="7" t="s">
        <v>1782</v>
      </c>
      <c r="D513" s="7" t="s">
        <v>1783</v>
      </c>
      <c r="E513" s="7" t="s">
        <v>132</v>
      </c>
      <c r="F513" s="8">
        <v>45519</v>
      </c>
      <c r="G513" s="8">
        <v>45520</v>
      </c>
      <c r="H513" s="8">
        <v>45524</v>
      </c>
      <c r="I513" s="7" t="s">
        <v>72</v>
      </c>
      <c r="J513" s="7" t="s">
        <v>2363</v>
      </c>
      <c r="K513" s="7" t="s">
        <v>21</v>
      </c>
      <c r="L513" s="7" t="s">
        <v>61</v>
      </c>
      <c r="M513" s="7" t="s">
        <v>2366</v>
      </c>
      <c r="N513" s="7" t="s">
        <v>27</v>
      </c>
      <c r="O513" s="7" t="s">
        <v>54</v>
      </c>
      <c r="P513" s="7">
        <v>10</v>
      </c>
      <c r="Q513" s="9">
        <v>430</v>
      </c>
      <c r="R513" s="9">
        <v>455.8</v>
      </c>
      <c r="S513" s="10">
        <v>0.05</v>
      </c>
      <c r="T513" s="9">
        <v>4330.1000000000004</v>
      </c>
      <c r="U513" s="9">
        <v>4300</v>
      </c>
      <c r="V513" s="9">
        <v>30.1</v>
      </c>
      <c r="W513" s="10">
        <v>6.9513406156901702E-3</v>
      </c>
    </row>
    <row r="514" spans="1:23" x14ac:dyDescent="0.3">
      <c r="A514" s="7" t="s">
        <v>1784</v>
      </c>
      <c r="B514" s="7" t="s">
        <v>929</v>
      </c>
      <c r="C514" s="7" t="s">
        <v>1785</v>
      </c>
      <c r="D514" s="7" t="s">
        <v>1786</v>
      </c>
      <c r="E514" s="7" t="s">
        <v>141</v>
      </c>
      <c r="F514" s="8">
        <v>45809</v>
      </c>
      <c r="G514" s="8">
        <v>45810</v>
      </c>
      <c r="H514" s="8">
        <v>45814</v>
      </c>
      <c r="I514" s="7" t="s">
        <v>82</v>
      </c>
      <c r="J514" s="7" t="s">
        <v>2364</v>
      </c>
      <c r="K514" s="7" t="s">
        <v>19</v>
      </c>
      <c r="L514" s="7" t="s">
        <v>24</v>
      </c>
      <c r="M514" s="7" t="s">
        <v>35</v>
      </c>
      <c r="N514" s="7" t="s">
        <v>33</v>
      </c>
      <c r="O514" s="7" t="s">
        <v>36</v>
      </c>
      <c r="P514" s="7">
        <v>2</v>
      </c>
      <c r="Q514" s="9">
        <v>1530</v>
      </c>
      <c r="R514" s="9">
        <v>1790.1</v>
      </c>
      <c r="S514" s="10">
        <v>0.06</v>
      </c>
      <c r="T514" s="9">
        <v>3365.3879999999999</v>
      </c>
      <c r="U514" s="9">
        <v>3060</v>
      </c>
      <c r="V514" s="9">
        <v>305.38799999999998</v>
      </c>
      <c r="W514" s="10">
        <v>9.0743771594835404E-2</v>
      </c>
    </row>
    <row r="515" spans="1:23" x14ac:dyDescent="0.3">
      <c r="A515" s="7" t="s">
        <v>1787</v>
      </c>
      <c r="B515" s="7" t="s">
        <v>971</v>
      </c>
      <c r="C515" s="7" t="s">
        <v>1788</v>
      </c>
      <c r="D515" s="7" t="s">
        <v>1789</v>
      </c>
      <c r="E515" s="7" t="s">
        <v>71</v>
      </c>
      <c r="F515" s="8">
        <v>45312</v>
      </c>
      <c r="G515" s="8">
        <v>45313</v>
      </c>
      <c r="H515" s="8">
        <v>45315</v>
      </c>
      <c r="I515" s="7" t="s">
        <v>82</v>
      </c>
      <c r="J515" s="7" t="s">
        <v>1</v>
      </c>
      <c r="K515" s="7" t="s">
        <v>20</v>
      </c>
      <c r="L515" s="7" t="s">
        <v>22</v>
      </c>
      <c r="M515" s="7" t="s">
        <v>32</v>
      </c>
      <c r="N515" s="7" t="s">
        <v>33</v>
      </c>
      <c r="O515" s="7" t="s">
        <v>34</v>
      </c>
      <c r="P515" s="7">
        <v>3</v>
      </c>
      <c r="Q515" s="9">
        <v>730</v>
      </c>
      <c r="R515" s="9">
        <v>824.9</v>
      </c>
      <c r="S515" s="10">
        <v>0.09</v>
      </c>
      <c r="T515" s="9">
        <v>2251.9769999999999</v>
      </c>
      <c r="U515" s="9">
        <v>2190</v>
      </c>
      <c r="V515" s="9">
        <v>61.976999999999997</v>
      </c>
      <c r="W515" s="10">
        <v>2.7521151414956702E-2</v>
      </c>
    </row>
    <row r="516" spans="1:23" x14ac:dyDescent="0.3">
      <c r="A516" s="7" t="s">
        <v>1790</v>
      </c>
      <c r="B516" s="7" t="s">
        <v>1627</v>
      </c>
      <c r="C516" s="7" t="s">
        <v>1791</v>
      </c>
      <c r="D516" s="7" t="s">
        <v>1792</v>
      </c>
      <c r="E516" s="7" t="s">
        <v>114</v>
      </c>
      <c r="F516" s="8">
        <v>45362</v>
      </c>
      <c r="G516" s="8">
        <v>45362</v>
      </c>
      <c r="H516" s="8">
        <v>45365</v>
      </c>
      <c r="I516" s="7" t="s">
        <v>72</v>
      </c>
      <c r="J516" s="7" t="s">
        <v>2364</v>
      </c>
      <c r="K516" s="7" t="s">
        <v>21</v>
      </c>
      <c r="L516" s="7" t="s">
        <v>24</v>
      </c>
      <c r="M516" s="7" t="s">
        <v>51</v>
      </c>
      <c r="N516" s="7" t="s">
        <v>33</v>
      </c>
      <c r="O516" s="7" t="s">
        <v>52</v>
      </c>
      <c r="P516" s="7">
        <v>13</v>
      </c>
      <c r="Q516" s="9">
        <v>280</v>
      </c>
      <c r="R516" s="9">
        <v>336</v>
      </c>
      <c r="S516" s="10">
        <v>7.0000000000000007E-2</v>
      </c>
      <c r="T516" s="9">
        <v>4062.24</v>
      </c>
      <c r="U516" s="9">
        <v>3640</v>
      </c>
      <c r="V516" s="9">
        <v>422.24</v>
      </c>
      <c r="W516" s="10">
        <v>0.103942652329749</v>
      </c>
    </row>
    <row r="517" spans="1:23" x14ac:dyDescent="0.3">
      <c r="A517" s="7" t="s">
        <v>1793</v>
      </c>
      <c r="B517" s="7" t="s">
        <v>1752</v>
      </c>
      <c r="C517" s="7" t="s">
        <v>1794</v>
      </c>
      <c r="D517" s="7" t="s">
        <v>1795</v>
      </c>
      <c r="E517" s="7" t="s">
        <v>192</v>
      </c>
      <c r="F517" s="8">
        <v>45912</v>
      </c>
      <c r="G517" s="8">
        <v>45912</v>
      </c>
      <c r="H517" s="8">
        <v>45915</v>
      </c>
      <c r="I517" s="7" t="s">
        <v>72</v>
      </c>
      <c r="J517" s="7" t="s">
        <v>2</v>
      </c>
      <c r="K517" s="7" t="s">
        <v>19</v>
      </c>
      <c r="L517" s="7" t="s">
        <v>23</v>
      </c>
      <c r="M517" s="7" t="s">
        <v>46</v>
      </c>
      <c r="N517" s="7" t="s">
        <v>38</v>
      </c>
      <c r="O517" s="7" t="s">
        <v>45</v>
      </c>
      <c r="P517" s="7">
        <v>5</v>
      </c>
      <c r="Q517" s="9">
        <v>350</v>
      </c>
      <c r="R517" s="9">
        <v>364</v>
      </c>
      <c r="S517" s="10">
        <v>0.1</v>
      </c>
      <c r="T517" s="9">
        <v>1638</v>
      </c>
      <c r="U517" s="9">
        <v>1750</v>
      </c>
      <c r="V517" s="9">
        <v>-112</v>
      </c>
      <c r="W517" s="10">
        <v>-6.8376068376068397E-2</v>
      </c>
    </row>
    <row r="518" spans="1:23" x14ac:dyDescent="0.3">
      <c r="A518" s="7" t="s">
        <v>1796</v>
      </c>
      <c r="B518" s="7" t="s">
        <v>652</v>
      </c>
      <c r="C518" s="7" t="s">
        <v>1797</v>
      </c>
      <c r="D518" s="7" t="s">
        <v>1798</v>
      </c>
      <c r="E518" s="7" t="s">
        <v>119</v>
      </c>
      <c r="F518" s="8">
        <v>45959</v>
      </c>
      <c r="G518" s="8">
        <v>45960</v>
      </c>
      <c r="H518" s="8">
        <v>45963</v>
      </c>
      <c r="I518" s="7" t="s">
        <v>72</v>
      </c>
      <c r="J518" s="7" t="s">
        <v>2364</v>
      </c>
      <c r="K518" s="7" t="s">
        <v>19</v>
      </c>
      <c r="L518" s="7" t="s">
        <v>25</v>
      </c>
      <c r="M518" s="7" t="s">
        <v>37</v>
      </c>
      <c r="N518" s="7" t="s">
        <v>38</v>
      </c>
      <c r="O518" s="7" t="s">
        <v>39</v>
      </c>
      <c r="P518" s="7">
        <v>6</v>
      </c>
      <c r="Q518" s="9">
        <v>250</v>
      </c>
      <c r="R518" s="9">
        <v>270</v>
      </c>
      <c r="S518" s="10">
        <v>0.06</v>
      </c>
      <c r="T518" s="9">
        <v>1522.8</v>
      </c>
      <c r="U518" s="9">
        <v>1500</v>
      </c>
      <c r="V518" s="9">
        <v>22.8</v>
      </c>
      <c r="W518" s="10">
        <v>1.49724192277384E-2</v>
      </c>
    </row>
    <row r="519" spans="1:23" x14ac:dyDescent="0.3">
      <c r="A519" s="7" t="s">
        <v>1799</v>
      </c>
      <c r="B519" s="7" t="s">
        <v>1399</v>
      </c>
      <c r="C519" s="7" t="s">
        <v>1800</v>
      </c>
      <c r="D519" s="7" t="s">
        <v>1801</v>
      </c>
      <c r="E519" s="7" t="s">
        <v>77</v>
      </c>
      <c r="F519" s="8">
        <v>45493</v>
      </c>
      <c r="G519" s="8">
        <v>45494</v>
      </c>
      <c r="H519" s="8">
        <v>45497</v>
      </c>
      <c r="I519" s="7" t="s">
        <v>72</v>
      </c>
      <c r="J519" s="7" t="s">
        <v>2362</v>
      </c>
      <c r="K519" s="7" t="s">
        <v>20</v>
      </c>
      <c r="L519" s="7" t="s">
        <v>24</v>
      </c>
      <c r="M519" s="7" t="s">
        <v>44</v>
      </c>
      <c r="N519" s="7" t="s">
        <v>38</v>
      </c>
      <c r="O519" s="7" t="s">
        <v>45</v>
      </c>
      <c r="P519" s="7">
        <v>9</v>
      </c>
      <c r="Q519" s="9">
        <v>210</v>
      </c>
      <c r="R519" s="9">
        <v>222.6</v>
      </c>
      <c r="S519" s="10">
        <v>0.03</v>
      </c>
      <c r="T519" s="9">
        <v>1943.298</v>
      </c>
      <c r="U519" s="9">
        <v>1890</v>
      </c>
      <c r="V519" s="9">
        <v>53.298000000000002</v>
      </c>
      <c r="W519" s="10">
        <v>2.74265707060883E-2</v>
      </c>
    </row>
    <row r="520" spans="1:23" x14ac:dyDescent="0.3">
      <c r="A520" s="7" t="s">
        <v>1802</v>
      </c>
      <c r="B520" s="7" t="s">
        <v>1607</v>
      </c>
      <c r="C520" s="7" t="s">
        <v>1803</v>
      </c>
      <c r="D520" s="7" t="s">
        <v>1804</v>
      </c>
      <c r="E520" s="7" t="s">
        <v>71</v>
      </c>
      <c r="F520" s="8">
        <v>45419</v>
      </c>
      <c r="G520" s="8">
        <v>45419</v>
      </c>
      <c r="H520" s="8">
        <v>45422</v>
      </c>
      <c r="I520" s="7" t="s">
        <v>72</v>
      </c>
      <c r="J520" s="7" t="s">
        <v>2362</v>
      </c>
      <c r="K520" s="7" t="s">
        <v>20</v>
      </c>
      <c r="L520" s="7" t="s">
        <v>23</v>
      </c>
      <c r="M520" s="7" t="s">
        <v>32</v>
      </c>
      <c r="N520" s="7" t="s">
        <v>33</v>
      </c>
      <c r="O520" s="7" t="s">
        <v>34</v>
      </c>
      <c r="P520" s="7">
        <v>6</v>
      </c>
      <c r="Q520" s="9">
        <v>730</v>
      </c>
      <c r="R520" s="9">
        <v>824.9</v>
      </c>
      <c r="S520" s="10">
        <v>0</v>
      </c>
      <c r="T520" s="9">
        <v>4949.3999999999996</v>
      </c>
      <c r="U520" s="9">
        <v>4380</v>
      </c>
      <c r="V520" s="9">
        <v>569.4</v>
      </c>
      <c r="W520" s="10">
        <v>0.11504424778761101</v>
      </c>
    </row>
    <row r="521" spans="1:23" x14ac:dyDescent="0.3">
      <c r="A521" s="7" t="s">
        <v>1805</v>
      </c>
      <c r="B521" s="7" t="s">
        <v>820</v>
      </c>
      <c r="C521" s="7" t="s">
        <v>1806</v>
      </c>
      <c r="D521" s="7" t="s">
        <v>1807</v>
      </c>
      <c r="E521" s="7" t="s">
        <v>87</v>
      </c>
      <c r="F521" s="8">
        <v>45653</v>
      </c>
      <c r="G521" s="8">
        <v>45653</v>
      </c>
      <c r="H521" s="8">
        <v>45657</v>
      </c>
      <c r="I521" s="7" t="s">
        <v>72</v>
      </c>
      <c r="J521" s="7" t="s">
        <v>1</v>
      </c>
      <c r="K521" s="7" t="s">
        <v>20</v>
      </c>
      <c r="L521" s="7" t="s">
        <v>25</v>
      </c>
      <c r="M521" s="7" t="s">
        <v>30</v>
      </c>
      <c r="N521" s="7" t="s">
        <v>27</v>
      </c>
      <c r="O521" s="7" t="s">
        <v>31</v>
      </c>
      <c r="P521" s="7">
        <v>5</v>
      </c>
      <c r="Q521" s="9">
        <v>1030</v>
      </c>
      <c r="R521" s="9">
        <v>1174.2</v>
      </c>
      <c r="S521" s="10">
        <v>0.09</v>
      </c>
      <c r="T521" s="9">
        <v>5342.61</v>
      </c>
      <c r="U521" s="9">
        <v>5150</v>
      </c>
      <c r="V521" s="9">
        <v>192.61</v>
      </c>
      <c r="W521" s="10">
        <v>3.6051667630615E-2</v>
      </c>
    </row>
    <row r="522" spans="1:23" x14ac:dyDescent="0.3">
      <c r="A522" s="7" t="s">
        <v>1808</v>
      </c>
      <c r="B522" s="7" t="s">
        <v>478</v>
      </c>
      <c r="C522" s="7" t="s">
        <v>1809</v>
      </c>
      <c r="D522" s="7" t="s">
        <v>1810</v>
      </c>
      <c r="E522" s="7" t="s">
        <v>109</v>
      </c>
      <c r="F522" s="8">
        <v>45895</v>
      </c>
      <c r="G522" s="8">
        <v>45895</v>
      </c>
      <c r="H522" s="8">
        <v>45898</v>
      </c>
      <c r="I522" s="7" t="s">
        <v>72</v>
      </c>
      <c r="J522" s="7" t="s">
        <v>2364</v>
      </c>
      <c r="K522" s="7" t="s">
        <v>21</v>
      </c>
      <c r="L522" s="7" t="s">
        <v>23</v>
      </c>
      <c r="M522" s="7" t="s">
        <v>2365</v>
      </c>
      <c r="N522" s="7" t="s">
        <v>27</v>
      </c>
      <c r="O522" s="7" t="s">
        <v>56</v>
      </c>
      <c r="P522" s="7">
        <v>9</v>
      </c>
      <c r="Q522" s="9">
        <v>650</v>
      </c>
      <c r="R522" s="9">
        <v>663</v>
      </c>
      <c r="S522" s="10">
        <v>0.03</v>
      </c>
      <c r="T522" s="9">
        <v>5787.99</v>
      </c>
      <c r="U522" s="9">
        <v>5850</v>
      </c>
      <c r="V522" s="9">
        <v>-62.01</v>
      </c>
      <c r="W522" s="10">
        <v>-1.07135637760259E-2</v>
      </c>
    </row>
    <row r="523" spans="1:23" x14ac:dyDescent="0.3">
      <c r="A523" s="7" t="s">
        <v>1811</v>
      </c>
      <c r="B523" s="7" t="s">
        <v>1812</v>
      </c>
      <c r="C523" s="7" t="s">
        <v>1813</v>
      </c>
      <c r="D523" s="7" t="s">
        <v>741</v>
      </c>
      <c r="E523" s="7" t="s">
        <v>87</v>
      </c>
      <c r="F523" s="8">
        <v>45329</v>
      </c>
      <c r="G523" s="8">
        <v>45329</v>
      </c>
      <c r="H523" s="8">
        <v>45334</v>
      </c>
      <c r="I523" s="7" t="s">
        <v>82</v>
      </c>
      <c r="J523" s="7" t="s">
        <v>1</v>
      </c>
      <c r="K523" s="7" t="s">
        <v>20</v>
      </c>
      <c r="L523" s="7" t="s">
        <v>22</v>
      </c>
      <c r="M523" s="7" t="s">
        <v>30</v>
      </c>
      <c r="N523" s="7" t="s">
        <v>27</v>
      </c>
      <c r="O523" s="7" t="s">
        <v>31</v>
      </c>
      <c r="P523" s="7">
        <v>4</v>
      </c>
      <c r="Q523" s="9">
        <v>1030</v>
      </c>
      <c r="R523" s="9">
        <v>1174.2</v>
      </c>
      <c r="S523" s="10">
        <v>0.08</v>
      </c>
      <c r="T523" s="9">
        <v>4321.0559999999996</v>
      </c>
      <c r="U523" s="9">
        <v>4120</v>
      </c>
      <c r="V523" s="9">
        <v>201.05600000000001</v>
      </c>
      <c r="W523" s="10">
        <v>4.6529366895499601E-2</v>
      </c>
    </row>
    <row r="524" spans="1:23" x14ac:dyDescent="0.3">
      <c r="A524" s="7" t="s">
        <v>1814</v>
      </c>
      <c r="B524" s="7" t="s">
        <v>400</v>
      </c>
      <c r="C524" s="7" t="s">
        <v>1815</v>
      </c>
      <c r="D524" s="7" t="s">
        <v>1816</v>
      </c>
      <c r="E524" s="7" t="s">
        <v>164</v>
      </c>
      <c r="F524" s="8">
        <v>45486</v>
      </c>
      <c r="G524" s="8">
        <v>45487</v>
      </c>
      <c r="H524" s="8">
        <v>45488</v>
      </c>
      <c r="I524" s="7" t="s">
        <v>72</v>
      </c>
      <c r="J524" s="7" t="s">
        <v>2</v>
      </c>
      <c r="K524" s="7" t="s">
        <v>19</v>
      </c>
      <c r="L524" s="7" t="s">
        <v>25</v>
      </c>
      <c r="M524" s="7" t="s">
        <v>43</v>
      </c>
      <c r="N524" s="7" t="s">
        <v>27</v>
      </c>
      <c r="O524" s="7" t="s">
        <v>31</v>
      </c>
      <c r="P524" s="7">
        <v>9</v>
      </c>
      <c r="Q524" s="9">
        <v>1630</v>
      </c>
      <c r="R524" s="9">
        <v>1744.1</v>
      </c>
      <c r="S524" s="10">
        <v>0</v>
      </c>
      <c r="T524" s="9">
        <v>15696.9</v>
      </c>
      <c r="U524" s="9">
        <v>14670</v>
      </c>
      <c r="V524" s="9">
        <v>1026.9000000000001</v>
      </c>
      <c r="W524" s="10">
        <v>6.54205607476636E-2</v>
      </c>
    </row>
    <row r="525" spans="1:23" x14ac:dyDescent="0.3">
      <c r="A525" s="7" t="s">
        <v>1817</v>
      </c>
      <c r="B525" s="7" t="s">
        <v>297</v>
      </c>
      <c r="C525" s="7" t="s">
        <v>1818</v>
      </c>
      <c r="D525" s="7" t="s">
        <v>1819</v>
      </c>
      <c r="E525" s="7" t="s">
        <v>164</v>
      </c>
      <c r="F525" s="8">
        <v>45891</v>
      </c>
      <c r="G525" s="8">
        <v>45891</v>
      </c>
      <c r="H525" s="8">
        <v>45893</v>
      </c>
      <c r="I525" s="7" t="s">
        <v>72</v>
      </c>
      <c r="J525" s="7" t="s">
        <v>2364</v>
      </c>
      <c r="K525" s="7" t="s">
        <v>19</v>
      </c>
      <c r="L525" s="7" t="s">
        <v>25</v>
      </c>
      <c r="M525" s="7" t="s">
        <v>43</v>
      </c>
      <c r="N525" s="7" t="s">
        <v>27</v>
      </c>
      <c r="O525" s="7" t="s">
        <v>31</v>
      </c>
      <c r="P525" s="7">
        <v>10</v>
      </c>
      <c r="Q525" s="9">
        <v>1630</v>
      </c>
      <c r="R525" s="9">
        <v>1744.1</v>
      </c>
      <c r="S525" s="10">
        <v>0.06</v>
      </c>
      <c r="T525" s="9">
        <v>16394.54</v>
      </c>
      <c r="U525" s="9">
        <v>16300</v>
      </c>
      <c r="V525" s="9">
        <v>94.54</v>
      </c>
      <c r="W525" s="10">
        <v>5.7665539868761197E-3</v>
      </c>
    </row>
    <row r="526" spans="1:23" x14ac:dyDescent="0.3">
      <c r="A526" s="7" t="s">
        <v>1820</v>
      </c>
      <c r="B526" s="7" t="s">
        <v>331</v>
      </c>
      <c r="C526" s="7" t="s">
        <v>1821</v>
      </c>
      <c r="D526" s="7" t="s">
        <v>1822</v>
      </c>
      <c r="E526" s="7" t="s">
        <v>178</v>
      </c>
      <c r="F526" s="8">
        <v>45944</v>
      </c>
      <c r="G526" s="8">
        <v>45944</v>
      </c>
      <c r="H526" s="8">
        <v>45946</v>
      </c>
      <c r="I526" s="7" t="s">
        <v>72</v>
      </c>
      <c r="J526" s="7" t="s">
        <v>1</v>
      </c>
      <c r="K526" s="7" t="s">
        <v>21</v>
      </c>
      <c r="L526" s="7" t="s">
        <v>24</v>
      </c>
      <c r="M526" s="7" t="s">
        <v>47</v>
      </c>
      <c r="N526" s="7" t="s">
        <v>38</v>
      </c>
      <c r="O526" s="7" t="s">
        <v>39</v>
      </c>
      <c r="P526" s="7">
        <v>15</v>
      </c>
      <c r="Q526" s="9">
        <v>390</v>
      </c>
      <c r="R526" s="9">
        <v>468</v>
      </c>
      <c r="S526" s="10">
        <v>0</v>
      </c>
      <c r="T526" s="9">
        <v>7020</v>
      </c>
      <c r="U526" s="9">
        <v>5850</v>
      </c>
      <c r="V526" s="9">
        <v>1170</v>
      </c>
      <c r="W526" s="10">
        <v>0.16666666666666699</v>
      </c>
    </row>
    <row r="527" spans="1:23" x14ac:dyDescent="0.3">
      <c r="A527" s="7" t="s">
        <v>1823</v>
      </c>
      <c r="B527" s="7" t="s">
        <v>478</v>
      </c>
      <c r="C527" s="7" t="s">
        <v>1824</v>
      </c>
      <c r="D527" s="7" t="s">
        <v>1825</v>
      </c>
      <c r="E527" s="7" t="s">
        <v>87</v>
      </c>
      <c r="F527" s="8">
        <v>46137</v>
      </c>
      <c r="G527" s="8">
        <v>46137</v>
      </c>
      <c r="H527" s="8">
        <v>46141</v>
      </c>
      <c r="I527" s="7" t="s">
        <v>82</v>
      </c>
      <c r="J527" s="7" t="s">
        <v>2</v>
      </c>
      <c r="K527" s="7" t="s">
        <v>20</v>
      </c>
      <c r="L527" s="7" t="s">
        <v>23</v>
      </c>
      <c r="M527" s="7" t="s">
        <v>30</v>
      </c>
      <c r="N527" s="7" t="s">
        <v>27</v>
      </c>
      <c r="O527" s="7" t="s">
        <v>31</v>
      </c>
      <c r="P527" s="7">
        <v>4</v>
      </c>
      <c r="Q527" s="9">
        <v>1030</v>
      </c>
      <c r="R527" s="9">
        <v>1174.2</v>
      </c>
      <c r="S527" s="10">
        <v>0.03</v>
      </c>
      <c r="T527" s="9">
        <v>4555.8959999999997</v>
      </c>
      <c r="U527" s="9">
        <v>4120</v>
      </c>
      <c r="V527" s="9">
        <v>435.89600000000002</v>
      </c>
      <c r="W527" s="10">
        <v>9.5677337674082097E-2</v>
      </c>
    </row>
    <row r="528" spans="1:23" x14ac:dyDescent="0.3">
      <c r="A528" s="7" t="s">
        <v>1826</v>
      </c>
      <c r="B528" s="7" t="s">
        <v>1656</v>
      </c>
      <c r="C528" s="7" t="s">
        <v>1827</v>
      </c>
      <c r="D528" s="7" t="s">
        <v>1828</v>
      </c>
      <c r="E528" s="7" t="s">
        <v>114</v>
      </c>
      <c r="F528" s="8">
        <v>45351</v>
      </c>
      <c r="G528" s="8">
        <v>45351</v>
      </c>
      <c r="H528" s="8">
        <v>45355</v>
      </c>
      <c r="I528" s="7" t="s">
        <v>82</v>
      </c>
      <c r="J528" s="7" t="s">
        <v>1</v>
      </c>
      <c r="K528" s="7" t="s">
        <v>20</v>
      </c>
      <c r="L528" s="7" t="s">
        <v>24</v>
      </c>
      <c r="M528" s="7" t="s">
        <v>51</v>
      </c>
      <c r="N528" s="7" t="s">
        <v>33</v>
      </c>
      <c r="O528" s="7" t="s">
        <v>52</v>
      </c>
      <c r="P528" s="7">
        <v>3</v>
      </c>
      <c r="Q528" s="9">
        <v>280</v>
      </c>
      <c r="R528" s="9">
        <v>336</v>
      </c>
      <c r="S528" s="10">
        <v>0.08</v>
      </c>
      <c r="T528" s="9">
        <v>927.36</v>
      </c>
      <c r="U528" s="9">
        <v>840</v>
      </c>
      <c r="V528" s="9">
        <v>87.36</v>
      </c>
      <c r="W528" s="10">
        <v>9.4202898550724598E-2</v>
      </c>
    </row>
    <row r="529" spans="1:23" x14ac:dyDescent="0.3">
      <c r="A529" s="7" t="s">
        <v>1829</v>
      </c>
      <c r="B529" s="7" t="s">
        <v>636</v>
      </c>
      <c r="C529" s="7" t="s">
        <v>1830</v>
      </c>
      <c r="D529" s="7" t="s">
        <v>1831</v>
      </c>
      <c r="E529" s="7" t="s">
        <v>114</v>
      </c>
      <c r="F529" s="8">
        <v>45825</v>
      </c>
      <c r="G529" s="8">
        <v>45825</v>
      </c>
      <c r="H529" s="8">
        <v>45829</v>
      </c>
      <c r="I529" s="7" t="s">
        <v>72</v>
      </c>
      <c r="J529" s="7" t="s">
        <v>2362</v>
      </c>
      <c r="K529" s="7" t="s">
        <v>21</v>
      </c>
      <c r="L529" s="7" t="s">
        <v>25</v>
      </c>
      <c r="M529" s="7" t="s">
        <v>51</v>
      </c>
      <c r="N529" s="7" t="s">
        <v>33</v>
      </c>
      <c r="O529" s="7" t="s">
        <v>52</v>
      </c>
      <c r="P529" s="7">
        <v>7</v>
      </c>
      <c r="Q529" s="9">
        <v>280</v>
      </c>
      <c r="R529" s="9">
        <v>336</v>
      </c>
      <c r="S529" s="10">
        <v>0.08</v>
      </c>
      <c r="T529" s="9">
        <v>2163.84</v>
      </c>
      <c r="U529" s="9">
        <v>1960</v>
      </c>
      <c r="V529" s="9">
        <v>203.84</v>
      </c>
      <c r="W529" s="10">
        <v>9.4202898550724598E-2</v>
      </c>
    </row>
    <row r="530" spans="1:23" x14ac:dyDescent="0.3">
      <c r="A530" s="7" t="s">
        <v>1832</v>
      </c>
      <c r="B530" s="7" t="s">
        <v>1108</v>
      </c>
      <c r="C530" s="7" t="s">
        <v>1833</v>
      </c>
      <c r="D530" s="7" t="s">
        <v>1546</v>
      </c>
      <c r="E530" s="7" t="s">
        <v>81</v>
      </c>
      <c r="F530" s="8">
        <v>45655</v>
      </c>
      <c r="G530" s="8">
        <v>45656</v>
      </c>
      <c r="H530" s="8">
        <v>45659</v>
      </c>
      <c r="I530" s="7" t="s">
        <v>72</v>
      </c>
      <c r="J530" s="7" t="s">
        <v>1</v>
      </c>
      <c r="K530" s="7" t="s">
        <v>21</v>
      </c>
      <c r="L530" s="7" t="s">
        <v>24</v>
      </c>
      <c r="M530" s="7" t="s">
        <v>59</v>
      </c>
      <c r="N530" s="7" t="s">
        <v>27</v>
      </c>
      <c r="O530" s="7" t="s">
        <v>60</v>
      </c>
      <c r="P530" s="7">
        <v>11</v>
      </c>
      <c r="Q530" s="9">
        <v>1230</v>
      </c>
      <c r="R530" s="9">
        <v>1328.4</v>
      </c>
      <c r="S530" s="10">
        <v>0.03</v>
      </c>
      <c r="T530" s="9">
        <v>14174.028</v>
      </c>
      <c r="U530" s="9">
        <v>13530</v>
      </c>
      <c r="V530" s="9">
        <v>644.02800000000002</v>
      </c>
      <c r="W530" s="10">
        <v>4.5437189767086703E-2</v>
      </c>
    </row>
    <row r="531" spans="1:23" x14ac:dyDescent="0.3">
      <c r="A531" s="7" t="s">
        <v>1834</v>
      </c>
      <c r="B531" s="7" t="s">
        <v>248</v>
      </c>
      <c r="C531" s="7" t="s">
        <v>1835</v>
      </c>
      <c r="D531" s="7" t="s">
        <v>1836</v>
      </c>
      <c r="E531" s="7" t="s">
        <v>192</v>
      </c>
      <c r="F531" s="8">
        <v>45641</v>
      </c>
      <c r="G531" s="8">
        <v>45641</v>
      </c>
      <c r="H531" s="8">
        <v>45646</v>
      </c>
      <c r="I531" s="7" t="s">
        <v>72</v>
      </c>
      <c r="J531" s="7" t="s">
        <v>2364</v>
      </c>
      <c r="K531" s="7" t="s">
        <v>21</v>
      </c>
      <c r="L531" s="7" t="s">
        <v>23</v>
      </c>
      <c r="M531" s="7" t="s">
        <v>46</v>
      </c>
      <c r="N531" s="7" t="s">
        <v>38</v>
      </c>
      <c r="O531" s="7" t="s">
        <v>45</v>
      </c>
      <c r="P531" s="7">
        <v>8</v>
      </c>
      <c r="Q531" s="9">
        <v>350</v>
      </c>
      <c r="R531" s="9">
        <v>364</v>
      </c>
      <c r="S531" s="10">
        <v>0.05</v>
      </c>
      <c r="T531" s="9">
        <v>2766.4</v>
      </c>
      <c r="U531" s="9">
        <v>2800</v>
      </c>
      <c r="V531" s="9">
        <v>-33.6</v>
      </c>
      <c r="W531" s="10">
        <v>-1.21457489878543E-2</v>
      </c>
    </row>
    <row r="532" spans="1:23" x14ac:dyDescent="0.3">
      <c r="A532" s="7" t="s">
        <v>1837</v>
      </c>
      <c r="B532" s="7" t="s">
        <v>810</v>
      </c>
      <c r="C532" s="7" t="s">
        <v>1838</v>
      </c>
      <c r="D532" s="7" t="s">
        <v>1839</v>
      </c>
      <c r="E532" s="7" t="s">
        <v>119</v>
      </c>
      <c r="F532" s="8">
        <v>45525</v>
      </c>
      <c r="G532" s="8">
        <v>45526</v>
      </c>
      <c r="H532" s="8">
        <v>45527</v>
      </c>
      <c r="I532" s="7" t="s">
        <v>72</v>
      </c>
      <c r="J532" s="7" t="s">
        <v>2364</v>
      </c>
      <c r="K532" s="7" t="s">
        <v>21</v>
      </c>
      <c r="L532" s="7" t="s">
        <v>23</v>
      </c>
      <c r="M532" s="7" t="s">
        <v>37</v>
      </c>
      <c r="N532" s="7" t="s">
        <v>38</v>
      </c>
      <c r="O532" s="7" t="s">
        <v>39</v>
      </c>
      <c r="P532" s="7">
        <v>9</v>
      </c>
      <c r="Q532" s="9">
        <v>250</v>
      </c>
      <c r="R532" s="9">
        <v>270</v>
      </c>
      <c r="S532" s="10">
        <v>0.04</v>
      </c>
      <c r="T532" s="9">
        <v>2332.8000000000002</v>
      </c>
      <c r="U532" s="9">
        <v>2250</v>
      </c>
      <c r="V532" s="9">
        <v>82.8</v>
      </c>
      <c r="W532" s="10">
        <v>3.5493827160493797E-2</v>
      </c>
    </row>
    <row r="533" spans="1:23" x14ac:dyDescent="0.3">
      <c r="A533" s="7" t="s">
        <v>1840</v>
      </c>
      <c r="B533" s="7" t="s">
        <v>1445</v>
      </c>
      <c r="C533" s="7" t="s">
        <v>1841</v>
      </c>
      <c r="D533" s="7" t="s">
        <v>1842</v>
      </c>
      <c r="E533" s="7" t="s">
        <v>291</v>
      </c>
      <c r="F533" s="8">
        <v>45929</v>
      </c>
      <c r="G533" s="8">
        <v>45930</v>
      </c>
      <c r="H533" s="8">
        <v>45934</v>
      </c>
      <c r="I533" s="7" t="s">
        <v>72</v>
      </c>
      <c r="J533" s="7" t="s">
        <v>2362</v>
      </c>
      <c r="K533" s="7" t="s">
        <v>19</v>
      </c>
      <c r="L533" s="7" t="s">
        <v>24</v>
      </c>
      <c r="M533" s="7" t="s">
        <v>57</v>
      </c>
      <c r="N533" s="7" t="s">
        <v>27</v>
      </c>
      <c r="O533" s="7" t="s">
        <v>58</v>
      </c>
      <c r="P533" s="7">
        <v>9</v>
      </c>
      <c r="Q533" s="9">
        <v>480</v>
      </c>
      <c r="R533" s="9">
        <v>513.6</v>
      </c>
      <c r="S533" s="10">
        <v>0</v>
      </c>
      <c r="T533" s="9">
        <v>4622.3999999999996</v>
      </c>
      <c r="U533" s="9">
        <v>4320</v>
      </c>
      <c r="V533" s="9">
        <v>302.39999999999998</v>
      </c>
      <c r="W533" s="10">
        <v>6.54205607476636E-2</v>
      </c>
    </row>
    <row r="534" spans="1:23" x14ac:dyDescent="0.3">
      <c r="A534" s="7" t="s">
        <v>1843</v>
      </c>
      <c r="B534" s="7" t="s">
        <v>679</v>
      </c>
      <c r="C534" s="7" t="s">
        <v>1844</v>
      </c>
      <c r="D534" s="7" t="s">
        <v>583</v>
      </c>
      <c r="E534" s="7" t="s">
        <v>164</v>
      </c>
      <c r="F534" s="8">
        <v>45688</v>
      </c>
      <c r="G534" s="8">
        <v>45688</v>
      </c>
      <c r="H534" s="8">
        <v>45693</v>
      </c>
      <c r="I534" s="7" t="s">
        <v>72</v>
      </c>
      <c r="J534" s="7" t="s">
        <v>2363</v>
      </c>
      <c r="K534" s="7" t="s">
        <v>19</v>
      </c>
      <c r="L534" s="7" t="s">
        <v>23</v>
      </c>
      <c r="M534" s="7" t="s">
        <v>43</v>
      </c>
      <c r="N534" s="7" t="s">
        <v>27</v>
      </c>
      <c r="O534" s="7" t="s">
        <v>31</v>
      </c>
      <c r="P534" s="7">
        <v>10</v>
      </c>
      <c r="Q534" s="9">
        <v>1630</v>
      </c>
      <c r="R534" s="9">
        <v>1744.1</v>
      </c>
      <c r="S534" s="10">
        <v>0.02</v>
      </c>
      <c r="T534" s="9">
        <v>17092.18</v>
      </c>
      <c r="U534" s="9">
        <v>16300</v>
      </c>
      <c r="V534" s="9">
        <v>792.18</v>
      </c>
      <c r="W534" s="10">
        <v>4.6347510967003597E-2</v>
      </c>
    </row>
    <row r="535" spans="1:23" x14ac:dyDescent="0.3">
      <c r="A535" s="7" t="s">
        <v>1845</v>
      </c>
      <c r="B535" s="7" t="s">
        <v>764</v>
      </c>
      <c r="C535" s="7" t="s">
        <v>1846</v>
      </c>
      <c r="D535" s="7" t="s">
        <v>1847</v>
      </c>
      <c r="E535" s="7" t="s">
        <v>71</v>
      </c>
      <c r="F535" s="8">
        <v>45553</v>
      </c>
      <c r="G535" s="8">
        <v>45553</v>
      </c>
      <c r="H535" s="8">
        <v>45555</v>
      </c>
      <c r="I535" s="7" t="s">
        <v>82</v>
      </c>
      <c r="J535" s="7" t="s">
        <v>1</v>
      </c>
      <c r="K535" s="7" t="s">
        <v>20</v>
      </c>
      <c r="L535" s="7" t="s">
        <v>25</v>
      </c>
      <c r="M535" s="7" t="s">
        <v>32</v>
      </c>
      <c r="N535" s="7" t="s">
        <v>33</v>
      </c>
      <c r="O535" s="7" t="s">
        <v>34</v>
      </c>
      <c r="P535" s="7">
        <v>2</v>
      </c>
      <c r="Q535" s="9">
        <v>730</v>
      </c>
      <c r="R535" s="9">
        <v>824.9</v>
      </c>
      <c r="S535" s="10">
        <v>0.09</v>
      </c>
      <c r="T535" s="9">
        <v>1501.318</v>
      </c>
      <c r="U535" s="9">
        <v>1460</v>
      </c>
      <c r="V535" s="9">
        <v>41.317999999999998</v>
      </c>
      <c r="W535" s="10">
        <v>2.7521151414956702E-2</v>
      </c>
    </row>
    <row r="536" spans="1:23" x14ac:dyDescent="0.3">
      <c r="A536" s="7" t="s">
        <v>1848</v>
      </c>
      <c r="B536" s="7" t="s">
        <v>134</v>
      </c>
      <c r="C536" s="7" t="s">
        <v>1849</v>
      </c>
      <c r="D536" s="7" t="s">
        <v>1850</v>
      </c>
      <c r="E536" s="7" t="s">
        <v>178</v>
      </c>
      <c r="F536" s="8">
        <v>45404</v>
      </c>
      <c r="G536" s="8">
        <v>45404</v>
      </c>
      <c r="H536" s="8">
        <v>45409</v>
      </c>
      <c r="I536" s="7" t="s">
        <v>82</v>
      </c>
      <c r="J536" s="7" t="s">
        <v>2</v>
      </c>
      <c r="K536" s="7" t="s">
        <v>19</v>
      </c>
      <c r="L536" s="7" t="s">
        <v>22</v>
      </c>
      <c r="M536" s="7" t="s">
        <v>47</v>
      </c>
      <c r="N536" s="7" t="s">
        <v>38</v>
      </c>
      <c r="O536" s="7" t="s">
        <v>39</v>
      </c>
      <c r="P536" s="7">
        <v>3</v>
      </c>
      <c r="Q536" s="9">
        <v>390</v>
      </c>
      <c r="R536" s="9">
        <v>468</v>
      </c>
      <c r="S536" s="10">
        <v>0.01</v>
      </c>
      <c r="T536" s="9">
        <v>1389.96</v>
      </c>
      <c r="U536" s="9">
        <v>1170</v>
      </c>
      <c r="V536" s="9">
        <v>219.96</v>
      </c>
      <c r="W536" s="10">
        <v>0.158249158249158</v>
      </c>
    </row>
    <row r="537" spans="1:23" x14ac:dyDescent="0.3">
      <c r="A537" s="7" t="s">
        <v>1851</v>
      </c>
      <c r="B537" s="7" t="s">
        <v>1852</v>
      </c>
      <c r="C537" s="7" t="s">
        <v>1853</v>
      </c>
      <c r="D537" s="7" t="s">
        <v>1854</v>
      </c>
      <c r="E537" s="7" t="s">
        <v>77</v>
      </c>
      <c r="F537" s="8">
        <v>45947</v>
      </c>
      <c r="G537" s="8">
        <v>45948</v>
      </c>
      <c r="H537" s="8">
        <v>45952</v>
      </c>
      <c r="I537" s="7" t="s">
        <v>82</v>
      </c>
      <c r="J537" s="7" t="s">
        <v>1</v>
      </c>
      <c r="K537" s="7" t="s">
        <v>19</v>
      </c>
      <c r="L537" s="7" t="s">
        <v>25</v>
      </c>
      <c r="M537" s="7" t="s">
        <v>44</v>
      </c>
      <c r="N537" s="7" t="s">
        <v>38</v>
      </c>
      <c r="O537" s="7" t="s">
        <v>45</v>
      </c>
      <c r="P537" s="7">
        <v>2</v>
      </c>
      <c r="Q537" s="9">
        <v>210</v>
      </c>
      <c r="R537" s="9">
        <v>222.6</v>
      </c>
      <c r="S537" s="10">
        <v>0.04</v>
      </c>
      <c r="T537" s="9">
        <v>427.392</v>
      </c>
      <c r="U537" s="9">
        <v>420</v>
      </c>
      <c r="V537" s="9">
        <v>7.3920000000000003</v>
      </c>
      <c r="W537" s="10">
        <v>1.7295597484276701E-2</v>
      </c>
    </row>
    <row r="538" spans="1:23" x14ac:dyDescent="0.3">
      <c r="A538" s="7" t="s">
        <v>1855</v>
      </c>
      <c r="B538" s="7" t="s">
        <v>1316</v>
      </c>
      <c r="C538" s="7" t="s">
        <v>1856</v>
      </c>
      <c r="D538" s="7" t="s">
        <v>1857</v>
      </c>
      <c r="E538" s="7" t="s">
        <v>81</v>
      </c>
      <c r="F538" s="8">
        <v>46096</v>
      </c>
      <c r="G538" s="8">
        <v>46096</v>
      </c>
      <c r="H538" s="8">
        <v>46098</v>
      </c>
      <c r="I538" s="7" t="s">
        <v>72</v>
      </c>
      <c r="J538" s="7" t="s">
        <v>2364</v>
      </c>
      <c r="K538" s="7" t="s">
        <v>21</v>
      </c>
      <c r="L538" s="7" t="s">
        <v>24</v>
      </c>
      <c r="M538" s="7" t="s">
        <v>59</v>
      </c>
      <c r="N538" s="7" t="s">
        <v>27</v>
      </c>
      <c r="O538" s="7" t="s">
        <v>60</v>
      </c>
      <c r="P538" s="7">
        <v>13</v>
      </c>
      <c r="Q538" s="9">
        <v>1230</v>
      </c>
      <c r="R538" s="9">
        <v>1328.4</v>
      </c>
      <c r="S538" s="10">
        <v>0.01</v>
      </c>
      <c r="T538" s="9">
        <v>17096.508000000002</v>
      </c>
      <c r="U538" s="9">
        <v>15990</v>
      </c>
      <c r="V538" s="9">
        <v>1106.508</v>
      </c>
      <c r="W538" s="10">
        <v>6.4721286943509204E-2</v>
      </c>
    </row>
    <row r="539" spans="1:23" x14ac:dyDescent="0.3">
      <c r="A539" s="7" t="s">
        <v>1858</v>
      </c>
      <c r="B539" s="7" t="s">
        <v>585</v>
      </c>
      <c r="C539" s="7" t="s">
        <v>1859</v>
      </c>
      <c r="D539" s="7" t="s">
        <v>1860</v>
      </c>
      <c r="E539" s="7" t="s">
        <v>132</v>
      </c>
      <c r="F539" s="8">
        <v>45762</v>
      </c>
      <c r="G539" s="8">
        <v>45762</v>
      </c>
      <c r="H539" s="8">
        <v>45765</v>
      </c>
      <c r="I539" s="7" t="s">
        <v>72</v>
      </c>
      <c r="J539" s="7" t="s">
        <v>2362</v>
      </c>
      <c r="K539" s="7" t="s">
        <v>20</v>
      </c>
      <c r="L539" s="7" t="s">
        <v>22</v>
      </c>
      <c r="M539" s="7" t="s">
        <v>2366</v>
      </c>
      <c r="N539" s="7" t="s">
        <v>27</v>
      </c>
      <c r="O539" s="7" t="s">
        <v>54</v>
      </c>
      <c r="P539" s="7">
        <v>9</v>
      </c>
      <c r="Q539" s="9">
        <v>430</v>
      </c>
      <c r="R539" s="9">
        <v>455.8</v>
      </c>
      <c r="S539" s="10">
        <v>0.08</v>
      </c>
      <c r="T539" s="9">
        <v>3774.0239999999999</v>
      </c>
      <c r="U539" s="9">
        <v>3870</v>
      </c>
      <c r="V539" s="9">
        <v>-95.975999999999999</v>
      </c>
      <c r="W539" s="10">
        <v>-2.5430680885972098E-2</v>
      </c>
    </row>
    <row r="540" spans="1:23" x14ac:dyDescent="0.3">
      <c r="A540" s="7" t="s">
        <v>1861</v>
      </c>
      <c r="B540" s="7" t="s">
        <v>385</v>
      </c>
      <c r="C540" s="7" t="s">
        <v>1862</v>
      </c>
      <c r="D540" s="7" t="s">
        <v>1863</v>
      </c>
      <c r="E540" s="7" t="s">
        <v>81</v>
      </c>
      <c r="F540" s="8">
        <v>46127</v>
      </c>
      <c r="G540" s="8">
        <v>46127</v>
      </c>
      <c r="H540" s="8">
        <v>46131</v>
      </c>
      <c r="I540" s="7" t="s">
        <v>72</v>
      </c>
      <c r="J540" s="7" t="s">
        <v>2364</v>
      </c>
      <c r="K540" s="7" t="s">
        <v>21</v>
      </c>
      <c r="L540" s="7" t="s">
        <v>25</v>
      </c>
      <c r="M540" s="7" t="s">
        <v>59</v>
      </c>
      <c r="N540" s="7" t="s">
        <v>27</v>
      </c>
      <c r="O540" s="7" t="s">
        <v>60</v>
      </c>
      <c r="P540" s="7">
        <v>8</v>
      </c>
      <c r="Q540" s="9">
        <v>1230</v>
      </c>
      <c r="R540" s="9">
        <v>1328.4</v>
      </c>
      <c r="S540" s="10">
        <v>0.04</v>
      </c>
      <c r="T540" s="9">
        <v>10202.111999999999</v>
      </c>
      <c r="U540" s="9">
        <v>9840</v>
      </c>
      <c r="V540" s="9">
        <v>362.11200000000002</v>
      </c>
      <c r="W540" s="10">
        <v>3.5493827160493797E-2</v>
      </c>
    </row>
    <row r="541" spans="1:23" x14ac:dyDescent="0.3">
      <c r="A541" s="7" t="s">
        <v>1864</v>
      </c>
      <c r="B541" s="7" t="s">
        <v>538</v>
      </c>
      <c r="C541" s="7" t="s">
        <v>1865</v>
      </c>
      <c r="D541" s="7" t="s">
        <v>1866</v>
      </c>
      <c r="E541" s="7" t="s">
        <v>192</v>
      </c>
      <c r="F541" s="8">
        <v>46184</v>
      </c>
      <c r="G541" s="8">
        <v>46184</v>
      </c>
      <c r="H541" s="8">
        <v>46186</v>
      </c>
      <c r="I541" s="7" t="s">
        <v>72</v>
      </c>
      <c r="J541" s="7" t="s">
        <v>2363</v>
      </c>
      <c r="K541" s="7" t="s">
        <v>20</v>
      </c>
      <c r="L541" s="7" t="s">
        <v>61</v>
      </c>
      <c r="M541" s="7" t="s">
        <v>46</v>
      </c>
      <c r="N541" s="7" t="s">
        <v>38</v>
      </c>
      <c r="O541" s="7" t="s">
        <v>45</v>
      </c>
      <c r="P541" s="7">
        <v>9</v>
      </c>
      <c r="Q541" s="9">
        <v>350</v>
      </c>
      <c r="R541" s="9">
        <v>364</v>
      </c>
      <c r="S541" s="10">
        <v>0.01</v>
      </c>
      <c r="T541" s="9">
        <v>3243.24</v>
      </c>
      <c r="U541" s="9">
        <v>3150</v>
      </c>
      <c r="V541" s="9">
        <v>93.24</v>
      </c>
      <c r="W541" s="10">
        <v>2.87490287490288E-2</v>
      </c>
    </row>
    <row r="542" spans="1:23" x14ac:dyDescent="0.3">
      <c r="A542" s="7" t="s">
        <v>1867</v>
      </c>
      <c r="B542" s="7" t="s">
        <v>454</v>
      </c>
      <c r="C542" s="7" t="s">
        <v>1868</v>
      </c>
      <c r="D542" s="7" t="s">
        <v>1869</v>
      </c>
      <c r="E542" s="7" t="s">
        <v>164</v>
      </c>
      <c r="F542" s="8">
        <v>45315</v>
      </c>
      <c r="G542" s="8">
        <v>45316</v>
      </c>
      <c r="H542" s="8">
        <v>45320</v>
      </c>
      <c r="I542" s="7" t="s">
        <v>72</v>
      </c>
      <c r="J542" s="7" t="s">
        <v>2363</v>
      </c>
      <c r="K542" s="7" t="s">
        <v>20</v>
      </c>
      <c r="L542" s="7" t="s">
        <v>24</v>
      </c>
      <c r="M542" s="7" t="s">
        <v>43</v>
      </c>
      <c r="N542" s="7" t="s">
        <v>27</v>
      </c>
      <c r="O542" s="7" t="s">
        <v>31</v>
      </c>
      <c r="P542" s="7">
        <v>5</v>
      </c>
      <c r="Q542" s="9">
        <v>1630</v>
      </c>
      <c r="R542" s="9">
        <v>1744.1</v>
      </c>
      <c r="S542" s="10">
        <v>0.01</v>
      </c>
      <c r="T542" s="9">
        <v>8633.2950000000001</v>
      </c>
      <c r="U542" s="9">
        <v>8150</v>
      </c>
      <c r="V542" s="9">
        <v>483.29500000000002</v>
      </c>
      <c r="W542" s="10">
        <v>5.5980364391579301E-2</v>
      </c>
    </row>
    <row r="543" spans="1:23" x14ac:dyDescent="0.3">
      <c r="A543" s="7" t="s">
        <v>1870</v>
      </c>
      <c r="B543" s="7" t="s">
        <v>143</v>
      </c>
      <c r="C543" s="7" t="s">
        <v>1871</v>
      </c>
      <c r="D543" s="7" t="s">
        <v>1872</v>
      </c>
      <c r="E543" s="7" t="s">
        <v>77</v>
      </c>
      <c r="F543" s="8">
        <v>45660</v>
      </c>
      <c r="G543" s="8">
        <v>45660</v>
      </c>
      <c r="H543" s="8">
        <v>45665</v>
      </c>
      <c r="I543" s="7" t="s">
        <v>82</v>
      </c>
      <c r="J543" s="7" t="s">
        <v>2362</v>
      </c>
      <c r="K543" s="7" t="s">
        <v>20</v>
      </c>
      <c r="L543" s="7" t="s">
        <v>61</v>
      </c>
      <c r="M543" s="7" t="s">
        <v>44</v>
      </c>
      <c r="N543" s="7" t="s">
        <v>38</v>
      </c>
      <c r="O543" s="7" t="s">
        <v>45</v>
      </c>
      <c r="P543" s="7">
        <v>4</v>
      </c>
      <c r="Q543" s="9">
        <v>210</v>
      </c>
      <c r="R543" s="9">
        <v>222.6</v>
      </c>
      <c r="S543" s="10">
        <v>0.01</v>
      </c>
      <c r="T543" s="9">
        <v>881.49599999999998</v>
      </c>
      <c r="U543" s="9">
        <v>840</v>
      </c>
      <c r="V543" s="9">
        <v>41.496000000000002</v>
      </c>
      <c r="W543" s="10">
        <v>4.7074518772632003E-2</v>
      </c>
    </row>
    <row r="544" spans="1:23" x14ac:dyDescent="0.3">
      <c r="A544" s="7" t="s">
        <v>1873</v>
      </c>
      <c r="B544" s="7" t="s">
        <v>271</v>
      </c>
      <c r="C544" s="7" t="s">
        <v>1874</v>
      </c>
      <c r="D544" s="7" t="s">
        <v>1491</v>
      </c>
      <c r="E544" s="7" t="s">
        <v>87</v>
      </c>
      <c r="F544" s="8">
        <v>45852</v>
      </c>
      <c r="G544" s="8">
        <v>45853</v>
      </c>
      <c r="H544" s="8">
        <v>45857</v>
      </c>
      <c r="I544" s="7" t="s">
        <v>72</v>
      </c>
      <c r="J544" s="7" t="s">
        <v>1</v>
      </c>
      <c r="K544" s="7" t="s">
        <v>21</v>
      </c>
      <c r="L544" s="7" t="s">
        <v>22</v>
      </c>
      <c r="M544" s="7" t="s">
        <v>30</v>
      </c>
      <c r="N544" s="7" t="s">
        <v>27</v>
      </c>
      <c r="O544" s="7" t="s">
        <v>31</v>
      </c>
      <c r="P544" s="7">
        <v>15</v>
      </c>
      <c r="Q544" s="9">
        <v>1030</v>
      </c>
      <c r="R544" s="9">
        <v>1174.2</v>
      </c>
      <c r="S544" s="10">
        <v>0.03</v>
      </c>
      <c r="T544" s="9">
        <v>17084.61</v>
      </c>
      <c r="U544" s="9">
        <v>15450</v>
      </c>
      <c r="V544" s="9">
        <v>1634.61</v>
      </c>
      <c r="W544" s="10">
        <v>9.5677337674082097E-2</v>
      </c>
    </row>
    <row r="545" spans="1:23" x14ac:dyDescent="0.3">
      <c r="A545" s="7" t="s">
        <v>1875</v>
      </c>
      <c r="B545" s="7" t="s">
        <v>252</v>
      </c>
      <c r="C545" s="7" t="s">
        <v>1876</v>
      </c>
      <c r="D545" s="7" t="s">
        <v>1877</v>
      </c>
      <c r="E545" s="7" t="s">
        <v>100</v>
      </c>
      <c r="F545" s="8">
        <v>45409</v>
      </c>
      <c r="G545" s="8">
        <v>45409</v>
      </c>
      <c r="H545" s="8">
        <v>45412</v>
      </c>
      <c r="I545" s="7" t="s">
        <v>72</v>
      </c>
      <c r="J545" s="7" t="s">
        <v>2362</v>
      </c>
      <c r="K545" s="7" t="s">
        <v>19</v>
      </c>
      <c r="L545" s="7" t="s">
        <v>61</v>
      </c>
      <c r="M545" s="7" t="s">
        <v>42</v>
      </c>
      <c r="N545" s="7" t="s">
        <v>27</v>
      </c>
      <c r="O545" s="7" t="s">
        <v>28</v>
      </c>
      <c r="P545" s="7">
        <v>10</v>
      </c>
      <c r="Q545" s="9">
        <v>3030</v>
      </c>
      <c r="R545" s="9">
        <v>3211.8</v>
      </c>
      <c r="S545" s="10">
        <v>0.02</v>
      </c>
      <c r="T545" s="9">
        <v>31475.64</v>
      </c>
      <c r="U545" s="9">
        <v>30300</v>
      </c>
      <c r="V545" s="9">
        <v>1175.6400000000001</v>
      </c>
      <c r="W545" s="10">
        <v>3.73507893723527E-2</v>
      </c>
    </row>
    <row r="546" spans="1:23" x14ac:dyDescent="0.3">
      <c r="A546" s="7" t="s">
        <v>1878</v>
      </c>
      <c r="B546" s="7" t="s">
        <v>478</v>
      </c>
      <c r="C546" s="7" t="s">
        <v>1879</v>
      </c>
      <c r="D546" s="7" t="s">
        <v>1880</v>
      </c>
      <c r="E546" s="7" t="s">
        <v>187</v>
      </c>
      <c r="F546" s="8">
        <v>45730</v>
      </c>
      <c r="G546" s="8">
        <v>45730</v>
      </c>
      <c r="H546" s="8">
        <v>45732</v>
      </c>
      <c r="I546" s="7" t="s">
        <v>82</v>
      </c>
      <c r="J546" s="7" t="s">
        <v>2363</v>
      </c>
      <c r="K546" s="7" t="s">
        <v>19</v>
      </c>
      <c r="L546" s="7" t="s">
        <v>61</v>
      </c>
      <c r="M546" s="7" t="s">
        <v>2367</v>
      </c>
      <c r="N546" s="7" t="s">
        <v>38</v>
      </c>
      <c r="O546" s="7" t="s">
        <v>41</v>
      </c>
      <c r="P546" s="7">
        <v>4</v>
      </c>
      <c r="Q546" s="9">
        <v>170</v>
      </c>
      <c r="R546" s="9">
        <v>188.7</v>
      </c>
      <c r="S546" s="10">
        <v>0.04</v>
      </c>
      <c r="T546" s="9">
        <v>724.60799999999995</v>
      </c>
      <c r="U546" s="9">
        <v>680</v>
      </c>
      <c r="V546" s="9">
        <v>44.607999999999997</v>
      </c>
      <c r="W546" s="10">
        <v>6.1561561561561597E-2</v>
      </c>
    </row>
    <row r="547" spans="1:23" x14ac:dyDescent="0.3">
      <c r="A547" s="7" t="s">
        <v>1881</v>
      </c>
      <c r="B547" s="7" t="s">
        <v>679</v>
      </c>
      <c r="C547" s="7" t="s">
        <v>1882</v>
      </c>
      <c r="D547" s="7" t="s">
        <v>1067</v>
      </c>
      <c r="E547" s="7" t="s">
        <v>164</v>
      </c>
      <c r="F547" s="8">
        <v>45957</v>
      </c>
      <c r="G547" s="8">
        <v>45958</v>
      </c>
      <c r="H547" s="8">
        <v>45962</v>
      </c>
      <c r="I547" s="7" t="s">
        <v>82</v>
      </c>
      <c r="J547" s="7" t="s">
        <v>2364</v>
      </c>
      <c r="K547" s="7" t="s">
        <v>20</v>
      </c>
      <c r="L547" s="7" t="s">
        <v>24</v>
      </c>
      <c r="M547" s="7" t="s">
        <v>43</v>
      </c>
      <c r="N547" s="7" t="s">
        <v>27</v>
      </c>
      <c r="O547" s="7" t="s">
        <v>31</v>
      </c>
      <c r="P547" s="7">
        <v>4</v>
      </c>
      <c r="Q547" s="9">
        <v>1630</v>
      </c>
      <c r="R547" s="9">
        <v>1744.1</v>
      </c>
      <c r="S547" s="10">
        <v>0.06</v>
      </c>
      <c r="T547" s="9">
        <v>6557.8159999999998</v>
      </c>
      <c r="U547" s="9">
        <v>6520</v>
      </c>
      <c r="V547" s="9">
        <v>37.816000000000003</v>
      </c>
      <c r="W547" s="10">
        <v>5.7665539868761197E-3</v>
      </c>
    </row>
    <row r="548" spans="1:23" x14ac:dyDescent="0.3">
      <c r="A548" s="7" t="s">
        <v>1883</v>
      </c>
      <c r="B548" s="7" t="s">
        <v>121</v>
      </c>
      <c r="C548" s="7" t="s">
        <v>1884</v>
      </c>
      <c r="D548" s="7" t="s">
        <v>1885</v>
      </c>
      <c r="E548" s="7" t="s">
        <v>95</v>
      </c>
      <c r="F548" s="8">
        <v>45741</v>
      </c>
      <c r="G548" s="8">
        <v>45741</v>
      </c>
      <c r="H548" s="8">
        <v>45743</v>
      </c>
      <c r="I548" s="7" t="s">
        <v>72</v>
      </c>
      <c r="J548" s="7" t="s">
        <v>2363</v>
      </c>
      <c r="K548" s="7" t="s">
        <v>20</v>
      </c>
      <c r="L548" s="7" t="s">
        <v>22</v>
      </c>
      <c r="M548" s="7" t="s">
        <v>49</v>
      </c>
      <c r="N548" s="7" t="s">
        <v>33</v>
      </c>
      <c r="O548" s="7" t="s">
        <v>34</v>
      </c>
      <c r="P548" s="7">
        <v>5</v>
      </c>
      <c r="Q548" s="9">
        <v>1080</v>
      </c>
      <c r="R548" s="9">
        <v>1112.4000000000001</v>
      </c>
      <c r="S548" s="10">
        <v>0.03</v>
      </c>
      <c r="T548" s="9">
        <v>5395.14</v>
      </c>
      <c r="U548" s="9">
        <v>5400</v>
      </c>
      <c r="V548" s="9">
        <v>-4.8600000000000003</v>
      </c>
      <c r="W548" s="10">
        <v>-9.0081072965669101E-4</v>
      </c>
    </row>
    <row r="549" spans="1:23" x14ac:dyDescent="0.3">
      <c r="A549" s="7" t="s">
        <v>1886</v>
      </c>
      <c r="B549" s="7" t="s">
        <v>1006</v>
      </c>
      <c r="C549" s="7" t="s">
        <v>1887</v>
      </c>
      <c r="D549" s="7" t="s">
        <v>1888</v>
      </c>
      <c r="E549" s="7" t="s">
        <v>114</v>
      </c>
      <c r="F549" s="8">
        <v>45938</v>
      </c>
      <c r="G549" s="8">
        <v>45938</v>
      </c>
      <c r="H549" s="8">
        <v>45942</v>
      </c>
      <c r="I549" s="7" t="s">
        <v>82</v>
      </c>
      <c r="J549" s="7" t="s">
        <v>2</v>
      </c>
      <c r="K549" s="7" t="s">
        <v>19</v>
      </c>
      <c r="L549" s="7" t="s">
        <v>23</v>
      </c>
      <c r="M549" s="7" t="s">
        <v>51</v>
      </c>
      <c r="N549" s="7" t="s">
        <v>33</v>
      </c>
      <c r="O549" s="7" t="s">
        <v>52</v>
      </c>
      <c r="P549" s="7">
        <v>2</v>
      </c>
      <c r="Q549" s="9">
        <v>280</v>
      </c>
      <c r="R549" s="9">
        <v>336</v>
      </c>
      <c r="S549" s="10">
        <v>0.03</v>
      </c>
      <c r="T549" s="9">
        <v>651.84</v>
      </c>
      <c r="U549" s="9">
        <v>560</v>
      </c>
      <c r="V549" s="9">
        <v>91.84</v>
      </c>
      <c r="W549" s="10">
        <v>0.14089347079037801</v>
      </c>
    </row>
    <row r="550" spans="1:23" x14ac:dyDescent="0.3">
      <c r="A550" s="7" t="s">
        <v>1889</v>
      </c>
      <c r="B550" s="7" t="s">
        <v>315</v>
      </c>
      <c r="C550" s="7" t="s">
        <v>1890</v>
      </c>
      <c r="D550" s="7" t="s">
        <v>1891</v>
      </c>
      <c r="E550" s="7" t="s">
        <v>100</v>
      </c>
      <c r="F550" s="8">
        <v>45554</v>
      </c>
      <c r="G550" s="8">
        <v>45555</v>
      </c>
      <c r="H550" s="8">
        <v>45559</v>
      </c>
      <c r="I550" s="7" t="s">
        <v>72</v>
      </c>
      <c r="J550" s="7" t="s">
        <v>2363</v>
      </c>
      <c r="K550" s="7" t="s">
        <v>20</v>
      </c>
      <c r="L550" s="7" t="s">
        <v>22</v>
      </c>
      <c r="M550" s="7" t="s">
        <v>42</v>
      </c>
      <c r="N550" s="7" t="s">
        <v>27</v>
      </c>
      <c r="O550" s="7" t="s">
        <v>28</v>
      </c>
      <c r="P550" s="7">
        <v>5</v>
      </c>
      <c r="Q550" s="9">
        <v>3030</v>
      </c>
      <c r="R550" s="9">
        <v>3211.8</v>
      </c>
      <c r="S550" s="10">
        <v>0</v>
      </c>
      <c r="T550" s="9">
        <v>16059</v>
      </c>
      <c r="U550" s="9">
        <v>15150</v>
      </c>
      <c r="V550" s="9">
        <v>909</v>
      </c>
      <c r="W550" s="10">
        <v>5.6603773584905703E-2</v>
      </c>
    </row>
    <row r="551" spans="1:23" x14ac:dyDescent="0.3">
      <c r="A551" s="7" t="s">
        <v>1892</v>
      </c>
      <c r="B551" s="7" t="s">
        <v>709</v>
      </c>
      <c r="C551" s="7" t="s">
        <v>1893</v>
      </c>
      <c r="D551" s="7" t="s">
        <v>1894</v>
      </c>
      <c r="E551" s="7" t="s">
        <v>95</v>
      </c>
      <c r="F551" s="8">
        <v>45497</v>
      </c>
      <c r="G551" s="8">
        <v>45498</v>
      </c>
      <c r="H551" s="8">
        <v>45500</v>
      </c>
      <c r="I551" s="7" t="s">
        <v>82</v>
      </c>
      <c r="J551" s="7" t="s">
        <v>1</v>
      </c>
      <c r="K551" s="7" t="s">
        <v>19</v>
      </c>
      <c r="L551" s="7" t="s">
        <v>22</v>
      </c>
      <c r="M551" s="7" t="s">
        <v>49</v>
      </c>
      <c r="N551" s="7" t="s">
        <v>33</v>
      </c>
      <c r="O551" s="7" t="s">
        <v>34</v>
      </c>
      <c r="P551" s="7">
        <v>2</v>
      </c>
      <c r="Q551" s="9">
        <v>1080</v>
      </c>
      <c r="R551" s="9">
        <v>1112.4000000000001</v>
      </c>
      <c r="S551" s="10">
        <v>0.05</v>
      </c>
      <c r="T551" s="9">
        <v>2113.56</v>
      </c>
      <c r="U551" s="9">
        <v>2160</v>
      </c>
      <c r="V551" s="9">
        <v>-46.44</v>
      </c>
      <c r="W551" s="10">
        <v>-2.1972406745017901E-2</v>
      </c>
    </row>
    <row r="552" spans="1:23" x14ac:dyDescent="0.3">
      <c r="A552" s="7" t="s">
        <v>1895</v>
      </c>
      <c r="B552" s="7" t="s">
        <v>1167</v>
      </c>
      <c r="C552" s="7" t="s">
        <v>1896</v>
      </c>
      <c r="D552" s="7" t="s">
        <v>1897</v>
      </c>
      <c r="E552" s="7" t="s">
        <v>87</v>
      </c>
      <c r="F552" s="8">
        <v>45921</v>
      </c>
      <c r="G552" s="8">
        <v>45921</v>
      </c>
      <c r="H552" s="8">
        <v>45926</v>
      </c>
      <c r="I552" s="7" t="s">
        <v>82</v>
      </c>
      <c r="J552" s="7" t="s">
        <v>2362</v>
      </c>
      <c r="K552" s="7" t="s">
        <v>19</v>
      </c>
      <c r="L552" s="7" t="s">
        <v>25</v>
      </c>
      <c r="M552" s="7" t="s">
        <v>30</v>
      </c>
      <c r="N552" s="7" t="s">
        <v>27</v>
      </c>
      <c r="O552" s="7" t="s">
        <v>31</v>
      </c>
      <c r="P552" s="7">
        <v>1</v>
      </c>
      <c r="Q552" s="9">
        <v>1030</v>
      </c>
      <c r="R552" s="9">
        <v>1174.2</v>
      </c>
      <c r="S552" s="10">
        <v>0.08</v>
      </c>
      <c r="T552" s="9">
        <v>1080.2639999999999</v>
      </c>
      <c r="U552" s="9">
        <v>1030</v>
      </c>
      <c r="V552" s="9">
        <v>50.264000000000003</v>
      </c>
      <c r="W552" s="10">
        <v>4.6529366895499601E-2</v>
      </c>
    </row>
    <row r="553" spans="1:23" x14ac:dyDescent="0.3">
      <c r="A553" s="7" t="s">
        <v>1898</v>
      </c>
      <c r="B553" s="7" t="s">
        <v>97</v>
      </c>
      <c r="C553" s="7" t="s">
        <v>1899</v>
      </c>
      <c r="D553" s="7" t="s">
        <v>1900</v>
      </c>
      <c r="E553" s="7" t="s">
        <v>164</v>
      </c>
      <c r="F553" s="8">
        <v>45351</v>
      </c>
      <c r="G553" s="8">
        <v>45352</v>
      </c>
      <c r="H553" s="8">
        <v>45355</v>
      </c>
      <c r="I553" s="7" t="s">
        <v>82</v>
      </c>
      <c r="J553" s="7" t="s">
        <v>1</v>
      </c>
      <c r="K553" s="7" t="s">
        <v>19</v>
      </c>
      <c r="L553" s="7" t="s">
        <v>24</v>
      </c>
      <c r="M553" s="7" t="s">
        <v>43</v>
      </c>
      <c r="N553" s="7" t="s">
        <v>27</v>
      </c>
      <c r="O553" s="7" t="s">
        <v>31</v>
      </c>
      <c r="P553" s="7">
        <v>3</v>
      </c>
      <c r="Q553" s="9">
        <v>1630</v>
      </c>
      <c r="R553" s="9">
        <v>1744.1</v>
      </c>
      <c r="S553" s="10">
        <v>0.09</v>
      </c>
      <c r="T553" s="9">
        <v>4761.393</v>
      </c>
      <c r="U553" s="9">
        <v>4890</v>
      </c>
      <c r="V553" s="9">
        <v>-128.607</v>
      </c>
      <c r="W553" s="10">
        <v>-2.7010372804765301E-2</v>
      </c>
    </row>
    <row r="554" spans="1:23" x14ac:dyDescent="0.3">
      <c r="A554" s="7" t="s">
        <v>1901</v>
      </c>
      <c r="B554" s="7" t="s">
        <v>1065</v>
      </c>
      <c r="C554" s="7" t="s">
        <v>1902</v>
      </c>
      <c r="D554" s="7" t="s">
        <v>1903</v>
      </c>
      <c r="E554" s="7" t="s">
        <v>100</v>
      </c>
      <c r="F554" s="8">
        <v>45884</v>
      </c>
      <c r="G554" s="8">
        <v>45884</v>
      </c>
      <c r="H554" s="8">
        <v>45887</v>
      </c>
      <c r="I554" s="7" t="s">
        <v>82</v>
      </c>
      <c r="J554" s="7" t="s">
        <v>2364</v>
      </c>
      <c r="K554" s="7" t="s">
        <v>20</v>
      </c>
      <c r="L554" s="7" t="s">
        <v>22</v>
      </c>
      <c r="M554" s="7" t="s">
        <v>42</v>
      </c>
      <c r="N554" s="7" t="s">
        <v>27</v>
      </c>
      <c r="O554" s="7" t="s">
        <v>28</v>
      </c>
      <c r="P554" s="7">
        <v>2</v>
      </c>
      <c r="Q554" s="9">
        <v>3030</v>
      </c>
      <c r="R554" s="9">
        <v>3211.8</v>
      </c>
      <c r="S554" s="10">
        <v>0.1</v>
      </c>
      <c r="T554" s="9">
        <v>5781.24</v>
      </c>
      <c r="U554" s="9">
        <v>6060</v>
      </c>
      <c r="V554" s="9">
        <v>-278.76</v>
      </c>
      <c r="W554" s="10">
        <v>-4.8218029350104802E-2</v>
      </c>
    </row>
    <row r="555" spans="1:23" x14ac:dyDescent="0.3">
      <c r="A555" s="7" t="s">
        <v>1904</v>
      </c>
      <c r="B555" s="7" t="s">
        <v>1226</v>
      </c>
      <c r="C555" s="7" t="s">
        <v>1905</v>
      </c>
      <c r="D555" s="7" t="s">
        <v>969</v>
      </c>
      <c r="E555" s="7" t="s">
        <v>109</v>
      </c>
      <c r="F555" s="8">
        <v>45296</v>
      </c>
      <c r="G555" s="8">
        <v>45297</v>
      </c>
      <c r="H555" s="8">
        <v>45298</v>
      </c>
      <c r="I555" s="7" t="s">
        <v>72</v>
      </c>
      <c r="J555" s="7" t="s">
        <v>2364</v>
      </c>
      <c r="K555" s="7" t="s">
        <v>20</v>
      </c>
      <c r="L555" s="7" t="s">
        <v>24</v>
      </c>
      <c r="M555" s="7" t="s">
        <v>2365</v>
      </c>
      <c r="N555" s="7" t="s">
        <v>27</v>
      </c>
      <c r="O555" s="7" t="s">
        <v>56</v>
      </c>
      <c r="P555" s="7">
        <v>5</v>
      </c>
      <c r="Q555" s="9">
        <v>650</v>
      </c>
      <c r="R555" s="9">
        <v>663</v>
      </c>
      <c r="S555" s="10">
        <v>0.02</v>
      </c>
      <c r="T555" s="9">
        <v>3248.7</v>
      </c>
      <c r="U555" s="9">
        <v>3250</v>
      </c>
      <c r="V555" s="9">
        <v>-1.3</v>
      </c>
      <c r="W555" s="10">
        <v>-4.0016006402561E-4</v>
      </c>
    </row>
    <row r="556" spans="1:23" x14ac:dyDescent="0.3">
      <c r="A556" s="7" t="s">
        <v>1906</v>
      </c>
      <c r="B556" s="7" t="s">
        <v>377</v>
      </c>
      <c r="C556" s="7" t="s">
        <v>1907</v>
      </c>
      <c r="D556" s="7" t="s">
        <v>1908</v>
      </c>
      <c r="E556" s="7" t="s">
        <v>109</v>
      </c>
      <c r="F556" s="8">
        <v>45604</v>
      </c>
      <c r="G556" s="8">
        <v>45604</v>
      </c>
      <c r="H556" s="8">
        <v>45609</v>
      </c>
      <c r="I556" s="7" t="s">
        <v>72</v>
      </c>
      <c r="J556" s="7" t="s">
        <v>1</v>
      </c>
      <c r="K556" s="7" t="s">
        <v>20</v>
      </c>
      <c r="L556" s="7" t="s">
        <v>61</v>
      </c>
      <c r="M556" s="7" t="s">
        <v>2365</v>
      </c>
      <c r="N556" s="7" t="s">
        <v>27</v>
      </c>
      <c r="O556" s="7" t="s">
        <v>56</v>
      </c>
      <c r="P556" s="7">
        <v>5</v>
      </c>
      <c r="Q556" s="9">
        <v>650</v>
      </c>
      <c r="R556" s="9">
        <v>663</v>
      </c>
      <c r="S556" s="10">
        <v>0.09</v>
      </c>
      <c r="T556" s="9">
        <v>3016.65</v>
      </c>
      <c r="U556" s="9">
        <v>3250</v>
      </c>
      <c r="V556" s="9">
        <v>-233.35</v>
      </c>
      <c r="W556" s="10">
        <v>-7.7354018530489094E-2</v>
      </c>
    </row>
    <row r="557" spans="1:23" x14ac:dyDescent="0.3">
      <c r="A557" s="7" t="s">
        <v>1909</v>
      </c>
      <c r="B557" s="7" t="s">
        <v>74</v>
      </c>
      <c r="C557" s="7" t="s">
        <v>1910</v>
      </c>
      <c r="D557" s="7" t="s">
        <v>1911</v>
      </c>
      <c r="E557" s="7" t="s">
        <v>81</v>
      </c>
      <c r="F557" s="8">
        <v>46096</v>
      </c>
      <c r="G557" s="8">
        <v>46097</v>
      </c>
      <c r="H557" s="8">
        <v>46099</v>
      </c>
      <c r="I557" s="7" t="s">
        <v>82</v>
      </c>
      <c r="J557" s="7" t="s">
        <v>2363</v>
      </c>
      <c r="K557" s="7" t="s">
        <v>19</v>
      </c>
      <c r="L557" s="7" t="s">
        <v>61</v>
      </c>
      <c r="M557" s="7" t="s">
        <v>59</v>
      </c>
      <c r="N557" s="7" t="s">
        <v>27</v>
      </c>
      <c r="O557" s="7" t="s">
        <v>60</v>
      </c>
      <c r="P557" s="7">
        <v>1</v>
      </c>
      <c r="Q557" s="9">
        <v>1230</v>
      </c>
      <c r="R557" s="9">
        <v>1328.4</v>
      </c>
      <c r="S557" s="10">
        <v>0.02</v>
      </c>
      <c r="T557" s="9">
        <v>1301.8320000000001</v>
      </c>
      <c r="U557" s="9">
        <v>1230</v>
      </c>
      <c r="V557" s="9">
        <v>71.831999999999994</v>
      </c>
      <c r="W557" s="10">
        <v>5.5177626606198002E-2</v>
      </c>
    </row>
    <row r="558" spans="1:23" x14ac:dyDescent="0.3">
      <c r="A558" s="7" t="s">
        <v>1912</v>
      </c>
      <c r="B558" s="7" t="s">
        <v>1131</v>
      </c>
      <c r="C558" s="7" t="s">
        <v>1913</v>
      </c>
      <c r="D558" s="7" t="s">
        <v>238</v>
      </c>
      <c r="E558" s="7" t="s">
        <v>141</v>
      </c>
      <c r="F558" s="8">
        <v>45791</v>
      </c>
      <c r="G558" s="8">
        <v>45792</v>
      </c>
      <c r="H558" s="8">
        <v>45796</v>
      </c>
      <c r="I558" s="7" t="s">
        <v>72</v>
      </c>
      <c r="J558" s="7" t="s">
        <v>1</v>
      </c>
      <c r="K558" s="7" t="s">
        <v>21</v>
      </c>
      <c r="L558" s="7" t="s">
        <v>24</v>
      </c>
      <c r="M558" s="7" t="s">
        <v>35</v>
      </c>
      <c r="N558" s="7" t="s">
        <v>33</v>
      </c>
      <c r="O558" s="7" t="s">
        <v>36</v>
      </c>
      <c r="P558" s="7">
        <v>5</v>
      </c>
      <c r="Q558" s="9">
        <v>1530</v>
      </c>
      <c r="R558" s="9">
        <v>1790.1</v>
      </c>
      <c r="S558" s="10">
        <v>0.1</v>
      </c>
      <c r="T558" s="9">
        <v>8055.45</v>
      </c>
      <c r="U558" s="9">
        <v>7650</v>
      </c>
      <c r="V558" s="9">
        <v>405.45</v>
      </c>
      <c r="W558" s="10">
        <v>5.0332383665716997E-2</v>
      </c>
    </row>
    <row r="559" spans="1:23" x14ac:dyDescent="0.3">
      <c r="A559" s="7" t="s">
        <v>1914</v>
      </c>
      <c r="B559" s="7" t="s">
        <v>271</v>
      </c>
      <c r="C559" s="7" t="s">
        <v>1915</v>
      </c>
      <c r="D559" s="7" t="s">
        <v>1916</v>
      </c>
      <c r="E559" s="7" t="s">
        <v>81</v>
      </c>
      <c r="F559" s="8">
        <v>45330</v>
      </c>
      <c r="G559" s="8">
        <v>45330</v>
      </c>
      <c r="H559" s="8">
        <v>45332</v>
      </c>
      <c r="I559" s="7" t="s">
        <v>72</v>
      </c>
      <c r="J559" s="7" t="s">
        <v>2364</v>
      </c>
      <c r="K559" s="7" t="s">
        <v>21</v>
      </c>
      <c r="L559" s="7" t="s">
        <v>23</v>
      </c>
      <c r="M559" s="7" t="s">
        <v>59</v>
      </c>
      <c r="N559" s="7" t="s">
        <v>27</v>
      </c>
      <c r="O559" s="7" t="s">
        <v>60</v>
      </c>
      <c r="P559" s="7">
        <v>12</v>
      </c>
      <c r="Q559" s="9">
        <v>1230</v>
      </c>
      <c r="R559" s="9">
        <v>1328.4</v>
      </c>
      <c r="S559" s="10">
        <v>0.09</v>
      </c>
      <c r="T559" s="9">
        <v>14506.128000000001</v>
      </c>
      <c r="U559" s="9">
        <v>14760</v>
      </c>
      <c r="V559" s="9">
        <v>-253.87200000000001</v>
      </c>
      <c r="W559" s="10">
        <v>-1.7501017501017499E-2</v>
      </c>
    </row>
    <row r="560" spans="1:23" x14ac:dyDescent="0.3">
      <c r="A560" s="7" t="s">
        <v>1917</v>
      </c>
      <c r="B560" s="7" t="s">
        <v>161</v>
      </c>
      <c r="C560" s="7" t="s">
        <v>1918</v>
      </c>
      <c r="D560" s="7" t="s">
        <v>1919</v>
      </c>
      <c r="E560" s="7" t="s">
        <v>132</v>
      </c>
      <c r="F560" s="8">
        <v>45664</v>
      </c>
      <c r="G560" s="8">
        <v>45665</v>
      </c>
      <c r="H560" s="8">
        <v>45669</v>
      </c>
      <c r="I560" s="7" t="s">
        <v>72</v>
      </c>
      <c r="J560" s="7" t="s">
        <v>2363</v>
      </c>
      <c r="K560" s="7" t="s">
        <v>19</v>
      </c>
      <c r="L560" s="7" t="s">
        <v>22</v>
      </c>
      <c r="M560" s="7" t="s">
        <v>2366</v>
      </c>
      <c r="N560" s="7" t="s">
        <v>27</v>
      </c>
      <c r="O560" s="7" t="s">
        <v>54</v>
      </c>
      <c r="P560" s="7">
        <v>8</v>
      </c>
      <c r="Q560" s="9">
        <v>430</v>
      </c>
      <c r="R560" s="9">
        <v>455.8</v>
      </c>
      <c r="S560" s="10">
        <v>0.08</v>
      </c>
      <c r="T560" s="9">
        <v>3354.6880000000001</v>
      </c>
      <c r="U560" s="9">
        <v>3440</v>
      </c>
      <c r="V560" s="9">
        <v>-85.311999999999998</v>
      </c>
      <c r="W560" s="10">
        <v>-2.5430680885972098E-2</v>
      </c>
    </row>
    <row r="561" spans="1:23" x14ac:dyDescent="0.3">
      <c r="A561" s="7" t="s">
        <v>1920</v>
      </c>
      <c r="B561" s="7" t="s">
        <v>263</v>
      </c>
      <c r="C561" s="7" t="s">
        <v>1921</v>
      </c>
      <c r="D561" s="7" t="s">
        <v>1922</v>
      </c>
      <c r="E561" s="7" t="s">
        <v>217</v>
      </c>
      <c r="F561" s="8">
        <v>45468</v>
      </c>
      <c r="G561" s="8">
        <v>45469</v>
      </c>
      <c r="H561" s="8">
        <v>45470</v>
      </c>
      <c r="I561" s="7" t="s">
        <v>72</v>
      </c>
      <c r="J561" s="7" t="s">
        <v>2363</v>
      </c>
      <c r="K561" s="7" t="s">
        <v>20</v>
      </c>
      <c r="L561" s="7" t="s">
        <v>25</v>
      </c>
      <c r="M561" s="7" t="s">
        <v>29</v>
      </c>
      <c r="N561" s="7" t="s">
        <v>27</v>
      </c>
      <c r="O561" s="7" t="s">
        <v>28</v>
      </c>
      <c r="P561" s="7">
        <v>8</v>
      </c>
      <c r="Q561" s="9">
        <v>3930</v>
      </c>
      <c r="R561" s="9">
        <v>4362.3</v>
      </c>
      <c r="S561" s="10">
        <v>7.0000000000000007E-2</v>
      </c>
      <c r="T561" s="9">
        <v>32455.511999999999</v>
      </c>
      <c r="U561" s="9">
        <v>31440</v>
      </c>
      <c r="V561" s="9">
        <v>1015.5119999999999</v>
      </c>
      <c r="W561" s="10">
        <v>3.1289353869999002E-2</v>
      </c>
    </row>
    <row r="562" spans="1:23" x14ac:dyDescent="0.3">
      <c r="A562" s="7" t="s">
        <v>1923</v>
      </c>
      <c r="B562" s="7" t="s">
        <v>1924</v>
      </c>
      <c r="C562" s="7" t="s">
        <v>1925</v>
      </c>
      <c r="D562" s="7" t="s">
        <v>1926</v>
      </c>
      <c r="E562" s="7" t="s">
        <v>164</v>
      </c>
      <c r="F562" s="8">
        <v>45679</v>
      </c>
      <c r="G562" s="8">
        <v>45679</v>
      </c>
      <c r="H562" s="8">
        <v>45684</v>
      </c>
      <c r="I562" s="7" t="s">
        <v>72</v>
      </c>
      <c r="J562" s="7" t="s">
        <v>2362</v>
      </c>
      <c r="K562" s="7" t="s">
        <v>21</v>
      </c>
      <c r="L562" s="7" t="s">
        <v>22</v>
      </c>
      <c r="M562" s="7" t="s">
        <v>43</v>
      </c>
      <c r="N562" s="7" t="s">
        <v>27</v>
      </c>
      <c r="O562" s="7" t="s">
        <v>31</v>
      </c>
      <c r="P562" s="7">
        <v>15</v>
      </c>
      <c r="Q562" s="9">
        <v>1630</v>
      </c>
      <c r="R562" s="9">
        <v>1744.1</v>
      </c>
      <c r="S562" s="10">
        <v>0.02</v>
      </c>
      <c r="T562" s="9">
        <v>25638.27</v>
      </c>
      <c r="U562" s="9">
        <v>24450</v>
      </c>
      <c r="V562" s="9">
        <v>1188.27</v>
      </c>
      <c r="W562" s="10">
        <v>4.6347510967003597E-2</v>
      </c>
    </row>
    <row r="563" spans="1:23" x14ac:dyDescent="0.3">
      <c r="A563" s="7" t="s">
        <v>1927</v>
      </c>
      <c r="B563" s="7" t="s">
        <v>1154</v>
      </c>
      <c r="C563" s="7" t="s">
        <v>1928</v>
      </c>
      <c r="D563" s="7" t="s">
        <v>1929</v>
      </c>
      <c r="E563" s="7" t="s">
        <v>208</v>
      </c>
      <c r="F563" s="8">
        <v>45901</v>
      </c>
      <c r="G563" s="8">
        <v>45902</v>
      </c>
      <c r="H563" s="8">
        <v>45903</v>
      </c>
      <c r="I563" s="7" t="s">
        <v>82</v>
      </c>
      <c r="J563" s="7" t="s">
        <v>2364</v>
      </c>
      <c r="K563" s="7" t="s">
        <v>20</v>
      </c>
      <c r="L563" s="7" t="s">
        <v>22</v>
      </c>
      <c r="M563" s="7" t="s">
        <v>50</v>
      </c>
      <c r="N563" s="7" t="s">
        <v>33</v>
      </c>
      <c r="O563" s="7" t="s">
        <v>36</v>
      </c>
      <c r="P563" s="7">
        <v>2</v>
      </c>
      <c r="Q563" s="9">
        <v>930</v>
      </c>
      <c r="R563" s="9">
        <v>1078.8</v>
      </c>
      <c r="S563" s="10">
        <v>0.1</v>
      </c>
      <c r="T563" s="9">
        <v>1941.84</v>
      </c>
      <c r="U563" s="9">
        <v>1860</v>
      </c>
      <c r="V563" s="9">
        <v>81.84</v>
      </c>
      <c r="W563" s="10">
        <v>4.2145593869731802E-2</v>
      </c>
    </row>
    <row r="564" spans="1:23" x14ac:dyDescent="0.3">
      <c r="A564" s="7" t="s">
        <v>1930</v>
      </c>
      <c r="B564" s="7" t="s">
        <v>629</v>
      </c>
      <c r="C564" s="7" t="s">
        <v>1931</v>
      </c>
      <c r="D564" s="7" t="s">
        <v>1932</v>
      </c>
      <c r="E564" s="7" t="s">
        <v>178</v>
      </c>
      <c r="F564" s="8">
        <v>46058</v>
      </c>
      <c r="G564" s="8">
        <v>46058</v>
      </c>
      <c r="H564" s="8">
        <v>46062</v>
      </c>
      <c r="I564" s="7" t="s">
        <v>72</v>
      </c>
      <c r="J564" s="7" t="s">
        <v>1</v>
      </c>
      <c r="K564" s="7" t="s">
        <v>20</v>
      </c>
      <c r="L564" s="7" t="s">
        <v>61</v>
      </c>
      <c r="M564" s="7" t="s">
        <v>47</v>
      </c>
      <c r="N564" s="7" t="s">
        <v>38</v>
      </c>
      <c r="O564" s="7" t="s">
        <v>39</v>
      </c>
      <c r="P564" s="7">
        <v>9</v>
      </c>
      <c r="Q564" s="9">
        <v>390</v>
      </c>
      <c r="R564" s="9">
        <v>468</v>
      </c>
      <c r="S564" s="10">
        <v>0.03</v>
      </c>
      <c r="T564" s="9">
        <v>4085.64</v>
      </c>
      <c r="U564" s="9">
        <v>3510</v>
      </c>
      <c r="V564" s="9">
        <v>575.64</v>
      </c>
      <c r="W564" s="10">
        <v>0.14089347079037801</v>
      </c>
    </row>
    <row r="565" spans="1:23" x14ac:dyDescent="0.3">
      <c r="A565" s="7" t="s">
        <v>1933</v>
      </c>
      <c r="B565" s="7" t="s">
        <v>462</v>
      </c>
      <c r="C565" s="7" t="s">
        <v>1934</v>
      </c>
      <c r="D565" s="7" t="s">
        <v>1935</v>
      </c>
      <c r="E565" s="7" t="s">
        <v>109</v>
      </c>
      <c r="F565" s="8">
        <v>45877</v>
      </c>
      <c r="G565" s="8">
        <v>45878</v>
      </c>
      <c r="H565" s="8">
        <v>45879</v>
      </c>
      <c r="I565" s="7" t="s">
        <v>72</v>
      </c>
      <c r="J565" s="7" t="s">
        <v>2</v>
      </c>
      <c r="K565" s="7" t="s">
        <v>21</v>
      </c>
      <c r="L565" s="7" t="s">
        <v>23</v>
      </c>
      <c r="M565" s="7" t="s">
        <v>2365</v>
      </c>
      <c r="N565" s="7" t="s">
        <v>27</v>
      </c>
      <c r="O565" s="7" t="s">
        <v>56</v>
      </c>
      <c r="P565" s="7">
        <v>12</v>
      </c>
      <c r="Q565" s="9">
        <v>650</v>
      </c>
      <c r="R565" s="9">
        <v>663</v>
      </c>
      <c r="S565" s="10">
        <v>0.05</v>
      </c>
      <c r="T565" s="9">
        <v>7558.2</v>
      </c>
      <c r="U565" s="9">
        <v>7800</v>
      </c>
      <c r="V565" s="9">
        <v>-241.8</v>
      </c>
      <c r="W565" s="10">
        <v>-3.1991744066047503E-2</v>
      </c>
    </row>
    <row r="566" spans="1:23" x14ac:dyDescent="0.3">
      <c r="A566" s="7" t="s">
        <v>1936</v>
      </c>
      <c r="B566" s="7" t="s">
        <v>92</v>
      </c>
      <c r="C566" s="7" t="s">
        <v>1937</v>
      </c>
      <c r="D566" s="7" t="s">
        <v>1938</v>
      </c>
      <c r="E566" s="7" t="s">
        <v>208</v>
      </c>
      <c r="F566" s="8">
        <v>45998</v>
      </c>
      <c r="G566" s="8">
        <v>45999</v>
      </c>
      <c r="H566" s="8">
        <v>46000</v>
      </c>
      <c r="I566" s="7" t="s">
        <v>82</v>
      </c>
      <c r="J566" s="7" t="s">
        <v>1</v>
      </c>
      <c r="K566" s="7" t="s">
        <v>19</v>
      </c>
      <c r="L566" s="7" t="s">
        <v>61</v>
      </c>
      <c r="M566" s="7" t="s">
        <v>50</v>
      </c>
      <c r="N566" s="7" t="s">
        <v>33</v>
      </c>
      <c r="O566" s="7" t="s">
        <v>36</v>
      </c>
      <c r="P566" s="7">
        <v>3</v>
      </c>
      <c r="Q566" s="9">
        <v>930</v>
      </c>
      <c r="R566" s="9">
        <v>1078.8</v>
      </c>
      <c r="S566" s="10">
        <v>0</v>
      </c>
      <c r="T566" s="9">
        <v>3236.4</v>
      </c>
      <c r="U566" s="9">
        <v>2790</v>
      </c>
      <c r="V566" s="9">
        <v>446.4</v>
      </c>
      <c r="W566" s="10">
        <v>0.13793103448275901</v>
      </c>
    </row>
    <row r="567" spans="1:23" x14ac:dyDescent="0.3">
      <c r="A567" s="7" t="s">
        <v>1939</v>
      </c>
      <c r="B567" s="7" t="s">
        <v>230</v>
      </c>
      <c r="C567" s="7" t="s">
        <v>1940</v>
      </c>
      <c r="D567" s="7" t="s">
        <v>1941</v>
      </c>
      <c r="E567" s="7" t="s">
        <v>81</v>
      </c>
      <c r="F567" s="8">
        <v>45340</v>
      </c>
      <c r="G567" s="8">
        <v>45341</v>
      </c>
      <c r="H567" s="8">
        <v>45345</v>
      </c>
      <c r="I567" s="7" t="s">
        <v>72</v>
      </c>
      <c r="J567" s="7" t="s">
        <v>1</v>
      </c>
      <c r="K567" s="7" t="s">
        <v>21</v>
      </c>
      <c r="L567" s="7" t="s">
        <v>23</v>
      </c>
      <c r="M567" s="7" t="s">
        <v>59</v>
      </c>
      <c r="N567" s="7" t="s">
        <v>27</v>
      </c>
      <c r="O567" s="7" t="s">
        <v>60</v>
      </c>
      <c r="P567" s="7">
        <v>14</v>
      </c>
      <c r="Q567" s="9">
        <v>1230</v>
      </c>
      <c r="R567" s="9">
        <v>1328.4</v>
      </c>
      <c r="S567" s="10">
        <v>0.04</v>
      </c>
      <c r="T567" s="9">
        <v>17853.696</v>
      </c>
      <c r="U567" s="9">
        <v>17220</v>
      </c>
      <c r="V567" s="9">
        <v>633.69600000000003</v>
      </c>
      <c r="W567" s="10">
        <v>3.5493827160493797E-2</v>
      </c>
    </row>
    <row r="568" spans="1:23" x14ac:dyDescent="0.3">
      <c r="A568" s="7" t="s">
        <v>1942</v>
      </c>
      <c r="B568" s="7" t="s">
        <v>1943</v>
      </c>
      <c r="C568" s="7" t="s">
        <v>1944</v>
      </c>
      <c r="D568" s="7" t="s">
        <v>1945</v>
      </c>
      <c r="E568" s="7" t="s">
        <v>119</v>
      </c>
      <c r="F568" s="8">
        <v>45704</v>
      </c>
      <c r="G568" s="8">
        <v>45705</v>
      </c>
      <c r="H568" s="8">
        <v>45709</v>
      </c>
      <c r="I568" s="7" t="s">
        <v>72</v>
      </c>
      <c r="J568" s="7" t="s">
        <v>2</v>
      </c>
      <c r="K568" s="7" t="s">
        <v>21</v>
      </c>
      <c r="L568" s="7" t="s">
        <v>25</v>
      </c>
      <c r="M568" s="7" t="s">
        <v>37</v>
      </c>
      <c r="N568" s="7" t="s">
        <v>38</v>
      </c>
      <c r="O568" s="7" t="s">
        <v>39</v>
      </c>
      <c r="P568" s="7">
        <v>10</v>
      </c>
      <c r="Q568" s="9">
        <v>250</v>
      </c>
      <c r="R568" s="9">
        <v>270</v>
      </c>
      <c r="S568" s="10">
        <v>0.09</v>
      </c>
      <c r="T568" s="9">
        <v>2457</v>
      </c>
      <c r="U568" s="9">
        <v>2500</v>
      </c>
      <c r="V568" s="9">
        <v>-43</v>
      </c>
      <c r="W568" s="10">
        <v>-1.7501017501017499E-2</v>
      </c>
    </row>
    <row r="569" spans="1:23" x14ac:dyDescent="0.3">
      <c r="A569" s="7" t="s">
        <v>1946</v>
      </c>
      <c r="B569" s="7" t="s">
        <v>151</v>
      </c>
      <c r="C569" s="7" t="s">
        <v>1947</v>
      </c>
      <c r="D569" s="7" t="s">
        <v>1948</v>
      </c>
      <c r="E569" s="7" t="s">
        <v>208</v>
      </c>
      <c r="F569" s="8">
        <v>45863</v>
      </c>
      <c r="G569" s="8">
        <v>45863</v>
      </c>
      <c r="H569" s="8">
        <v>45865</v>
      </c>
      <c r="I569" s="7" t="s">
        <v>72</v>
      </c>
      <c r="J569" s="7" t="s">
        <v>2363</v>
      </c>
      <c r="K569" s="7" t="s">
        <v>20</v>
      </c>
      <c r="L569" s="7" t="s">
        <v>24</v>
      </c>
      <c r="M569" s="7" t="s">
        <v>50</v>
      </c>
      <c r="N569" s="7" t="s">
        <v>33</v>
      </c>
      <c r="O569" s="7" t="s">
        <v>36</v>
      </c>
      <c r="P569" s="7">
        <v>7</v>
      </c>
      <c r="Q569" s="9">
        <v>930</v>
      </c>
      <c r="R569" s="9">
        <v>1078.8</v>
      </c>
      <c r="S569" s="10">
        <v>0.01</v>
      </c>
      <c r="T569" s="9">
        <v>7476.0839999999998</v>
      </c>
      <c r="U569" s="9">
        <v>6510</v>
      </c>
      <c r="V569" s="9">
        <v>966.08399999999995</v>
      </c>
      <c r="W569" s="10">
        <v>0.12922326715430199</v>
      </c>
    </row>
    <row r="570" spans="1:23" x14ac:dyDescent="0.3">
      <c r="A570" s="7" t="s">
        <v>1949</v>
      </c>
      <c r="B570" s="7" t="s">
        <v>679</v>
      </c>
      <c r="C570" s="7" t="s">
        <v>1950</v>
      </c>
      <c r="D570" s="7" t="s">
        <v>1951</v>
      </c>
      <c r="E570" s="7" t="s">
        <v>192</v>
      </c>
      <c r="F570" s="8">
        <v>46039</v>
      </c>
      <c r="G570" s="8">
        <v>46039</v>
      </c>
      <c r="H570" s="8">
        <v>46042</v>
      </c>
      <c r="I570" s="7" t="s">
        <v>72</v>
      </c>
      <c r="J570" s="7" t="s">
        <v>1</v>
      </c>
      <c r="K570" s="7" t="s">
        <v>20</v>
      </c>
      <c r="L570" s="7" t="s">
        <v>23</v>
      </c>
      <c r="M570" s="7" t="s">
        <v>46</v>
      </c>
      <c r="N570" s="7" t="s">
        <v>38</v>
      </c>
      <c r="O570" s="7" t="s">
        <v>45</v>
      </c>
      <c r="P570" s="7">
        <v>6</v>
      </c>
      <c r="Q570" s="9">
        <v>350</v>
      </c>
      <c r="R570" s="9">
        <v>364</v>
      </c>
      <c r="S570" s="10">
        <v>0.05</v>
      </c>
      <c r="T570" s="9">
        <v>2074.8000000000002</v>
      </c>
      <c r="U570" s="9">
        <v>2100</v>
      </c>
      <c r="V570" s="9">
        <v>-25.2</v>
      </c>
      <c r="W570" s="10">
        <v>-1.2145748987854201E-2</v>
      </c>
    </row>
    <row r="571" spans="1:23" x14ac:dyDescent="0.3">
      <c r="A571" s="7" t="s">
        <v>1952</v>
      </c>
      <c r="B571" s="7" t="s">
        <v>267</v>
      </c>
      <c r="C571" s="7" t="s">
        <v>1953</v>
      </c>
      <c r="D571" s="7" t="s">
        <v>1954</v>
      </c>
      <c r="E571" s="7" t="s">
        <v>77</v>
      </c>
      <c r="F571" s="8">
        <v>45866</v>
      </c>
      <c r="G571" s="8">
        <v>45866</v>
      </c>
      <c r="H571" s="8">
        <v>45869</v>
      </c>
      <c r="I571" s="7" t="s">
        <v>72</v>
      </c>
      <c r="J571" s="7" t="s">
        <v>2</v>
      </c>
      <c r="K571" s="7" t="s">
        <v>20</v>
      </c>
      <c r="L571" s="7" t="s">
        <v>61</v>
      </c>
      <c r="M571" s="7" t="s">
        <v>44</v>
      </c>
      <c r="N571" s="7" t="s">
        <v>38</v>
      </c>
      <c r="O571" s="7" t="s">
        <v>45</v>
      </c>
      <c r="P571" s="7">
        <v>7</v>
      </c>
      <c r="Q571" s="9">
        <v>210</v>
      </c>
      <c r="R571" s="9">
        <v>222.6</v>
      </c>
      <c r="S571" s="10">
        <v>0.1</v>
      </c>
      <c r="T571" s="9">
        <v>1402.38</v>
      </c>
      <c r="U571" s="9">
        <v>1470</v>
      </c>
      <c r="V571" s="9">
        <v>-67.62</v>
      </c>
      <c r="W571" s="10">
        <v>-4.8218029350104802E-2</v>
      </c>
    </row>
    <row r="572" spans="1:23" x14ac:dyDescent="0.3">
      <c r="A572" s="7" t="s">
        <v>1955</v>
      </c>
      <c r="B572" s="7" t="s">
        <v>1852</v>
      </c>
      <c r="C572" s="7" t="s">
        <v>1956</v>
      </c>
      <c r="D572" s="7" t="s">
        <v>1957</v>
      </c>
      <c r="E572" s="7" t="s">
        <v>178</v>
      </c>
      <c r="F572" s="8">
        <v>45634</v>
      </c>
      <c r="G572" s="8">
        <v>45635</v>
      </c>
      <c r="H572" s="8">
        <v>45638</v>
      </c>
      <c r="I572" s="7" t="s">
        <v>72</v>
      </c>
      <c r="J572" s="7" t="s">
        <v>2362</v>
      </c>
      <c r="K572" s="7" t="s">
        <v>21</v>
      </c>
      <c r="L572" s="7" t="s">
        <v>22</v>
      </c>
      <c r="M572" s="7" t="s">
        <v>47</v>
      </c>
      <c r="N572" s="7" t="s">
        <v>38</v>
      </c>
      <c r="O572" s="7" t="s">
        <v>39</v>
      </c>
      <c r="P572" s="7">
        <v>5</v>
      </c>
      <c r="Q572" s="9">
        <v>390</v>
      </c>
      <c r="R572" s="9">
        <v>468</v>
      </c>
      <c r="S572" s="10">
        <v>0.1</v>
      </c>
      <c r="T572" s="9">
        <v>2106</v>
      </c>
      <c r="U572" s="9">
        <v>1950</v>
      </c>
      <c r="V572" s="9">
        <v>156</v>
      </c>
      <c r="W572" s="10">
        <v>7.4074074074074098E-2</v>
      </c>
    </row>
    <row r="573" spans="1:23" x14ac:dyDescent="0.3">
      <c r="A573" s="7" t="s">
        <v>1958</v>
      </c>
      <c r="B573" s="7" t="s">
        <v>1959</v>
      </c>
      <c r="C573" s="7" t="s">
        <v>1960</v>
      </c>
      <c r="D573" s="7" t="s">
        <v>1961</v>
      </c>
      <c r="E573" s="7" t="s">
        <v>95</v>
      </c>
      <c r="F573" s="8">
        <v>46048</v>
      </c>
      <c r="G573" s="8">
        <v>46049</v>
      </c>
      <c r="H573" s="8">
        <v>46051</v>
      </c>
      <c r="I573" s="7" t="s">
        <v>72</v>
      </c>
      <c r="J573" s="7" t="s">
        <v>2362</v>
      </c>
      <c r="K573" s="7" t="s">
        <v>21</v>
      </c>
      <c r="L573" s="7" t="s">
        <v>61</v>
      </c>
      <c r="M573" s="7" t="s">
        <v>49</v>
      </c>
      <c r="N573" s="7" t="s">
        <v>33</v>
      </c>
      <c r="O573" s="7" t="s">
        <v>34</v>
      </c>
      <c r="P573" s="7">
        <v>8</v>
      </c>
      <c r="Q573" s="9">
        <v>1080</v>
      </c>
      <c r="R573" s="9">
        <v>1112.4000000000001</v>
      </c>
      <c r="S573" s="10">
        <v>0.01</v>
      </c>
      <c r="T573" s="9">
        <v>8810.2080000000005</v>
      </c>
      <c r="U573" s="9">
        <v>8640</v>
      </c>
      <c r="V573" s="9">
        <v>170.208</v>
      </c>
      <c r="W573" s="10">
        <v>1.9319407668922199E-2</v>
      </c>
    </row>
    <row r="574" spans="1:23" x14ac:dyDescent="0.3">
      <c r="A574" s="7" t="s">
        <v>1962</v>
      </c>
      <c r="B574" s="7" t="s">
        <v>979</v>
      </c>
      <c r="C574" s="7" t="s">
        <v>1963</v>
      </c>
      <c r="D574" s="7" t="s">
        <v>1964</v>
      </c>
      <c r="E574" s="7" t="s">
        <v>291</v>
      </c>
      <c r="F574" s="8">
        <v>45456</v>
      </c>
      <c r="G574" s="8">
        <v>45457</v>
      </c>
      <c r="H574" s="8">
        <v>45461</v>
      </c>
      <c r="I574" s="7" t="s">
        <v>72</v>
      </c>
      <c r="J574" s="7" t="s">
        <v>2</v>
      </c>
      <c r="K574" s="7" t="s">
        <v>19</v>
      </c>
      <c r="L574" s="7" t="s">
        <v>24</v>
      </c>
      <c r="M574" s="7" t="s">
        <v>57</v>
      </c>
      <c r="N574" s="7" t="s">
        <v>27</v>
      </c>
      <c r="O574" s="7" t="s">
        <v>58</v>
      </c>
      <c r="P574" s="7">
        <v>6</v>
      </c>
      <c r="Q574" s="9">
        <v>480</v>
      </c>
      <c r="R574" s="9">
        <v>513.6</v>
      </c>
      <c r="S574" s="10">
        <v>0.04</v>
      </c>
      <c r="T574" s="9">
        <v>2958.3359999999998</v>
      </c>
      <c r="U574" s="9">
        <v>2880</v>
      </c>
      <c r="V574" s="9">
        <v>78.335999999999999</v>
      </c>
      <c r="W574" s="10">
        <v>2.6479750778816199E-2</v>
      </c>
    </row>
    <row r="575" spans="1:23" x14ac:dyDescent="0.3">
      <c r="A575" s="7" t="s">
        <v>1965</v>
      </c>
      <c r="B575" s="7" t="s">
        <v>1325</v>
      </c>
      <c r="C575" s="7" t="s">
        <v>1966</v>
      </c>
      <c r="D575" s="7" t="s">
        <v>1967</v>
      </c>
      <c r="E575" s="7" t="s">
        <v>71</v>
      </c>
      <c r="F575" s="8">
        <v>45906</v>
      </c>
      <c r="G575" s="8">
        <v>45907</v>
      </c>
      <c r="H575" s="8">
        <v>45908</v>
      </c>
      <c r="I575" s="7" t="s">
        <v>72</v>
      </c>
      <c r="J575" s="7" t="s">
        <v>2362</v>
      </c>
      <c r="K575" s="7" t="s">
        <v>21</v>
      </c>
      <c r="L575" s="7" t="s">
        <v>61</v>
      </c>
      <c r="M575" s="7" t="s">
        <v>32</v>
      </c>
      <c r="N575" s="7" t="s">
        <v>33</v>
      </c>
      <c r="O575" s="7" t="s">
        <v>34</v>
      </c>
      <c r="P575" s="7">
        <v>9</v>
      </c>
      <c r="Q575" s="9">
        <v>730</v>
      </c>
      <c r="R575" s="9">
        <v>824.9</v>
      </c>
      <c r="S575" s="10">
        <v>0.03</v>
      </c>
      <c r="T575" s="9">
        <v>7201.3770000000004</v>
      </c>
      <c r="U575" s="9">
        <v>6570</v>
      </c>
      <c r="V575" s="9">
        <v>631.37699999999995</v>
      </c>
      <c r="W575" s="10">
        <v>8.7674482255268693E-2</v>
      </c>
    </row>
    <row r="576" spans="1:23" x14ac:dyDescent="0.3">
      <c r="A576" s="7" t="s">
        <v>1968</v>
      </c>
      <c r="B576" s="7" t="s">
        <v>1969</v>
      </c>
      <c r="C576" s="7" t="s">
        <v>1970</v>
      </c>
      <c r="D576" s="7" t="s">
        <v>1971</v>
      </c>
      <c r="E576" s="7" t="s">
        <v>208</v>
      </c>
      <c r="F576" s="8">
        <v>45592</v>
      </c>
      <c r="G576" s="8">
        <v>45592</v>
      </c>
      <c r="H576" s="8">
        <v>45597</v>
      </c>
      <c r="I576" s="7" t="s">
        <v>72</v>
      </c>
      <c r="J576" s="7" t="s">
        <v>2362</v>
      </c>
      <c r="K576" s="7" t="s">
        <v>21</v>
      </c>
      <c r="L576" s="7" t="s">
        <v>22</v>
      </c>
      <c r="M576" s="7" t="s">
        <v>50</v>
      </c>
      <c r="N576" s="7" t="s">
        <v>33</v>
      </c>
      <c r="O576" s="7" t="s">
        <v>36</v>
      </c>
      <c r="P576" s="7">
        <v>13</v>
      </c>
      <c r="Q576" s="9">
        <v>930</v>
      </c>
      <c r="R576" s="9">
        <v>1078.8</v>
      </c>
      <c r="S576" s="10">
        <v>0.03</v>
      </c>
      <c r="T576" s="9">
        <v>13603.668</v>
      </c>
      <c r="U576" s="9">
        <v>12090</v>
      </c>
      <c r="V576" s="9">
        <v>1513.6679999999999</v>
      </c>
      <c r="W576" s="10">
        <v>0.111269107714184</v>
      </c>
    </row>
    <row r="577" spans="1:23" x14ac:dyDescent="0.3">
      <c r="A577" s="7" t="s">
        <v>1972</v>
      </c>
      <c r="B577" s="7" t="s">
        <v>1290</v>
      </c>
      <c r="C577" s="7" t="s">
        <v>1973</v>
      </c>
      <c r="D577" s="7" t="s">
        <v>1974</v>
      </c>
      <c r="E577" s="7" t="s">
        <v>291</v>
      </c>
      <c r="F577" s="8">
        <v>46010</v>
      </c>
      <c r="G577" s="8">
        <v>46010</v>
      </c>
      <c r="H577" s="8">
        <v>46013</v>
      </c>
      <c r="I577" s="7" t="s">
        <v>72</v>
      </c>
      <c r="J577" s="7" t="s">
        <v>1</v>
      </c>
      <c r="K577" s="7" t="s">
        <v>21</v>
      </c>
      <c r="L577" s="7" t="s">
        <v>61</v>
      </c>
      <c r="M577" s="7" t="s">
        <v>57</v>
      </c>
      <c r="N577" s="7" t="s">
        <v>27</v>
      </c>
      <c r="O577" s="7" t="s">
        <v>58</v>
      </c>
      <c r="P577" s="7">
        <v>10</v>
      </c>
      <c r="Q577" s="9">
        <v>480</v>
      </c>
      <c r="R577" s="9">
        <v>513.6</v>
      </c>
      <c r="S577" s="10">
        <v>0.06</v>
      </c>
      <c r="T577" s="9">
        <v>4827.84</v>
      </c>
      <c r="U577" s="9">
        <v>4800</v>
      </c>
      <c r="V577" s="9">
        <v>27.84</v>
      </c>
      <c r="W577" s="10">
        <v>5.7665539868761197E-3</v>
      </c>
    </row>
    <row r="578" spans="1:23" x14ac:dyDescent="0.3">
      <c r="A578" s="7" t="s">
        <v>1975</v>
      </c>
      <c r="B578" s="7" t="s">
        <v>1725</v>
      </c>
      <c r="C578" s="7" t="s">
        <v>1976</v>
      </c>
      <c r="D578" s="7" t="s">
        <v>1977</v>
      </c>
      <c r="E578" s="7" t="s">
        <v>100</v>
      </c>
      <c r="F578" s="8">
        <v>46118</v>
      </c>
      <c r="G578" s="8">
        <v>46119</v>
      </c>
      <c r="H578" s="8">
        <v>46123</v>
      </c>
      <c r="I578" s="7" t="s">
        <v>72</v>
      </c>
      <c r="J578" s="7" t="s">
        <v>2362</v>
      </c>
      <c r="K578" s="7" t="s">
        <v>21</v>
      </c>
      <c r="L578" s="7" t="s">
        <v>23</v>
      </c>
      <c r="M578" s="7" t="s">
        <v>42</v>
      </c>
      <c r="N578" s="7" t="s">
        <v>27</v>
      </c>
      <c r="O578" s="7" t="s">
        <v>28</v>
      </c>
      <c r="P578" s="7">
        <v>13</v>
      </c>
      <c r="Q578" s="9">
        <v>3030</v>
      </c>
      <c r="R578" s="9">
        <v>3211.8</v>
      </c>
      <c r="S578" s="10">
        <v>0.09</v>
      </c>
      <c r="T578" s="9">
        <v>37995.593999999997</v>
      </c>
      <c r="U578" s="9">
        <v>39390</v>
      </c>
      <c r="V578" s="9">
        <v>-1394.4059999999999</v>
      </c>
      <c r="W578" s="10">
        <v>-3.66991499066971E-2</v>
      </c>
    </row>
    <row r="579" spans="1:23" x14ac:dyDescent="0.3">
      <c r="A579" s="7" t="s">
        <v>1980</v>
      </c>
      <c r="B579" s="7" t="s">
        <v>365</v>
      </c>
      <c r="C579" s="7" t="s">
        <v>1981</v>
      </c>
      <c r="D579" s="7" t="s">
        <v>1982</v>
      </c>
      <c r="E579" s="7" t="s">
        <v>114</v>
      </c>
      <c r="F579" s="8">
        <v>45720</v>
      </c>
      <c r="G579" s="8">
        <v>45721</v>
      </c>
      <c r="H579" s="8">
        <v>45722</v>
      </c>
      <c r="I579" s="7" t="s">
        <v>72</v>
      </c>
      <c r="J579" s="7" t="s">
        <v>2363</v>
      </c>
      <c r="K579" s="7" t="s">
        <v>20</v>
      </c>
      <c r="L579" s="7" t="s">
        <v>22</v>
      </c>
      <c r="M579" s="7" t="s">
        <v>51</v>
      </c>
      <c r="N579" s="7" t="s">
        <v>33</v>
      </c>
      <c r="O579" s="7" t="s">
        <v>52</v>
      </c>
      <c r="P579" s="7">
        <v>5</v>
      </c>
      <c r="Q579" s="9">
        <v>280</v>
      </c>
      <c r="R579" s="9">
        <v>336</v>
      </c>
      <c r="S579" s="10">
        <v>0.09</v>
      </c>
      <c r="T579" s="9">
        <v>1528.8</v>
      </c>
      <c r="U579" s="9">
        <v>1400</v>
      </c>
      <c r="V579" s="9">
        <v>128.80000000000001</v>
      </c>
      <c r="W579" s="10">
        <v>8.42490842490842E-2</v>
      </c>
    </row>
    <row r="580" spans="1:23" x14ac:dyDescent="0.3">
      <c r="A580" s="7" t="s">
        <v>1983</v>
      </c>
      <c r="B580" s="7" t="s">
        <v>1065</v>
      </c>
      <c r="C580" s="7" t="s">
        <v>1984</v>
      </c>
      <c r="D580" s="7" t="s">
        <v>1985</v>
      </c>
      <c r="E580" s="7" t="s">
        <v>178</v>
      </c>
      <c r="F580" s="8">
        <v>45630</v>
      </c>
      <c r="G580" s="8">
        <v>45630</v>
      </c>
      <c r="H580" s="8">
        <v>45634</v>
      </c>
      <c r="I580" s="7" t="s">
        <v>72</v>
      </c>
      <c r="J580" s="7" t="s">
        <v>2364</v>
      </c>
      <c r="K580" s="7" t="s">
        <v>21</v>
      </c>
      <c r="L580" s="7" t="s">
        <v>22</v>
      </c>
      <c r="M580" s="7" t="s">
        <v>47</v>
      </c>
      <c r="N580" s="7" t="s">
        <v>38</v>
      </c>
      <c r="O580" s="7" t="s">
        <v>39</v>
      </c>
      <c r="P580" s="7">
        <v>9</v>
      </c>
      <c r="Q580" s="9">
        <v>390</v>
      </c>
      <c r="R580" s="9">
        <v>468</v>
      </c>
      <c r="S580" s="10">
        <v>0.03</v>
      </c>
      <c r="T580" s="9">
        <v>4085.64</v>
      </c>
      <c r="U580" s="9">
        <v>3510</v>
      </c>
      <c r="V580" s="9">
        <v>575.64</v>
      </c>
      <c r="W580" s="10">
        <v>0.14089347079037801</v>
      </c>
    </row>
    <row r="581" spans="1:23" x14ac:dyDescent="0.3">
      <c r="A581" s="7" t="s">
        <v>1986</v>
      </c>
      <c r="B581" s="7" t="s">
        <v>898</v>
      </c>
      <c r="C581" s="7" t="s">
        <v>1987</v>
      </c>
      <c r="D581" s="7" t="s">
        <v>1988</v>
      </c>
      <c r="E581" s="7" t="s">
        <v>114</v>
      </c>
      <c r="F581" s="8">
        <v>45713</v>
      </c>
      <c r="G581" s="8">
        <v>45713</v>
      </c>
      <c r="H581" s="8">
        <v>45718</v>
      </c>
      <c r="I581" s="7" t="s">
        <v>82</v>
      </c>
      <c r="J581" s="7" t="s">
        <v>2</v>
      </c>
      <c r="K581" s="7" t="s">
        <v>20</v>
      </c>
      <c r="L581" s="7" t="s">
        <v>61</v>
      </c>
      <c r="M581" s="7" t="s">
        <v>51</v>
      </c>
      <c r="N581" s="7" t="s">
        <v>33</v>
      </c>
      <c r="O581" s="7" t="s">
        <v>52</v>
      </c>
      <c r="P581" s="7">
        <v>4</v>
      </c>
      <c r="Q581" s="9">
        <v>280</v>
      </c>
      <c r="R581" s="9">
        <v>336</v>
      </c>
      <c r="S581" s="10">
        <v>0.04</v>
      </c>
      <c r="T581" s="9">
        <v>1290.24</v>
      </c>
      <c r="U581" s="9">
        <v>1120</v>
      </c>
      <c r="V581" s="9">
        <v>170.24</v>
      </c>
      <c r="W581" s="10">
        <v>0.131944444444444</v>
      </c>
    </row>
    <row r="582" spans="1:23" x14ac:dyDescent="0.3">
      <c r="A582" s="7" t="s">
        <v>1989</v>
      </c>
      <c r="B582" s="7" t="s">
        <v>1325</v>
      </c>
      <c r="C582" s="7" t="s">
        <v>1990</v>
      </c>
      <c r="D582" s="7" t="s">
        <v>1991</v>
      </c>
      <c r="E582" s="7" t="s">
        <v>100</v>
      </c>
      <c r="F582" s="8">
        <v>45293</v>
      </c>
      <c r="G582" s="8">
        <v>45293</v>
      </c>
      <c r="H582" s="8">
        <v>45297</v>
      </c>
      <c r="I582" s="7" t="s">
        <v>72</v>
      </c>
      <c r="J582" s="7" t="s">
        <v>2</v>
      </c>
      <c r="K582" s="7" t="s">
        <v>19</v>
      </c>
      <c r="L582" s="7" t="s">
        <v>61</v>
      </c>
      <c r="M582" s="7" t="s">
        <v>42</v>
      </c>
      <c r="N582" s="7" t="s">
        <v>27</v>
      </c>
      <c r="O582" s="7" t="s">
        <v>28</v>
      </c>
      <c r="P582" s="7">
        <v>8</v>
      </c>
      <c r="Q582" s="9">
        <v>3030</v>
      </c>
      <c r="R582" s="9">
        <v>3211.8</v>
      </c>
      <c r="S582" s="10">
        <v>0.02</v>
      </c>
      <c r="T582" s="9">
        <v>25180.511999999999</v>
      </c>
      <c r="U582" s="9">
        <v>24240</v>
      </c>
      <c r="V582" s="9">
        <v>940.51199999999994</v>
      </c>
      <c r="W582" s="10">
        <v>3.73507893723527E-2</v>
      </c>
    </row>
    <row r="583" spans="1:23" x14ac:dyDescent="0.3">
      <c r="A583" s="7" t="s">
        <v>1992</v>
      </c>
      <c r="B583" s="7" t="s">
        <v>92</v>
      </c>
      <c r="C583" s="7" t="s">
        <v>1993</v>
      </c>
      <c r="D583" s="7" t="s">
        <v>1994</v>
      </c>
      <c r="E583" s="7" t="s">
        <v>77</v>
      </c>
      <c r="F583" s="8">
        <v>45644</v>
      </c>
      <c r="G583" s="8">
        <v>45645</v>
      </c>
      <c r="H583" s="8">
        <v>45649</v>
      </c>
      <c r="I583" s="7" t="s">
        <v>72</v>
      </c>
      <c r="J583" s="7" t="s">
        <v>2</v>
      </c>
      <c r="K583" s="7" t="s">
        <v>19</v>
      </c>
      <c r="L583" s="7" t="s">
        <v>22</v>
      </c>
      <c r="M583" s="7" t="s">
        <v>44</v>
      </c>
      <c r="N583" s="7" t="s">
        <v>38</v>
      </c>
      <c r="O583" s="7" t="s">
        <v>45</v>
      </c>
      <c r="P583" s="7">
        <v>8</v>
      </c>
      <c r="Q583" s="9">
        <v>210</v>
      </c>
      <c r="R583" s="9">
        <v>222.6</v>
      </c>
      <c r="S583" s="10">
        <v>0.1</v>
      </c>
      <c r="T583" s="9">
        <v>1602.72</v>
      </c>
      <c r="U583" s="9">
        <v>1680</v>
      </c>
      <c r="V583" s="9">
        <v>-77.28</v>
      </c>
      <c r="W583" s="10">
        <v>-4.8218029350104802E-2</v>
      </c>
    </row>
    <row r="584" spans="1:23" x14ac:dyDescent="0.3">
      <c r="A584" s="7" t="s">
        <v>1995</v>
      </c>
      <c r="B584" s="7" t="s">
        <v>458</v>
      </c>
      <c r="C584" s="7" t="s">
        <v>1996</v>
      </c>
      <c r="D584" s="7" t="s">
        <v>1997</v>
      </c>
      <c r="E584" s="7" t="s">
        <v>87</v>
      </c>
      <c r="F584" s="8">
        <v>45303</v>
      </c>
      <c r="G584" s="8">
        <v>45304</v>
      </c>
      <c r="H584" s="8">
        <v>45307</v>
      </c>
      <c r="I584" s="7" t="s">
        <v>72</v>
      </c>
      <c r="J584" s="7" t="s">
        <v>2362</v>
      </c>
      <c r="K584" s="7" t="s">
        <v>21</v>
      </c>
      <c r="L584" s="7" t="s">
        <v>23</v>
      </c>
      <c r="M584" s="7" t="s">
        <v>30</v>
      </c>
      <c r="N584" s="7" t="s">
        <v>27</v>
      </c>
      <c r="O584" s="7" t="s">
        <v>31</v>
      </c>
      <c r="P584" s="7">
        <v>9</v>
      </c>
      <c r="Q584" s="9">
        <v>1030</v>
      </c>
      <c r="R584" s="9">
        <v>1174.2</v>
      </c>
      <c r="S584" s="10">
        <v>0.02</v>
      </c>
      <c r="T584" s="9">
        <v>10356.444</v>
      </c>
      <c r="U584" s="9">
        <v>9270</v>
      </c>
      <c r="V584" s="9">
        <v>1086.444</v>
      </c>
      <c r="W584" s="10">
        <v>0.104905119942714</v>
      </c>
    </row>
    <row r="585" spans="1:23" x14ac:dyDescent="0.3">
      <c r="A585" s="7" t="s">
        <v>1998</v>
      </c>
      <c r="B585" s="7" t="s">
        <v>1174</v>
      </c>
      <c r="C585" s="7" t="s">
        <v>1999</v>
      </c>
      <c r="D585" s="7" t="s">
        <v>2000</v>
      </c>
      <c r="E585" s="7" t="s">
        <v>114</v>
      </c>
      <c r="F585" s="8">
        <v>45501</v>
      </c>
      <c r="G585" s="8">
        <v>45501</v>
      </c>
      <c r="H585" s="8">
        <v>45506</v>
      </c>
      <c r="I585" s="7" t="s">
        <v>72</v>
      </c>
      <c r="J585" s="7" t="s">
        <v>2364</v>
      </c>
      <c r="K585" s="7" t="s">
        <v>19</v>
      </c>
      <c r="L585" s="7" t="s">
        <v>24</v>
      </c>
      <c r="M585" s="7" t="s">
        <v>51</v>
      </c>
      <c r="N585" s="7" t="s">
        <v>33</v>
      </c>
      <c r="O585" s="7" t="s">
        <v>52</v>
      </c>
      <c r="P585" s="7">
        <v>5</v>
      </c>
      <c r="Q585" s="9">
        <v>280</v>
      </c>
      <c r="R585" s="9">
        <v>336</v>
      </c>
      <c r="S585" s="10">
        <v>0.02</v>
      </c>
      <c r="T585" s="9">
        <v>1646.4</v>
      </c>
      <c r="U585" s="9">
        <v>1400</v>
      </c>
      <c r="V585" s="9">
        <v>246.4</v>
      </c>
      <c r="W585" s="10">
        <v>0.14965986394557801</v>
      </c>
    </row>
    <row r="586" spans="1:23" x14ac:dyDescent="0.3">
      <c r="A586" s="7" t="s">
        <v>2001</v>
      </c>
      <c r="B586" s="7" t="s">
        <v>1607</v>
      </c>
      <c r="C586" s="7" t="s">
        <v>2002</v>
      </c>
      <c r="D586" s="7" t="s">
        <v>2003</v>
      </c>
      <c r="E586" s="7" t="s">
        <v>141</v>
      </c>
      <c r="F586" s="8">
        <v>45754</v>
      </c>
      <c r="G586" s="8">
        <v>45754</v>
      </c>
      <c r="H586" s="8">
        <v>45759</v>
      </c>
      <c r="I586" s="7" t="s">
        <v>82</v>
      </c>
      <c r="J586" s="7" t="s">
        <v>2363</v>
      </c>
      <c r="K586" s="7" t="s">
        <v>20</v>
      </c>
      <c r="L586" s="7" t="s">
        <v>25</v>
      </c>
      <c r="M586" s="7" t="s">
        <v>35</v>
      </c>
      <c r="N586" s="7" t="s">
        <v>33</v>
      </c>
      <c r="O586" s="7" t="s">
        <v>36</v>
      </c>
      <c r="P586" s="7">
        <v>1</v>
      </c>
      <c r="Q586" s="9">
        <v>1530</v>
      </c>
      <c r="R586" s="9">
        <v>1790.1</v>
      </c>
      <c r="S586" s="10">
        <v>0.02</v>
      </c>
      <c r="T586" s="9">
        <v>1754.298</v>
      </c>
      <c r="U586" s="9">
        <v>1530</v>
      </c>
      <c r="V586" s="9">
        <v>224.298</v>
      </c>
      <c r="W586" s="10">
        <v>0.12785627071341399</v>
      </c>
    </row>
    <row r="587" spans="1:23" x14ac:dyDescent="0.3">
      <c r="A587" s="7" t="s">
        <v>2004</v>
      </c>
      <c r="B587" s="7" t="s">
        <v>428</v>
      </c>
      <c r="C587" s="7" t="s">
        <v>2005</v>
      </c>
      <c r="D587" s="7" t="s">
        <v>2006</v>
      </c>
      <c r="E587" s="7" t="s">
        <v>109</v>
      </c>
      <c r="F587" s="8">
        <v>45698</v>
      </c>
      <c r="G587" s="8">
        <v>45699</v>
      </c>
      <c r="H587" s="8">
        <v>45702</v>
      </c>
      <c r="I587" s="7" t="s">
        <v>72</v>
      </c>
      <c r="J587" s="7" t="s">
        <v>2363</v>
      </c>
      <c r="K587" s="7" t="s">
        <v>19</v>
      </c>
      <c r="L587" s="7" t="s">
        <v>22</v>
      </c>
      <c r="M587" s="7" t="s">
        <v>2365</v>
      </c>
      <c r="N587" s="7" t="s">
        <v>27</v>
      </c>
      <c r="O587" s="7" t="s">
        <v>56</v>
      </c>
      <c r="P587" s="7">
        <v>7</v>
      </c>
      <c r="Q587" s="9">
        <v>650</v>
      </c>
      <c r="R587" s="9">
        <v>663</v>
      </c>
      <c r="S587" s="10">
        <v>0.02</v>
      </c>
      <c r="T587" s="9">
        <v>4548.18</v>
      </c>
      <c r="U587" s="9">
        <v>4550</v>
      </c>
      <c r="V587" s="9">
        <v>-1.82</v>
      </c>
      <c r="W587" s="10">
        <v>-4.0016006402561E-4</v>
      </c>
    </row>
    <row r="588" spans="1:23" x14ac:dyDescent="0.3">
      <c r="A588" s="7" t="s">
        <v>2007</v>
      </c>
      <c r="B588" s="7" t="s">
        <v>1696</v>
      </c>
      <c r="C588" s="7" t="s">
        <v>2008</v>
      </c>
      <c r="D588" s="7" t="s">
        <v>2009</v>
      </c>
      <c r="E588" s="7" t="s">
        <v>87</v>
      </c>
      <c r="F588" s="8">
        <v>45540</v>
      </c>
      <c r="G588" s="8">
        <v>45541</v>
      </c>
      <c r="H588" s="8">
        <v>45544</v>
      </c>
      <c r="I588" s="7" t="s">
        <v>72</v>
      </c>
      <c r="J588" s="7" t="s">
        <v>2363</v>
      </c>
      <c r="K588" s="7" t="s">
        <v>20</v>
      </c>
      <c r="L588" s="7" t="s">
        <v>61</v>
      </c>
      <c r="M588" s="7" t="s">
        <v>30</v>
      </c>
      <c r="N588" s="7" t="s">
        <v>27</v>
      </c>
      <c r="O588" s="7" t="s">
        <v>31</v>
      </c>
      <c r="P588" s="7">
        <v>7</v>
      </c>
      <c r="Q588" s="9">
        <v>1030</v>
      </c>
      <c r="R588" s="9">
        <v>1174.2</v>
      </c>
      <c r="S588" s="10">
        <v>0.02</v>
      </c>
      <c r="T588" s="9">
        <v>8055.0119999999997</v>
      </c>
      <c r="U588" s="9">
        <v>7210</v>
      </c>
      <c r="V588" s="9">
        <v>845.01199999999994</v>
      </c>
      <c r="W588" s="10">
        <v>0.104905119942714</v>
      </c>
    </row>
    <row r="589" spans="1:23" x14ac:dyDescent="0.3">
      <c r="A589" s="7" t="s">
        <v>2010</v>
      </c>
      <c r="B589" s="7" t="s">
        <v>230</v>
      </c>
      <c r="C589" s="7" t="s">
        <v>2011</v>
      </c>
      <c r="D589" s="7" t="s">
        <v>2012</v>
      </c>
      <c r="E589" s="7" t="s">
        <v>178</v>
      </c>
      <c r="F589" s="8">
        <v>45811</v>
      </c>
      <c r="G589" s="8">
        <v>45812</v>
      </c>
      <c r="H589" s="8">
        <v>45814</v>
      </c>
      <c r="I589" s="7" t="s">
        <v>72</v>
      </c>
      <c r="J589" s="7" t="s">
        <v>2364</v>
      </c>
      <c r="K589" s="7" t="s">
        <v>21</v>
      </c>
      <c r="L589" s="7" t="s">
        <v>24</v>
      </c>
      <c r="M589" s="7" t="s">
        <v>47</v>
      </c>
      <c r="N589" s="7" t="s">
        <v>38</v>
      </c>
      <c r="O589" s="7" t="s">
        <v>39</v>
      </c>
      <c r="P589" s="7">
        <v>6</v>
      </c>
      <c r="Q589" s="9">
        <v>390</v>
      </c>
      <c r="R589" s="9">
        <v>468</v>
      </c>
      <c r="S589" s="10">
        <v>0</v>
      </c>
      <c r="T589" s="9">
        <v>2808</v>
      </c>
      <c r="U589" s="9">
        <v>2340</v>
      </c>
      <c r="V589" s="9">
        <v>468</v>
      </c>
      <c r="W589" s="10">
        <v>0.16666666666666699</v>
      </c>
    </row>
    <row r="590" spans="1:23" x14ac:dyDescent="0.3">
      <c r="A590" s="7" t="s">
        <v>2013</v>
      </c>
      <c r="B590" s="7" t="s">
        <v>568</v>
      </c>
      <c r="C590" s="7" t="s">
        <v>2014</v>
      </c>
      <c r="D590" s="7" t="s">
        <v>2015</v>
      </c>
      <c r="E590" s="7" t="s">
        <v>217</v>
      </c>
      <c r="F590" s="8">
        <v>45735</v>
      </c>
      <c r="G590" s="8">
        <v>45735</v>
      </c>
      <c r="H590" s="8">
        <v>45738</v>
      </c>
      <c r="I590" s="7" t="s">
        <v>72</v>
      </c>
      <c r="J590" s="7" t="s">
        <v>2364</v>
      </c>
      <c r="K590" s="7" t="s">
        <v>20</v>
      </c>
      <c r="L590" s="7" t="s">
        <v>23</v>
      </c>
      <c r="M590" s="7" t="s">
        <v>29</v>
      </c>
      <c r="N590" s="7" t="s">
        <v>27</v>
      </c>
      <c r="O590" s="7" t="s">
        <v>28</v>
      </c>
      <c r="P590" s="7">
        <v>5</v>
      </c>
      <c r="Q590" s="9">
        <v>3930</v>
      </c>
      <c r="R590" s="9">
        <v>4362.3</v>
      </c>
      <c r="S590" s="10">
        <v>0</v>
      </c>
      <c r="T590" s="9">
        <v>21811.5</v>
      </c>
      <c r="U590" s="9">
        <v>19650</v>
      </c>
      <c r="V590" s="9">
        <v>2161.5</v>
      </c>
      <c r="W590" s="10">
        <v>9.90990990990991E-2</v>
      </c>
    </row>
    <row r="591" spans="1:23" x14ac:dyDescent="0.3">
      <c r="A591" s="7" t="s">
        <v>2016</v>
      </c>
      <c r="B591" s="7" t="s">
        <v>2017</v>
      </c>
      <c r="C591" s="7" t="s">
        <v>2018</v>
      </c>
      <c r="D591" s="7" t="s">
        <v>2019</v>
      </c>
      <c r="E591" s="7" t="s">
        <v>178</v>
      </c>
      <c r="F591" s="8">
        <v>45439</v>
      </c>
      <c r="G591" s="8">
        <v>45440</v>
      </c>
      <c r="H591" s="8">
        <v>45444</v>
      </c>
      <c r="I591" s="7" t="s">
        <v>72</v>
      </c>
      <c r="J591" s="7" t="s">
        <v>2</v>
      </c>
      <c r="K591" s="7" t="s">
        <v>19</v>
      </c>
      <c r="L591" s="7" t="s">
        <v>61</v>
      </c>
      <c r="M591" s="7" t="s">
        <v>47</v>
      </c>
      <c r="N591" s="7" t="s">
        <v>38</v>
      </c>
      <c r="O591" s="7" t="s">
        <v>39</v>
      </c>
      <c r="P591" s="7">
        <v>9</v>
      </c>
      <c r="Q591" s="9">
        <v>390</v>
      </c>
      <c r="R591" s="9">
        <v>468</v>
      </c>
      <c r="S591" s="10">
        <v>7.0000000000000007E-2</v>
      </c>
      <c r="T591" s="9">
        <v>3917.16</v>
      </c>
      <c r="U591" s="9">
        <v>3510</v>
      </c>
      <c r="V591" s="9">
        <v>407.16</v>
      </c>
      <c r="W591" s="10">
        <v>0.103942652329749</v>
      </c>
    </row>
    <row r="592" spans="1:23" x14ac:dyDescent="0.3">
      <c r="A592" s="7" t="s">
        <v>2020</v>
      </c>
      <c r="B592" s="7" t="s">
        <v>633</v>
      </c>
      <c r="C592" s="7" t="s">
        <v>2021</v>
      </c>
      <c r="D592" s="7" t="s">
        <v>2022</v>
      </c>
      <c r="E592" s="7" t="s">
        <v>87</v>
      </c>
      <c r="F592" s="8">
        <v>45722</v>
      </c>
      <c r="G592" s="8">
        <v>45723</v>
      </c>
      <c r="H592" s="8">
        <v>45726</v>
      </c>
      <c r="I592" s="7" t="s">
        <v>72</v>
      </c>
      <c r="J592" s="7" t="s">
        <v>2</v>
      </c>
      <c r="K592" s="7" t="s">
        <v>19</v>
      </c>
      <c r="L592" s="7" t="s">
        <v>24</v>
      </c>
      <c r="M592" s="7" t="s">
        <v>30</v>
      </c>
      <c r="N592" s="7" t="s">
        <v>27</v>
      </c>
      <c r="O592" s="7" t="s">
        <v>31</v>
      </c>
      <c r="P592" s="7">
        <v>5</v>
      </c>
      <c r="Q592" s="9">
        <v>1030</v>
      </c>
      <c r="R592" s="9">
        <v>1174.2</v>
      </c>
      <c r="S592" s="10">
        <v>0.02</v>
      </c>
      <c r="T592" s="9">
        <v>5753.58</v>
      </c>
      <c r="U592" s="9">
        <v>5150</v>
      </c>
      <c r="V592" s="9">
        <v>603.58000000000004</v>
      </c>
      <c r="W592" s="10">
        <v>0.104905119942714</v>
      </c>
    </row>
    <row r="593" spans="1:23" x14ac:dyDescent="0.3">
      <c r="A593" s="7" t="s">
        <v>2023</v>
      </c>
      <c r="B593" s="7" t="s">
        <v>1852</v>
      </c>
      <c r="C593" s="7" t="s">
        <v>2024</v>
      </c>
      <c r="D593" s="7" t="s">
        <v>1120</v>
      </c>
      <c r="E593" s="7" t="s">
        <v>119</v>
      </c>
      <c r="F593" s="8">
        <v>45566</v>
      </c>
      <c r="G593" s="8">
        <v>45566</v>
      </c>
      <c r="H593" s="8">
        <v>45568</v>
      </c>
      <c r="I593" s="7" t="s">
        <v>82</v>
      </c>
      <c r="J593" s="7" t="s">
        <v>2364</v>
      </c>
      <c r="K593" s="7" t="s">
        <v>19</v>
      </c>
      <c r="L593" s="7" t="s">
        <v>25</v>
      </c>
      <c r="M593" s="7" t="s">
        <v>37</v>
      </c>
      <c r="N593" s="7" t="s">
        <v>38</v>
      </c>
      <c r="O593" s="7" t="s">
        <v>39</v>
      </c>
      <c r="P593" s="7">
        <v>4</v>
      </c>
      <c r="Q593" s="9">
        <v>250</v>
      </c>
      <c r="R593" s="9">
        <v>270</v>
      </c>
      <c r="S593" s="10">
        <v>0.1</v>
      </c>
      <c r="T593" s="9">
        <v>972</v>
      </c>
      <c r="U593" s="9">
        <v>1000</v>
      </c>
      <c r="V593" s="9">
        <v>-28</v>
      </c>
      <c r="W593" s="10">
        <v>-2.8806584362139901E-2</v>
      </c>
    </row>
    <row r="594" spans="1:23" x14ac:dyDescent="0.3">
      <c r="A594" s="7" t="s">
        <v>2025</v>
      </c>
      <c r="B594" s="7" t="s">
        <v>636</v>
      </c>
      <c r="C594" s="7" t="s">
        <v>2026</v>
      </c>
      <c r="D594" s="7" t="s">
        <v>2027</v>
      </c>
      <c r="E594" s="7" t="s">
        <v>217</v>
      </c>
      <c r="F594" s="8">
        <v>45857</v>
      </c>
      <c r="G594" s="8">
        <v>45857</v>
      </c>
      <c r="H594" s="8">
        <v>45862</v>
      </c>
      <c r="I594" s="7" t="s">
        <v>72</v>
      </c>
      <c r="J594" s="7" t="s">
        <v>2363</v>
      </c>
      <c r="K594" s="7" t="s">
        <v>21</v>
      </c>
      <c r="L594" s="7" t="s">
        <v>22</v>
      </c>
      <c r="M594" s="7" t="s">
        <v>29</v>
      </c>
      <c r="N594" s="7" t="s">
        <v>27</v>
      </c>
      <c r="O594" s="7" t="s">
        <v>28</v>
      </c>
      <c r="P594" s="7">
        <v>12</v>
      </c>
      <c r="Q594" s="9">
        <v>3930</v>
      </c>
      <c r="R594" s="9">
        <v>4362.3</v>
      </c>
      <c r="S594" s="10">
        <v>0.04</v>
      </c>
      <c r="T594" s="9">
        <v>50253.696000000004</v>
      </c>
      <c r="U594" s="9">
        <v>47160</v>
      </c>
      <c r="V594" s="9">
        <v>3093.6959999999999</v>
      </c>
      <c r="W594" s="10">
        <v>6.1561561561561597E-2</v>
      </c>
    </row>
    <row r="595" spans="1:23" x14ac:dyDescent="0.3">
      <c r="A595" s="7" t="s">
        <v>2028</v>
      </c>
      <c r="B595" s="7" t="s">
        <v>226</v>
      </c>
      <c r="C595" s="7" t="s">
        <v>2029</v>
      </c>
      <c r="D595" s="7" t="s">
        <v>2030</v>
      </c>
      <c r="E595" s="7" t="s">
        <v>77</v>
      </c>
      <c r="F595" s="8">
        <v>45940</v>
      </c>
      <c r="G595" s="8">
        <v>45941</v>
      </c>
      <c r="H595" s="8">
        <v>45942</v>
      </c>
      <c r="I595" s="7" t="s">
        <v>82</v>
      </c>
      <c r="J595" s="7" t="s">
        <v>2362</v>
      </c>
      <c r="K595" s="7" t="s">
        <v>20</v>
      </c>
      <c r="L595" s="7" t="s">
        <v>24</v>
      </c>
      <c r="M595" s="7" t="s">
        <v>44</v>
      </c>
      <c r="N595" s="7" t="s">
        <v>38</v>
      </c>
      <c r="O595" s="7" t="s">
        <v>45</v>
      </c>
      <c r="P595" s="7">
        <v>4</v>
      </c>
      <c r="Q595" s="9">
        <v>210</v>
      </c>
      <c r="R595" s="9">
        <v>222.6</v>
      </c>
      <c r="S595" s="10">
        <v>0.01</v>
      </c>
      <c r="T595" s="9">
        <v>881.49599999999998</v>
      </c>
      <c r="U595" s="9">
        <v>840</v>
      </c>
      <c r="V595" s="9">
        <v>41.496000000000002</v>
      </c>
      <c r="W595" s="10">
        <v>4.7074518772632003E-2</v>
      </c>
    </row>
    <row r="596" spans="1:23" x14ac:dyDescent="0.3">
      <c r="A596" s="7" t="s">
        <v>2031</v>
      </c>
      <c r="B596" s="7" t="s">
        <v>925</v>
      </c>
      <c r="C596" s="7" t="s">
        <v>2032</v>
      </c>
      <c r="D596" s="7" t="s">
        <v>1482</v>
      </c>
      <c r="E596" s="7" t="s">
        <v>119</v>
      </c>
      <c r="F596" s="8">
        <v>45882</v>
      </c>
      <c r="G596" s="8">
        <v>45882</v>
      </c>
      <c r="H596" s="8">
        <v>45884</v>
      </c>
      <c r="I596" s="7" t="s">
        <v>72</v>
      </c>
      <c r="J596" s="7" t="s">
        <v>2364</v>
      </c>
      <c r="K596" s="7" t="s">
        <v>20</v>
      </c>
      <c r="L596" s="7" t="s">
        <v>24</v>
      </c>
      <c r="M596" s="7" t="s">
        <v>37</v>
      </c>
      <c r="N596" s="7" t="s">
        <v>38</v>
      </c>
      <c r="O596" s="7" t="s">
        <v>39</v>
      </c>
      <c r="P596" s="7">
        <v>5</v>
      </c>
      <c r="Q596" s="9">
        <v>250</v>
      </c>
      <c r="R596" s="9">
        <v>270</v>
      </c>
      <c r="S596" s="10">
        <v>0</v>
      </c>
      <c r="T596" s="9">
        <v>1350</v>
      </c>
      <c r="U596" s="9">
        <v>1250</v>
      </c>
      <c r="V596" s="9">
        <v>100</v>
      </c>
      <c r="W596" s="10">
        <v>7.4074074074074098E-2</v>
      </c>
    </row>
    <row r="597" spans="1:23" x14ac:dyDescent="0.3">
      <c r="A597" s="7" t="s">
        <v>2033</v>
      </c>
      <c r="B597" s="7" t="s">
        <v>629</v>
      </c>
      <c r="C597" s="7" t="s">
        <v>2034</v>
      </c>
      <c r="D597" s="7" t="s">
        <v>2035</v>
      </c>
      <c r="E597" s="7" t="s">
        <v>217</v>
      </c>
      <c r="F597" s="8">
        <v>45535</v>
      </c>
      <c r="G597" s="8">
        <v>45535</v>
      </c>
      <c r="H597" s="8">
        <v>45538</v>
      </c>
      <c r="I597" s="7" t="s">
        <v>72</v>
      </c>
      <c r="J597" s="7" t="s">
        <v>2364</v>
      </c>
      <c r="K597" s="7" t="s">
        <v>19</v>
      </c>
      <c r="L597" s="7" t="s">
        <v>24</v>
      </c>
      <c r="M597" s="7" t="s">
        <v>29</v>
      </c>
      <c r="N597" s="7" t="s">
        <v>27</v>
      </c>
      <c r="O597" s="7" t="s">
        <v>28</v>
      </c>
      <c r="P597" s="7">
        <v>9</v>
      </c>
      <c r="Q597" s="9">
        <v>3930</v>
      </c>
      <c r="R597" s="9">
        <v>4362.3</v>
      </c>
      <c r="S597" s="10">
        <v>0.05</v>
      </c>
      <c r="T597" s="9">
        <v>37297.665000000001</v>
      </c>
      <c r="U597" s="9">
        <v>35370</v>
      </c>
      <c r="V597" s="9">
        <v>1927.665</v>
      </c>
      <c r="W597" s="10">
        <v>5.1683262209578001E-2</v>
      </c>
    </row>
    <row r="598" spans="1:23" x14ac:dyDescent="0.3">
      <c r="A598" s="7" t="s">
        <v>2036</v>
      </c>
      <c r="B598" s="7" t="s">
        <v>1174</v>
      </c>
      <c r="C598" s="7" t="s">
        <v>2037</v>
      </c>
      <c r="D598" s="7" t="s">
        <v>1295</v>
      </c>
      <c r="E598" s="7" t="s">
        <v>192</v>
      </c>
      <c r="F598" s="8">
        <v>45886</v>
      </c>
      <c r="G598" s="8">
        <v>45886</v>
      </c>
      <c r="H598" s="8">
        <v>45889</v>
      </c>
      <c r="I598" s="7" t="s">
        <v>72</v>
      </c>
      <c r="J598" s="7" t="s">
        <v>1</v>
      </c>
      <c r="K598" s="7" t="s">
        <v>20</v>
      </c>
      <c r="L598" s="7" t="s">
        <v>61</v>
      </c>
      <c r="M598" s="7" t="s">
        <v>46</v>
      </c>
      <c r="N598" s="7" t="s">
        <v>38</v>
      </c>
      <c r="O598" s="7" t="s">
        <v>45</v>
      </c>
      <c r="P598" s="7">
        <v>9</v>
      </c>
      <c r="Q598" s="9">
        <v>350</v>
      </c>
      <c r="R598" s="9">
        <v>364</v>
      </c>
      <c r="S598" s="10">
        <v>7.0000000000000007E-2</v>
      </c>
      <c r="T598" s="9">
        <v>3046.68</v>
      </c>
      <c r="U598" s="9">
        <v>3150</v>
      </c>
      <c r="V598" s="9">
        <v>-103.32</v>
      </c>
      <c r="W598" s="10">
        <v>-3.3912324234904902E-2</v>
      </c>
    </row>
    <row r="599" spans="1:23" x14ac:dyDescent="0.3">
      <c r="A599" s="7" t="s">
        <v>2038</v>
      </c>
      <c r="B599" s="7" t="s">
        <v>1131</v>
      </c>
      <c r="C599" s="7" t="s">
        <v>2039</v>
      </c>
      <c r="D599" s="7" t="s">
        <v>721</v>
      </c>
      <c r="E599" s="7" t="s">
        <v>322</v>
      </c>
      <c r="F599" s="8">
        <v>45900</v>
      </c>
      <c r="G599" s="8">
        <v>45901</v>
      </c>
      <c r="H599" s="8">
        <v>45903</v>
      </c>
      <c r="I599" s="7" t="s">
        <v>82</v>
      </c>
      <c r="J599" s="7" t="s">
        <v>2363</v>
      </c>
      <c r="K599" s="7" t="s">
        <v>19</v>
      </c>
      <c r="L599" s="7" t="s">
        <v>23</v>
      </c>
      <c r="M599" s="7" t="s">
        <v>26</v>
      </c>
      <c r="N599" s="7" t="s">
        <v>27</v>
      </c>
      <c r="O599" s="7" t="s">
        <v>28</v>
      </c>
      <c r="P599" s="7">
        <v>2</v>
      </c>
      <c r="Q599" s="9">
        <v>3330</v>
      </c>
      <c r="R599" s="9">
        <v>3629.7</v>
      </c>
      <c r="S599" s="10">
        <v>0.01</v>
      </c>
      <c r="T599" s="9">
        <v>7186.8059999999996</v>
      </c>
      <c r="U599" s="9">
        <v>6660</v>
      </c>
      <c r="V599" s="9">
        <v>526.80600000000004</v>
      </c>
      <c r="W599" s="10">
        <v>7.3301825595403602E-2</v>
      </c>
    </row>
    <row r="600" spans="1:23" x14ac:dyDescent="0.3">
      <c r="A600" s="7" t="s">
        <v>2040</v>
      </c>
      <c r="B600" s="7" t="s">
        <v>138</v>
      </c>
      <c r="C600" s="7" t="s">
        <v>2041</v>
      </c>
      <c r="D600" s="7" t="s">
        <v>1209</v>
      </c>
      <c r="E600" s="7" t="s">
        <v>109</v>
      </c>
      <c r="F600" s="8">
        <v>45649</v>
      </c>
      <c r="G600" s="8">
        <v>45649</v>
      </c>
      <c r="H600" s="8">
        <v>45652</v>
      </c>
      <c r="I600" s="7" t="s">
        <v>72</v>
      </c>
      <c r="J600" s="7" t="s">
        <v>2</v>
      </c>
      <c r="K600" s="7" t="s">
        <v>21</v>
      </c>
      <c r="L600" s="7" t="s">
        <v>23</v>
      </c>
      <c r="M600" s="7" t="s">
        <v>2365</v>
      </c>
      <c r="N600" s="7" t="s">
        <v>27</v>
      </c>
      <c r="O600" s="7" t="s">
        <v>56</v>
      </c>
      <c r="P600" s="7">
        <v>12</v>
      </c>
      <c r="Q600" s="9">
        <v>650</v>
      </c>
      <c r="R600" s="9">
        <v>663</v>
      </c>
      <c r="S600" s="10">
        <v>0.02</v>
      </c>
      <c r="T600" s="9">
        <v>7796.88</v>
      </c>
      <c r="U600" s="9">
        <v>7800</v>
      </c>
      <c r="V600" s="9">
        <v>-3.12</v>
      </c>
      <c r="W600" s="10">
        <v>-4.0016006402561E-4</v>
      </c>
    </row>
    <row r="601" spans="1:23" x14ac:dyDescent="0.3">
      <c r="A601" s="7" t="s">
        <v>2042</v>
      </c>
      <c r="B601" s="7" t="s">
        <v>214</v>
      </c>
      <c r="C601" s="7" t="s">
        <v>2043</v>
      </c>
      <c r="D601" s="7" t="s">
        <v>2044</v>
      </c>
      <c r="E601" s="7" t="s">
        <v>109</v>
      </c>
      <c r="F601" s="8">
        <v>46112</v>
      </c>
      <c r="G601" s="8">
        <v>46112</v>
      </c>
      <c r="H601" s="8">
        <v>46117</v>
      </c>
      <c r="I601" s="7" t="s">
        <v>82</v>
      </c>
      <c r="J601" s="7" t="s">
        <v>2363</v>
      </c>
      <c r="K601" s="7" t="s">
        <v>20</v>
      </c>
      <c r="L601" s="7" t="s">
        <v>24</v>
      </c>
      <c r="M601" s="7" t="s">
        <v>2365</v>
      </c>
      <c r="N601" s="7" t="s">
        <v>27</v>
      </c>
      <c r="O601" s="7" t="s">
        <v>56</v>
      </c>
      <c r="P601" s="7">
        <v>1</v>
      </c>
      <c r="Q601" s="9">
        <v>650</v>
      </c>
      <c r="R601" s="9">
        <v>663</v>
      </c>
      <c r="S601" s="10">
        <v>0.1</v>
      </c>
      <c r="T601" s="9">
        <v>596.70000000000005</v>
      </c>
      <c r="U601" s="9">
        <v>650</v>
      </c>
      <c r="V601" s="9">
        <v>-53.3</v>
      </c>
      <c r="W601" s="10">
        <v>-8.9324618736383393E-2</v>
      </c>
    </row>
    <row r="602" spans="1:23" x14ac:dyDescent="0.3">
      <c r="A602" s="7" t="s">
        <v>2071</v>
      </c>
      <c r="B602" s="7" t="s">
        <v>757</v>
      </c>
      <c r="C602" s="7" t="s">
        <v>2072</v>
      </c>
      <c r="D602" s="7" t="s">
        <v>2073</v>
      </c>
      <c r="E602" s="7" t="s">
        <v>114</v>
      </c>
      <c r="F602" s="8">
        <v>45345</v>
      </c>
      <c r="G602" s="8">
        <v>45346</v>
      </c>
      <c r="H602" s="8">
        <v>45350</v>
      </c>
      <c r="I602" s="7" t="s">
        <v>72</v>
      </c>
      <c r="J602" s="7" t="s">
        <v>1</v>
      </c>
      <c r="K602" s="7" t="s">
        <v>21</v>
      </c>
      <c r="L602" s="7" t="s">
        <v>23</v>
      </c>
      <c r="M602" s="7" t="s">
        <v>51</v>
      </c>
      <c r="N602" s="7" t="s">
        <v>33</v>
      </c>
      <c r="O602" s="7" t="s">
        <v>52</v>
      </c>
      <c r="P602" s="7">
        <v>7</v>
      </c>
      <c r="Q602" s="9">
        <v>280</v>
      </c>
      <c r="R602" s="9">
        <v>336</v>
      </c>
      <c r="S602" s="10">
        <v>0.1</v>
      </c>
      <c r="T602" s="9">
        <v>2116.8000000000002</v>
      </c>
      <c r="U602" s="9">
        <v>1960</v>
      </c>
      <c r="V602" s="9">
        <v>156.80000000000001</v>
      </c>
      <c r="W602" s="10">
        <v>7.4074074074074098E-2</v>
      </c>
    </row>
    <row r="603" spans="1:23" x14ac:dyDescent="0.3">
      <c r="A603" s="7" t="s">
        <v>2045</v>
      </c>
      <c r="B603" s="7" t="s">
        <v>1278</v>
      </c>
      <c r="C603" s="7" t="s">
        <v>2046</v>
      </c>
      <c r="D603" s="7" t="s">
        <v>2047</v>
      </c>
      <c r="E603" s="7" t="s">
        <v>322</v>
      </c>
      <c r="F603" s="8">
        <v>46082</v>
      </c>
      <c r="G603" s="8">
        <v>46083</v>
      </c>
      <c r="H603" s="8">
        <v>46085</v>
      </c>
      <c r="I603" s="7" t="s">
        <v>72</v>
      </c>
      <c r="J603" s="7" t="s">
        <v>2362</v>
      </c>
      <c r="K603" s="7" t="s">
        <v>21</v>
      </c>
      <c r="L603" s="7" t="s">
        <v>25</v>
      </c>
      <c r="M603" s="7" t="s">
        <v>26</v>
      </c>
      <c r="N603" s="7" t="s">
        <v>27</v>
      </c>
      <c r="O603" s="7" t="s">
        <v>28</v>
      </c>
      <c r="P603" s="7">
        <v>5</v>
      </c>
      <c r="Q603" s="9">
        <v>3330</v>
      </c>
      <c r="R603" s="9">
        <v>3629.7</v>
      </c>
      <c r="S603" s="10">
        <v>0.04</v>
      </c>
      <c r="T603" s="9">
        <v>17422.560000000001</v>
      </c>
      <c r="U603" s="9">
        <v>16650</v>
      </c>
      <c r="V603" s="9">
        <v>772.56</v>
      </c>
      <c r="W603" s="10">
        <v>4.4342507645259897E-2</v>
      </c>
    </row>
    <row r="604" spans="1:23" x14ac:dyDescent="0.3">
      <c r="A604" s="7" t="s">
        <v>2048</v>
      </c>
      <c r="B604" s="7" t="s">
        <v>1530</v>
      </c>
      <c r="C604" s="7" t="s">
        <v>2049</v>
      </c>
      <c r="D604" s="7" t="s">
        <v>2050</v>
      </c>
      <c r="E604" s="7" t="s">
        <v>322</v>
      </c>
      <c r="F604" s="8">
        <v>45654</v>
      </c>
      <c r="G604" s="8">
        <v>45655</v>
      </c>
      <c r="H604" s="8">
        <v>45657</v>
      </c>
      <c r="I604" s="7" t="s">
        <v>82</v>
      </c>
      <c r="J604" s="7" t="s">
        <v>1</v>
      </c>
      <c r="K604" s="7" t="s">
        <v>19</v>
      </c>
      <c r="L604" s="7" t="s">
        <v>61</v>
      </c>
      <c r="M604" s="7" t="s">
        <v>26</v>
      </c>
      <c r="N604" s="7" t="s">
        <v>27</v>
      </c>
      <c r="O604" s="7" t="s">
        <v>28</v>
      </c>
      <c r="P604" s="7">
        <v>3</v>
      </c>
      <c r="Q604" s="9">
        <v>3330</v>
      </c>
      <c r="R604" s="9">
        <v>3629.7</v>
      </c>
      <c r="S604" s="10">
        <v>0.08</v>
      </c>
      <c r="T604" s="9">
        <v>10017.972</v>
      </c>
      <c r="U604" s="9">
        <v>9990</v>
      </c>
      <c r="V604" s="9">
        <v>27.972000000000001</v>
      </c>
      <c r="W604" s="10">
        <v>2.7921818907060201E-3</v>
      </c>
    </row>
    <row r="605" spans="1:23" x14ac:dyDescent="0.3">
      <c r="A605" s="7" t="s">
        <v>2051</v>
      </c>
      <c r="B605" s="7" t="s">
        <v>271</v>
      </c>
      <c r="C605" s="7" t="s">
        <v>2052</v>
      </c>
      <c r="D605" s="7" t="s">
        <v>2053</v>
      </c>
      <c r="E605" s="7" t="s">
        <v>71</v>
      </c>
      <c r="F605" s="8">
        <v>45548</v>
      </c>
      <c r="G605" s="8">
        <v>45548</v>
      </c>
      <c r="H605" s="8">
        <v>45553</v>
      </c>
      <c r="I605" s="7" t="s">
        <v>72</v>
      </c>
      <c r="J605" s="7" t="s">
        <v>2</v>
      </c>
      <c r="K605" s="7" t="s">
        <v>21</v>
      </c>
      <c r="L605" s="7" t="s">
        <v>25</v>
      </c>
      <c r="M605" s="7" t="s">
        <v>32</v>
      </c>
      <c r="N605" s="7" t="s">
        <v>33</v>
      </c>
      <c r="O605" s="7" t="s">
        <v>34</v>
      </c>
      <c r="P605" s="7">
        <v>7</v>
      </c>
      <c r="Q605" s="9">
        <v>730</v>
      </c>
      <c r="R605" s="9">
        <v>824.9</v>
      </c>
      <c r="S605" s="10">
        <v>0.08</v>
      </c>
      <c r="T605" s="9">
        <v>5312.3559999999998</v>
      </c>
      <c r="U605" s="9">
        <v>5110</v>
      </c>
      <c r="V605" s="9">
        <v>202.35599999999999</v>
      </c>
      <c r="W605" s="10">
        <v>3.8091573682185499E-2</v>
      </c>
    </row>
    <row r="606" spans="1:23" x14ac:dyDescent="0.3">
      <c r="A606" s="7" t="s">
        <v>2054</v>
      </c>
      <c r="B606" s="7" t="s">
        <v>863</v>
      </c>
      <c r="C606" s="7" t="s">
        <v>2055</v>
      </c>
      <c r="D606" s="7" t="s">
        <v>2056</v>
      </c>
      <c r="E606" s="7" t="s">
        <v>114</v>
      </c>
      <c r="F606" s="8">
        <v>45311</v>
      </c>
      <c r="G606" s="8">
        <v>45312</v>
      </c>
      <c r="H606" s="8">
        <v>45313</v>
      </c>
      <c r="I606" s="7" t="s">
        <v>72</v>
      </c>
      <c r="J606" s="7" t="s">
        <v>2364</v>
      </c>
      <c r="K606" s="7" t="s">
        <v>19</v>
      </c>
      <c r="L606" s="7" t="s">
        <v>25</v>
      </c>
      <c r="M606" s="7" t="s">
        <v>51</v>
      </c>
      <c r="N606" s="7" t="s">
        <v>33</v>
      </c>
      <c r="O606" s="7" t="s">
        <v>52</v>
      </c>
      <c r="P606" s="7">
        <v>6</v>
      </c>
      <c r="Q606" s="9">
        <v>280</v>
      </c>
      <c r="R606" s="9">
        <v>336</v>
      </c>
      <c r="S606" s="10">
        <v>7.0000000000000007E-2</v>
      </c>
      <c r="T606" s="9">
        <v>1874.88</v>
      </c>
      <c r="U606" s="9">
        <v>1680</v>
      </c>
      <c r="V606" s="9">
        <v>194.88</v>
      </c>
      <c r="W606" s="10">
        <v>0.103942652329749</v>
      </c>
    </row>
    <row r="607" spans="1:23" x14ac:dyDescent="0.3">
      <c r="A607" s="7" t="s">
        <v>2057</v>
      </c>
      <c r="B607" s="7" t="s">
        <v>596</v>
      </c>
      <c r="C607" s="7" t="s">
        <v>2058</v>
      </c>
      <c r="D607" s="7" t="s">
        <v>2059</v>
      </c>
      <c r="E607" s="7" t="s">
        <v>109</v>
      </c>
      <c r="F607" s="8">
        <v>46044</v>
      </c>
      <c r="G607" s="8">
        <v>46044</v>
      </c>
      <c r="H607" s="8">
        <v>46046</v>
      </c>
      <c r="I607" s="7" t="s">
        <v>72</v>
      </c>
      <c r="J607" s="7" t="s">
        <v>1</v>
      </c>
      <c r="K607" s="7" t="s">
        <v>21</v>
      </c>
      <c r="L607" s="7" t="s">
        <v>25</v>
      </c>
      <c r="M607" s="7" t="s">
        <v>2365</v>
      </c>
      <c r="N607" s="7" t="s">
        <v>27</v>
      </c>
      <c r="O607" s="7" t="s">
        <v>56</v>
      </c>
      <c r="P607" s="7">
        <v>5</v>
      </c>
      <c r="Q607" s="9">
        <v>650</v>
      </c>
      <c r="R607" s="9">
        <v>663</v>
      </c>
      <c r="S607" s="10">
        <v>0.06</v>
      </c>
      <c r="T607" s="9">
        <v>3116.1</v>
      </c>
      <c r="U607" s="9">
        <v>3250</v>
      </c>
      <c r="V607" s="9">
        <v>-133.9</v>
      </c>
      <c r="W607" s="10">
        <v>-4.29703796412182E-2</v>
      </c>
    </row>
    <row r="608" spans="1:23" x14ac:dyDescent="0.3">
      <c r="A608" s="7" t="s">
        <v>2060</v>
      </c>
      <c r="B608" s="7" t="s">
        <v>1131</v>
      </c>
      <c r="C608" s="7" t="s">
        <v>2061</v>
      </c>
      <c r="D608" s="7" t="s">
        <v>2062</v>
      </c>
      <c r="E608" s="7" t="s">
        <v>119</v>
      </c>
      <c r="F608" s="8">
        <v>46062</v>
      </c>
      <c r="G608" s="8">
        <v>46062</v>
      </c>
      <c r="H608" s="8">
        <v>46067</v>
      </c>
      <c r="I608" s="7" t="s">
        <v>72</v>
      </c>
      <c r="J608" s="7" t="s">
        <v>2363</v>
      </c>
      <c r="K608" s="7" t="s">
        <v>19</v>
      </c>
      <c r="L608" s="7" t="s">
        <v>25</v>
      </c>
      <c r="M608" s="7" t="s">
        <v>37</v>
      </c>
      <c r="N608" s="7" t="s">
        <v>38</v>
      </c>
      <c r="O608" s="7" t="s">
        <v>39</v>
      </c>
      <c r="P608" s="7">
        <v>6</v>
      </c>
      <c r="Q608" s="9">
        <v>250</v>
      </c>
      <c r="R608" s="9">
        <v>270</v>
      </c>
      <c r="S608" s="10">
        <v>0.09</v>
      </c>
      <c r="T608" s="9">
        <v>1474.2</v>
      </c>
      <c r="U608" s="9">
        <v>1500</v>
      </c>
      <c r="V608" s="9">
        <v>-25.8</v>
      </c>
      <c r="W608" s="10">
        <v>-1.7501017501017499E-2</v>
      </c>
    </row>
    <row r="609" spans="1:23" x14ac:dyDescent="0.3">
      <c r="A609" s="7" t="s">
        <v>2063</v>
      </c>
      <c r="B609" s="7" t="s">
        <v>151</v>
      </c>
      <c r="C609" s="7" t="s">
        <v>2064</v>
      </c>
      <c r="D609" s="7" t="s">
        <v>2065</v>
      </c>
      <c r="E609" s="7" t="s">
        <v>291</v>
      </c>
      <c r="F609" s="8">
        <v>45927</v>
      </c>
      <c r="G609" s="8">
        <v>45927</v>
      </c>
      <c r="H609" s="8">
        <v>45930</v>
      </c>
      <c r="I609" s="7" t="s">
        <v>72</v>
      </c>
      <c r="J609" s="7" t="s">
        <v>2364</v>
      </c>
      <c r="K609" s="7" t="s">
        <v>19</v>
      </c>
      <c r="L609" s="7" t="s">
        <v>25</v>
      </c>
      <c r="M609" s="7" t="s">
        <v>57</v>
      </c>
      <c r="N609" s="7" t="s">
        <v>27</v>
      </c>
      <c r="O609" s="7" t="s">
        <v>58</v>
      </c>
      <c r="P609" s="7">
        <v>10</v>
      </c>
      <c r="Q609" s="9">
        <v>480</v>
      </c>
      <c r="R609" s="9">
        <v>513.6</v>
      </c>
      <c r="S609" s="10">
        <v>0.03</v>
      </c>
      <c r="T609" s="9">
        <v>4981.92</v>
      </c>
      <c r="U609" s="9">
        <v>4800</v>
      </c>
      <c r="V609" s="9">
        <v>181.92</v>
      </c>
      <c r="W609" s="10">
        <v>3.6516042007900602E-2</v>
      </c>
    </row>
    <row r="610" spans="1:23" x14ac:dyDescent="0.3">
      <c r="A610" s="7" t="s">
        <v>2066</v>
      </c>
      <c r="B610" s="7" t="s">
        <v>679</v>
      </c>
      <c r="C610" s="7" t="s">
        <v>2067</v>
      </c>
      <c r="D610" s="7" t="s">
        <v>1911</v>
      </c>
      <c r="E610" s="7" t="s">
        <v>322</v>
      </c>
      <c r="F610" s="8">
        <v>45746</v>
      </c>
      <c r="G610" s="8">
        <v>45746</v>
      </c>
      <c r="H610" s="8">
        <v>45750</v>
      </c>
      <c r="I610" s="7" t="s">
        <v>72</v>
      </c>
      <c r="J610" s="7" t="s">
        <v>2363</v>
      </c>
      <c r="K610" s="7" t="s">
        <v>19</v>
      </c>
      <c r="L610" s="7" t="s">
        <v>61</v>
      </c>
      <c r="M610" s="7" t="s">
        <v>26</v>
      </c>
      <c r="N610" s="7" t="s">
        <v>27</v>
      </c>
      <c r="O610" s="7" t="s">
        <v>28</v>
      </c>
      <c r="P610" s="7">
        <v>6</v>
      </c>
      <c r="Q610" s="9">
        <v>3330</v>
      </c>
      <c r="R610" s="9">
        <v>3629.7</v>
      </c>
      <c r="S610" s="10">
        <v>0.09</v>
      </c>
      <c r="T610" s="9">
        <v>19818.162</v>
      </c>
      <c r="U610" s="9">
        <v>19980</v>
      </c>
      <c r="V610" s="9">
        <v>-161.83799999999999</v>
      </c>
      <c r="W610" s="10">
        <v>-8.1661457808246806E-3</v>
      </c>
    </row>
    <row r="611" spans="1:23" x14ac:dyDescent="0.3">
      <c r="A611" s="7" t="s">
        <v>2068</v>
      </c>
      <c r="B611" s="7" t="s">
        <v>428</v>
      </c>
      <c r="C611" s="7" t="s">
        <v>2069</v>
      </c>
      <c r="D611" s="7" t="s">
        <v>2070</v>
      </c>
      <c r="E611" s="7" t="s">
        <v>71</v>
      </c>
      <c r="F611" s="8">
        <v>46087</v>
      </c>
      <c r="G611" s="8">
        <v>46088</v>
      </c>
      <c r="H611" s="8">
        <v>46091</v>
      </c>
      <c r="I611" s="7" t="s">
        <v>82</v>
      </c>
      <c r="J611" s="7" t="s">
        <v>2362</v>
      </c>
      <c r="K611" s="7" t="s">
        <v>19</v>
      </c>
      <c r="L611" s="7" t="s">
        <v>23</v>
      </c>
      <c r="M611" s="7" t="s">
        <v>32</v>
      </c>
      <c r="N611" s="7" t="s">
        <v>33</v>
      </c>
      <c r="O611" s="7" t="s">
        <v>34</v>
      </c>
      <c r="P611" s="7">
        <v>3</v>
      </c>
      <c r="Q611" s="9">
        <v>730</v>
      </c>
      <c r="R611" s="9">
        <v>824.9</v>
      </c>
      <c r="S611" s="10">
        <v>0.06</v>
      </c>
      <c r="T611" s="9">
        <v>2326.2179999999998</v>
      </c>
      <c r="U611" s="9">
        <v>2190</v>
      </c>
      <c r="V611" s="9">
        <v>136.21799999999999</v>
      </c>
      <c r="W611" s="10">
        <v>5.85577104123517E-2</v>
      </c>
    </row>
    <row r="612" spans="1:23" x14ac:dyDescent="0.3">
      <c r="A612" s="7" t="s">
        <v>2074</v>
      </c>
      <c r="B612" s="7" t="s">
        <v>1607</v>
      </c>
      <c r="C612" s="7" t="s">
        <v>2075</v>
      </c>
      <c r="D612" s="7" t="s">
        <v>2076</v>
      </c>
      <c r="E612" s="7" t="s">
        <v>208</v>
      </c>
      <c r="F612" s="8">
        <v>45623</v>
      </c>
      <c r="G612" s="8">
        <v>45623</v>
      </c>
      <c r="H612" s="8">
        <v>45625</v>
      </c>
      <c r="I612" s="7" t="s">
        <v>82</v>
      </c>
      <c r="J612" s="7" t="s">
        <v>1</v>
      </c>
      <c r="K612" s="7" t="s">
        <v>19</v>
      </c>
      <c r="L612" s="7" t="s">
        <v>23</v>
      </c>
      <c r="M612" s="7" t="s">
        <v>50</v>
      </c>
      <c r="N612" s="7" t="s">
        <v>33</v>
      </c>
      <c r="O612" s="7" t="s">
        <v>36</v>
      </c>
      <c r="P612" s="7">
        <v>2</v>
      </c>
      <c r="Q612" s="9">
        <v>930</v>
      </c>
      <c r="R612" s="9">
        <v>1078.8</v>
      </c>
      <c r="S612" s="10">
        <v>0.05</v>
      </c>
      <c r="T612" s="9">
        <v>2049.7199999999998</v>
      </c>
      <c r="U612" s="9">
        <v>1860</v>
      </c>
      <c r="V612" s="9">
        <v>189.72</v>
      </c>
      <c r="W612" s="10">
        <v>9.2558983666061703E-2</v>
      </c>
    </row>
    <row r="613" spans="1:23" x14ac:dyDescent="0.3">
      <c r="A613" s="7" t="s">
        <v>2077</v>
      </c>
      <c r="B613" s="7" t="s">
        <v>2078</v>
      </c>
      <c r="C613" s="7" t="s">
        <v>2079</v>
      </c>
      <c r="D613" s="7" t="s">
        <v>2080</v>
      </c>
      <c r="E613" s="7" t="s">
        <v>192</v>
      </c>
      <c r="F613" s="8">
        <v>45780</v>
      </c>
      <c r="G613" s="8">
        <v>45780</v>
      </c>
      <c r="H613" s="8">
        <v>45783</v>
      </c>
      <c r="I613" s="7" t="s">
        <v>72</v>
      </c>
      <c r="J613" s="7" t="s">
        <v>2363</v>
      </c>
      <c r="K613" s="7" t="s">
        <v>20</v>
      </c>
      <c r="L613" s="7" t="s">
        <v>25</v>
      </c>
      <c r="M613" s="7" t="s">
        <v>46</v>
      </c>
      <c r="N613" s="7" t="s">
        <v>38</v>
      </c>
      <c r="O613" s="7" t="s">
        <v>45</v>
      </c>
      <c r="P613" s="7">
        <v>10</v>
      </c>
      <c r="Q613" s="9">
        <v>350</v>
      </c>
      <c r="R613" s="9">
        <v>364</v>
      </c>
      <c r="S613" s="10">
        <v>0</v>
      </c>
      <c r="T613" s="9">
        <v>3640</v>
      </c>
      <c r="U613" s="9">
        <v>3500</v>
      </c>
      <c r="V613" s="9">
        <v>140</v>
      </c>
      <c r="W613" s="10">
        <v>3.8461538461538498E-2</v>
      </c>
    </row>
    <row r="614" spans="1:23" x14ac:dyDescent="0.3">
      <c r="A614" s="7" t="s">
        <v>2081</v>
      </c>
      <c r="B614" s="7" t="s">
        <v>816</v>
      </c>
      <c r="C614" s="7" t="s">
        <v>2082</v>
      </c>
      <c r="D614" s="7" t="s">
        <v>2083</v>
      </c>
      <c r="E614" s="7" t="s">
        <v>322</v>
      </c>
      <c r="F614" s="8">
        <v>45927</v>
      </c>
      <c r="G614" s="8">
        <v>45927</v>
      </c>
      <c r="H614" s="8">
        <v>45932</v>
      </c>
      <c r="I614" s="7" t="s">
        <v>72</v>
      </c>
      <c r="J614" s="7" t="s">
        <v>2362</v>
      </c>
      <c r="K614" s="7" t="s">
        <v>20</v>
      </c>
      <c r="L614" s="7" t="s">
        <v>23</v>
      </c>
      <c r="M614" s="7" t="s">
        <v>26</v>
      </c>
      <c r="N614" s="7" t="s">
        <v>27</v>
      </c>
      <c r="O614" s="7" t="s">
        <v>28</v>
      </c>
      <c r="P614" s="7">
        <v>10</v>
      </c>
      <c r="Q614" s="9">
        <v>3330</v>
      </c>
      <c r="R614" s="9">
        <v>3629.7</v>
      </c>
      <c r="S614" s="10">
        <v>7.0000000000000007E-2</v>
      </c>
      <c r="T614" s="9">
        <v>33756.21</v>
      </c>
      <c r="U614" s="9">
        <v>33300</v>
      </c>
      <c r="V614" s="9">
        <v>456.21</v>
      </c>
      <c r="W614" s="10">
        <v>1.35148466015586E-2</v>
      </c>
    </row>
    <row r="615" spans="1:23" x14ac:dyDescent="0.3">
      <c r="A615" s="7" t="s">
        <v>2084</v>
      </c>
      <c r="B615" s="7" t="s">
        <v>389</v>
      </c>
      <c r="C615" s="7" t="s">
        <v>2085</v>
      </c>
      <c r="D615" s="7" t="s">
        <v>2086</v>
      </c>
      <c r="E615" s="7" t="s">
        <v>119</v>
      </c>
      <c r="F615" s="8">
        <v>45681</v>
      </c>
      <c r="G615" s="8">
        <v>45682</v>
      </c>
      <c r="H615" s="8">
        <v>45686</v>
      </c>
      <c r="I615" s="7" t="s">
        <v>72</v>
      </c>
      <c r="J615" s="7" t="s">
        <v>2</v>
      </c>
      <c r="K615" s="7" t="s">
        <v>21</v>
      </c>
      <c r="L615" s="7" t="s">
        <v>61</v>
      </c>
      <c r="M615" s="7" t="s">
        <v>37</v>
      </c>
      <c r="N615" s="7" t="s">
        <v>38</v>
      </c>
      <c r="O615" s="7" t="s">
        <v>39</v>
      </c>
      <c r="P615" s="7">
        <v>9</v>
      </c>
      <c r="Q615" s="9">
        <v>250</v>
      </c>
      <c r="R615" s="9">
        <v>270</v>
      </c>
      <c r="S615" s="10">
        <v>0.06</v>
      </c>
      <c r="T615" s="9">
        <v>2284.1999999999998</v>
      </c>
      <c r="U615" s="9">
        <v>2250</v>
      </c>
      <c r="V615" s="9">
        <v>34.200000000000003</v>
      </c>
      <c r="W615" s="10">
        <v>1.49724192277384E-2</v>
      </c>
    </row>
    <row r="616" spans="1:23" x14ac:dyDescent="0.3">
      <c r="A616" s="7" t="s">
        <v>2087</v>
      </c>
      <c r="B616" s="7" t="s">
        <v>331</v>
      </c>
      <c r="C616" s="7" t="s">
        <v>2088</v>
      </c>
      <c r="D616" s="7" t="s">
        <v>186</v>
      </c>
      <c r="E616" s="7" t="s">
        <v>100</v>
      </c>
      <c r="F616" s="8">
        <v>45348</v>
      </c>
      <c r="G616" s="8">
        <v>45349</v>
      </c>
      <c r="H616" s="8">
        <v>45351</v>
      </c>
      <c r="I616" s="7" t="s">
        <v>72</v>
      </c>
      <c r="J616" s="7" t="s">
        <v>2</v>
      </c>
      <c r="K616" s="7" t="s">
        <v>21</v>
      </c>
      <c r="L616" s="7" t="s">
        <v>23</v>
      </c>
      <c r="M616" s="7" t="s">
        <v>42</v>
      </c>
      <c r="N616" s="7" t="s">
        <v>27</v>
      </c>
      <c r="O616" s="7" t="s">
        <v>28</v>
      </c>
      <c r="P616" s="7">
        <v>15</v>
      </c>
      <c r="Q616" s="9">
        <v>3030</v>
      </c>
      <c r="R616" s="9">
        <v>3211.8</v>
      </c>
      <c r="S616" s="10">
        <v>0.01</v>
      </c>
      <c r="T616" s="9">
        <v>47695.23</v>
      </c>
      <c r="U616" s="9">
        <v>45450</v>
      </c>
      <c r="V616" s="9">
        <v>2245.23</v>
      </c>
      <c r="W616" s="10">
        <v>4.7074518772632003E-2</v>
      </c>
    </row>
    <row r="617" spans="1:23" x14ac:dyDescent="0.3">
      <c r="A617" s="7" t="s">
        <v>2089</v>
      </c>
      <c r="B617" s="7" t="s">
        <v>2090</v>
      </c>
      <c r="C617" s="7" t="s">
        <v>2091</v>
      </c>
      <c r="D617" s="7" t="s">
        <v>2092</v>
      </c>
      <c r="E617" s="7" t="s">
        <v>178</v>
      </c>
      <c r="F617" s="8">
        <v>45641</v>
      </c>
      <c r="G617" s="8">
        <v>45642</v>
      </c>
      <c r="H617" s="8">
        <v>45644</v>
      </c>
      <c r="I617" s="7" t="s">
        <v>82</v>
      </c>
      <c r="J617" s="7" t="s">
        <v>1</v>
      </c>
      <c r="K617" s="7" t="s">
        <v>20</v>
      </c>
      <c r="L617" s="7" t="s">
        <v>61</v>
      </c>
      <c r="M617" s="7" t="s">
        <v>47</v>
      </c>
      <c r="N617" s="7" t="s">
        <v>38</v>
      </c>
      <c r="O617" s="7" t="s">
        <v>39</v>
      </c>
      <c r="P617" s="7">
        <v>2</v>
      </c>
      <c r="Q617" s="9">
        <v>390</v>
      </c>
      <c r="R617" s="9">
        <v>468</v>
      </c>
      <c r="S617" s="10">
        <v>0.06</v>
      </c>
      <c r="T617" s="9">
        <v>879.84</v>
      </c>
      <c r="U617" s="9">
        <v>780</v>
      </c>
      <c r="V617" s="9">
        <v>99.84</v>
      </c>
      <c r="W617" s="10">
        <v>0.11347517730496499</v>
      </c>
    </row>
    <row r="618" spans="1:23" x14ac:dyDescent="0.3">
      <c r="A618" s="7" t="s">
        <v>2093</v>
      </c>
      <c r="B618" s="7" t="s">
        <v>2094</v>
      </c>
      <c r="C618" s="7" t="s">
        <v>2095</v>
      </c>
      <c r="D618" s="7" t="s">
        <v>1375</v>
      </c>
      <c r="E618" s="7" t="s">
        <v>71</v>
      </c>
      <c r="F618" s="8">
        <v>45301</v>
      </c>
      <c r="G618" s="8">
        <v>45301</v>
      </c>
      <c r="H618" s="8">
        <v>45306</v>
      </c>
      <c r="I618" s="7" t="s">
        <v>72</v>
      </c>
      <c r="J618" s="7" t="s">
        <v>1</v>
      </c>
      <c r="K618" s="7" t="s">
        <v>19</v>
      </c>
      <c r="L618" s="7" t="s">
        <v>61</v>
      </c>
      <c r="M618" s="7" t="s">
        <v>32</v>
      </c>
      <c r="N618" s="7" t="s">
        <v>33</v>
      </c>
      <c r="O618" s="7" t="s">
        <v>34</v>
      </c>
      <c r="P618" s="7">
        <v>5</v>
      </c>
      <c r="Q618" s="9">
        <v>730</v>
      </c>
      <c r="R618" s="9">
        <v>824.9</v>
      </c>
      <c r="S618" s="10">
        <v>0.02</v>
      </c>
      <c r="T618" s="9">
        <v>4042.01</v>
      </c>
      <c r="U618" s="9">
        <v>3650</v>
      </c>
      <c r="V618" s="9">
        <v>392.01</v>
      </c>
      <c r="W618" s="10">
        <v>9.6983926313888399E-2</v>
      </c>
    </row>
    <row r="619" spans="1:23" x14ac:dyDescent="0.3">
      <c r="A619" s="7" t="s">
        <v>2096</v>
      </c>
      <c r="B619" s="7" t="s">
        <v>311</v>
      </c>
      <c r="C619" s="7" t="s">
        <v>2097</v>
      </c>
      <c r="D619" s="7" t="s">
        <v>2098</v>
      </c>
      <c r="E619" s="7" t="s">
        <v>173</v>
      </c>
      <c r="F619" s="8">
        <v>45361</v>
      </c>
      <c r="G619" s="8">
        <v>45361</v>
      </c>
      <c r="H619" s="8">
        <v>45364</v>
      </c>
      <c r="I619" s="7" t="s">
        <v>72</v>
      </c>
      <c r="J619" s="7" t="s">
        <v>2</v>
      </c>
      <c r="K619" s="7" t="s">
        <v>19</v>
      </c>
      <c r="L619" s="7" t="s">
        <v>25</v>
      </c>
      <c r="M619" s="7" t="s">
        <v>48</v>
      </c>
      <c r="N619" s="7" t="s">
        <v>38</v>
      </c>
      <c r="O619" s="7" t="s">
        <v>41</v>
      </c>
      <c r="P619" s="7">
        <v>10</v>
      </c>
      <c r="Q619" s="9">
        <v>580</v>
      </c>
      <c r="R619" s="9">
        <v>667</v>
      </c>
      <c r="S619" s="10">
        <v>0.1</v>
      </c>
      <c r="T619" s="9">
        <v>6003</v>
      </c>
      <c r="U619" s="9">
        <v>5800</v>
      </c>
      <c r="V619" s="9">
        <v>203</v>
      </c>
      <c r="W619" s="10">
        <v>3.3816425120772903E-2</v>
      </c>
    </row>
    <row r="620" spans="1:23" x14ac:dyDescent="0.3">
      <c r="A620" s="7" t="s">
        <v>2099</v>
      </c>
      <c r="B620" s="7" t="s">
        <v>2100</v>
      </c>
      <c r="C620" s="7" t="s">
        <v>2101</v>
      </c>
      <c r="D620" s="7" t="s">
        <v>1951</v>
      </c>
      <c r="E620" s="7" t="s">
        <v>164</v>
      </c>
      <c r="F620" s="8">
        <v>45429</v>
      </c>
      <c r="G620" s="8">
        <v>45430</v>
      </c>
      <c r="H620" s="8">
        <v>45432</v>
      </c>
      <c r="I620" s="7" t="s">
        <v>82</v>
      </c>
      <c r="J620" s="7" t="s">
        <v>2</v>
      </c>
      <c r="K620" s="7" t="s">
        <v>20</v>
      </c>
      <c r="L620" s="7" t="s">
        <v>23</v>
      </c>
      <c r="M620" s="7" t="s">
        <v>43</v>
      </c>
      <c r="N620" s="7" t="s">
        <v>27</v>
      </c>
      <c r="O620" s="7" t="s">
        <v>31</v>
      </c>
      <c r="P620" s="7">
        <v>4</v>
      </c>
      <c r="Q620" s="9">
        <v>1630</v>
      </c>
      <c r="R620" s="9">
        <v>1744.1</v>
      </c>
      <c r="S620" s="10">
        <v>0.06</v>
      </c>
      <c r="T620" s="9">
        <v>6557.8159999999998</v>
      </c>
      <c r="U620" s="9">
        <v>6520</v>
      </c>
      <c r="V620" s="9">
        <v>37.816000000000003</v>
      </c>
      <c r="W620" s="10">
        <v>5.7665539868761197E-3</v>
      </c>
    </row>
    <row r="621" spans="1:23" x14ac:dyDescent="0.3">
      <c r="A621" s="7" t="s">
        <v>2102</v>
      </c>
      <c r="B621" s="7" t="s">
        <v>1766</v>
      </c>
      <c r="C621" s="7" t="s">
        <v>2103</v>
      </c>
      <c r="D621" s="7" t="s">
        <v>2104</v>
      </c>
      <c r="E621" s="7" t="s">
        <v>109</v>
      </c>
      <c r="F621" s="8">
        <v>46081</v>
      </c>
      <c r="G621" s="8">
        <v>46081</v>
      </c>
      <c r="H621" s="8">
        <v>46086</v>
      </c>
      <c r="I621" s="7" t="s">
        <v>82</v>
      </c>
      <c r="J621" s="7" t="s">
        <v>2</v>
      </c>
      <c r="K621" s="7" t="s">
        <v>20</v>
      </c>
      <c r="L621" s="7" t="s">
        <v>25</v>
      </c>
      <c r="M621" s="7" t="s">
        <v>2365</v>
      </c>
      <c r="N621" s="7" t="s">
        <v>27</v>
      </c>
      <c r="O621" s="7" t="s">
        <v>56</v>
      </c>
      <c r="P621" s="7">
        <v>1</v>
      </c>
      <c r="Q621" s="9">
        <v>650</v>
      </c>
      <c r="R621" s="9">
        <v>663</v>
      </c>
      <c r="S621" s="10">
        <v>0.06</v>
      </c>
      <c r="T621" s="9">
        <v>623.22</v>
      </c>
      <c r="U621" s="9">
        <v>650</v>
      </c>
      <c r="V621" s="9">
        <v>-26.78</v>
      </c>
      <c r="W621" s="10">
        <v>-4.29703796412182E-2</v>
      </c>
    </row>
    <row r="622" spans="1:23" x14ac:dyDescent="0.3">
      <c r="A622" s="7" t="s">
        <v>2105</v>
      </c>
      <c r="B622" s="7" t="s">
        <v>116</v>
      </c>
      <c r="C622" s="7" t="s">
        <v>2106</v>
      </c>
      <c r="D622" s="7" t="s">
        <v>2107</v>
      </c>
      <c r="E622" s="7" t="s">
        <v>100</v>
      </c>
      <c r="F622" s="8">
        <v>45476</v>
      </c>
      <c r="G622" s="8">
        <v>45477</v>
      </c>
      <c r="H622" s="8">
        <v>45481</v>
      </c>
      <c r="I622" s="7" t="s">
        <v>72</v>
      </c>
      <c r="J622" s="7" t="s">
        <v>2362</v>
      </c>
      <c r="K622" s="7" t="s">
        <v>21</v>
      </c>
      <c r="L622" s="7" t="s">
        <v>22</v>
      </c>
      <c r="M622" s="7" t="s">
        <v>42</v>
      </c>
      <c r="N622" s="7" t="s">
        <v>27</v>
      </c>
      <c r="O622" s="7" t="s">
        <v>28</v>
      </c>
      <c r="P622" s="7">
        <v>9</v>
      </c>
      <c r="Q622" s="9">
        <v>3030</v>
      </c>
      <c r="R622" s="9">
        <v>3211.8</v>
      </c>
      <c r="S622" s="10">
        <v>0.01</v>
      </c>
      <c r="T622" s="9">
        <v>28617.137999999999</v>
      </c>
      <c r="U622" s="9">
        <v>27270</v>
      </c>
      <c r="V622" s="9">
        <v>1347.1379999999999</v>
      </c>
      <c r="W622" s="10">
        <v>4.7074518772632003E-2</v>
      </c>
    </row>
    <row r="623" spans="1:23" x14ac:dyDescent="0.3">
      <c r="A623" s="7" t="s">
        <v>2108</v>
      </c>
      <c r="B623" s="7" t="s">
        <v>629</v>
      </c>
      <c r="C623" s="7" t="s">
        <v>2109</v>
      </c>
      <c r="D623" s="7" t="s">
        <v>2110</v>
      </c>
      <c r="E623" s="7" t="s">
        <v>178</v>
      </c>
      <c r="F623" s="8">
        <v>45579</v>
      </c>
      <c r="G623" s="8">
        <v>45580</v>
      </c>
      <c r="H623" s="8">
        <v>45581</v>
      </c>
      <c r="I623" s="7" t="s">
        <v>72</v>
      </c>
      <c r="J623" s="7" t="s">
        <v>2363</v>
      </c>
      <c r="K623" s="7" t="s">
        <v>20</v>
      </c>
      <c r="L623" s="7" t="s">
        <v>24</v>
      </c>
      <c r="M623" s="7" t="s">
        <v>47</v>
      </c>
      <c r="N623" s="7" t="s">
        <v>38</v>
      </c>
      <c r="O623" s="7" t="s">
        <v>39</v>
      </c>
      <c r="P623" s="7">
        <v>7</v>
      </c>
      <c r="Q623" s="9">
        <v>390</v>
      </c>
      <c r="R623" s="9">
        <v>468</v>
      </c>
      <c r="S623" s="10">
        <v>0.1</v>
      </c>
      <c r="T623" s="9">
        <v>2948.4</v>
      </c>
      <c r="U623" s="9">
        <v>2730</v>
      </c>
      <c r="V623" s="9">
        <v>218.4</v>
      </c>
      <c r="W623" s="10">
        <v>7.4074074074074098E-2</v>
      </c>
    </row>
    <row r="624" spans="1:23" x14ac:dyDescent="0.3">
      <c r="A624" s="7" t="s">
        <v>2111</v>
      </c>
      <c r="B624" s="7" t="s">
        <v>1154</v>
      </c>
      <c r="C624" s="7" t="s">
        <v>2112</v>
      </c>
      <c r="D624" s="7" t="s">
        <v>1021</v>
      </c>
      <c r="E624" s="7" t="s">
        <v>322</v>
      </c>
      <c r="F624" s="8">
        <v>45867</v>
      </c>
      <c r="G624" s="8">
        <v>45868</v>
      </c>
      <c r="H624" s="8">
        <v>45870</v>
      </c>
      <c r="I624" s="7" t="s">
        <v>72</v>
      </c>
      <c r="J624" s="7" t="s">
        <v>2362</v>
      </c>
      <c r="K624" s="7" t="s">
        <v>20</v>
      </c>
      <c r="L624" s="7" t="s">
        <v>24</v>
      </c>
      <c r="M624" s="7" t="s">
        <v>26</v>
      </c>
      <c r="N624" s="7" t="s">
        <v>27</v>
      </c>
      <c r="O624" s="7" t="s">
        <v>28</v>
      </c>
      <c r="P624" s="7">
        <v>7</v>
      </c>
      <c r="Q624" s="9">
        <v>3330</v>
      </c>
      <c r="R624" s="9">
        <v>3629.7</v>
      </c>
      <c r="S624" s="10">
        <v>0.06</v>
      </c>
      <c r="T624" s="9">
        <v>23883.425999999999</v>
      </c>
      <c r="U624" s="9">
        <v>23310</v>
      </c>
      <c r="V624" s="9">
        <v>573.42600000000004</v>
      </c>
      <c r="W624" s="10">
        <v>2.4009369510052701E-2</v>
      </c>
    </row>
    <row r="625" spans="1:23" x14ac:dyDescent="0.3">
      <c r="A625" s="7" t="s">
        <v>2113</v>
      </c>
      <c r="B625" s="7" t="s">
        <v>201</v>
      </c>
      <c r="C625" s="7" t="s">
        <v>2114</v>
      </c>
      <c r="D625" s="7" t="s">
        <v>2115</v>
      </c>
      <c r="E625" s="7" t="s">
        <v>208</v>
      </c>
      <c r="F625" s="8">
        <v>45500</v>
      </c>
      <c r="G625" s="8">
        <v>45501</v>
      </c>
      <c r="H625" s="8">
        <v>45504</v>
      </c>
      <c r="I625" s="7" t="s">
        <v>82</v>
      </c>
      <c r="J625" s="7" t="s">
        <v>2364</v>
      </c>
      <c r="K625" s="7" t="s">
        <v>19</v>
      </c>
      <c r="L625" s="7" t="s">
        <v>22</v>
      </c>
      <c r="M625" s="7" t="s">
        <v>50</v>
      </c>
      <c r="N625" s="7" t="s">
        <v>33</v>
      </c>
      <c r="O625" s="7" t="s">
        <v>36</v>
      </c>
      <c r="P625" s="7">
        <v>2</v>
      </c>
      <c r="Q625" s="9">
        <v>930</v>
      </c>
      <c r="R625" s="9">
        <v>1078.8</v>
      </c>
      <c r="S625" s="10">
        <v>0.09</v>
      </c>
      <c r="T625" s="9">
        <v>1963.4159999999999</v>
      </c>
      <c r="U625" s="9">
        <v>1860</v>
      </c>
      <c r="V625" s="9">
        <v>103.416</v>
      </c>
      <c r="W625" s="10">
        <v>5.2671466464569897E-2</v>
      </c>
    </row>
    <row r="626" spans="1:23" x14ac:dyDescent="0.3">
      <c r="A626" s="7" t="s">
        <v>2116</v>
      </c>
      <c r="B626" s="7" t="s">
        <v>2117</v>
      </c>
      <c r="C626" s="7" t="s">
        <v>2118</v>
      </c>
      <c r="D626" s="7" t="s">
        <v>2119</v>
      </c>
      <c r="E626" s="7" t="s">
        <v>192</v>
      </c>
      <c r="F626" s="8">
        <v>45770</v>
      </c>
      <c r="G626" s="8">
        <v>45770</v>
      </c>
      <c r="H626" s="8">
        <v>45773</v>
      </c>
      <c r="I626" s="7" t="s">
        <v>82</v>
      </c>
      <c r="J626" s="7" t="s">
        <v>2364</v>
      </c>
      <c r="K626" s="7" t="s">
        <v>19</v>
      </c>
      <c r="L626" s="7" t="s">
        <v>61</v>
      </c>
      <c r="M626" s="7" t="s">
        <v>46</v>
      </c>
      <c r="N626" s="7" t="s">
        <v>38</v>
      </c>
      <c r="O626" s="7" t="s">
        <v>45</v>
      </c>
      <c r="P626" s="7">
        <v>3</v>
      </c>
      <c r="Q626" s="9">
        <v>350</v>
      </c>
      <c r="R626" s="9">
        <v>364</v>
      </c>
      <c r="S626" s="10">
        <v>7.0000000000000007E-2</v>
      </c>
      <c r="T626" s="9">
        <v>1015.56</v>
      </c>
      <c r="U626" s="9">
        <v>1050</v>
      </c>
      <c r="V626" s="9">
        <v>-34.44</v>
      </c>
      <c r="W626" s="10">
        <v>-3.3912324234904902E-2</v>
      </c>
    </row>
    <row r="627" spans="1:23" x14ac:dyDescent="0.3">
      <c r="A627" s="7" t="s">
        <v>2120</v>
      </c>
      <c r="B627" s="7" t="s">
        <v>369</v>
      </c>
      <c r="C627" s="7" t="s">
        <v>2121</v>
      </c>
      <c r="D627" s="7" t="s">
        <v>2122</v>
      </c>
      <c r="E627" s="7" t="s">
        <v>119</v>
      </c>
      <c r="F627" s="8">
        <v>45436</v>
      </c>
      <c r="G627" s="8">
        <v>45437</v>
      </c>
      <c r="H627" s="8">
        <v>45439</v>
      </c>
      <c r="I627" s="7" t="s">
        <v>72</v>
      </c>
      <c r="J627" s="7" t="s">
        <v>2362</v>
      </c>
      <c r="K627" s="7" t="s">
        <v>19</v>
      </c>
      <c r="L627" s="7" t="s">
        <v>24</v>
      </c>
      <c r="M627" s="7" t="s">
        <v>37</v>
      </c>
      <c r="N627" s="7" t="s">
        <v>38</v>
      </c>
      <c r="O627" s="7" t="s">
        <v>39</v>
      </c>
      <c r="P627" s="7">
        <v>5</v>
      </c>
      <c r="Q627" s="9">
        <v>250</v>
      </c>
      <c r="R627" s="9">
        <v>270</v>
      </c>
      <c r="S627" s="10">
        <v>0.06</v>
      </c>
      <c r="T627" s="9">
        <v>1269</v>
      </c>
      <c r="U627" s="9">
        <v>1250</v>
      </c>
      <c r="V627" s="9">
        <v>19</v>
      </c>
      <c r="W627" s="10">
        <v>1.49724192277384E-2</v>
      </c>
    </row>
    <row r="628" spans="1:23" x14ac:dyDescent="0.3">
      <c r="A628" s="7" t="s">
        <v>2123</v>
      </c>
      <c r="B628" s="7" t="s">
        <v>1108</v>
      </c>
      <c r="C628" s="7" t="s">
        <v>2124</v>
      </c>
      <c r="D628" s="7" t="s">
        <v>1427</v>
      </c>
      <c r="E628" s="7" t="s">
        <v>132</v>
      </c>
      <c r="F628" s="8">
        <v>45460</v>
      </c>
      <c r="G628" s="8">
        <v>45461</v>
      </c>
      <c r="H628" s="8">
        <v>45464</v>
      </c>
      <c r="I628" s="7" t="s">
        <v>72</v>
      </c>
      <c r="J628" s="7" t="s">
        <v>2363</v>
      </c>
      <c r="K628" s="7" t="s">
        <v>20</v>
      </c>
      <c r="L628" s="7" t="s">
        <v>23</v>
      </c>
      <c r="M628" s="7" t="s">
        <v>2366</v>
      </c>
      <c r="N628" s="7" t="s">
        <v>27</v>
      </c>
      <c r="O628" s="7" t="s">
        <v>54</v>
      </c>
      <c r="P628" s="7">
        <v>7</v>
      </c>
      <c r="Q628" s="9">
        <v>430</v>
      </c>
      <c r="R628" s="9">
        <v>455.8</v>
      </c>
      <c r="S628" s="10">
        <v>0.09</v>
      </c>
      <c r="T628" s="9">
        <v>2903.4459999999999</v>
      </c>
      <c r="U628" s="9">
        <v>3010</v>
      </c>
      <c r="V628" s="9">
        <v>-106.554</v>
      </c>
      <c r="W628" s="10">
        <v>-3.66991499066971E-2</v>
      </c>
    </row>
    <row r="629" spans="1:23" x14ac:dyDescent="0.3">
      <c r="A629" s="7" t="s">
        <v>2125</v>
      </c>
      <c r="B629" s="7" t="s">
        <v>578</v>
      </c>
      <c r="C629" s="7" t="s">
        <v>2126</v>
      </c>
      <c r="D629" s="7" t="s">
        <v>977</v>
      </c>
      <c r="E629" s="7" t="s">
        <v>192</v>
      </c>
      <c r="F629" s="8">
        <v>45929</v>
      </c>
      <c r="G629" s="8">
        <v>45929</v>
      </c>
      <c r="H629" s="8">
        <v>45932</v>
      </c>
      <c r="I629" s="7" t="s">
        <v>72</v>
      </c>
      <c r="J629" s="7" t="s">
        <v>2362</v>
      </c>
      <c r="K629" s="7" t="s">
        <v>21</v>
      </c>
      <c r="L629" s="7" t="s">
        <v>25</v>
      </c>
      <c r="M629" s="7" t="s">
        <v>46</v>
      </c>
      <c r="N629" s="7" t="s">
        <v>38</v>
      </c>
      <c r="O629" s="7" t="s">
        <v>45</v>
      </c>
      <c r="P629" s="7">
        <v>5</v>
      </c>
      <c r="Q629" s="9">
        <v>350</v>
      </c>
      <c r="R629" s="9">
        <v>364</v>
      </c>
      <c r="S629" s="10">
        <v>0.06</v>
      </c>
      <c r="T629" s="9">
        <v>1710.8</v>
      </c>
      <c r="U629" s="9">
        <v>1750</v>
      </c>
      <c r="V629" s="9">
        <v>-39.200000000000003</v>
      </c>
      <c r="W629" s="10">
        <v>-2.2913256955810202E-2</v>
      </c>
    </row>
    <row r="630" spans="1:23" x14ac:dyDescent="0.3">
      <c r="A630" s="7" t="s">
        <v>2127</v>
      </c>
      <c r="B630" s="7" t="s">
        <v>420</v>
      </c>
      <c r="C630" s="7" t="s">
        <v>2128</v>
      </c>
      <c r="D630" s="7" t="s">
        <v>2129</v>
      </c>
      <c r="E630" s="7" t="s">
        <v>217</v>
      </c>
      <c r="F630" s="8">
        <v>45954</v>
      </c>
      <c r="G630" s="8">
        <v>45954</v>
      </c>
      <c r="H630" s="8">
        <v>45957</v>
      </c>
      <c r="I630" s="7" t="s">
        <v>72</v>
      </c>
      <c r="J630" s="7" t="s">
        <v>1</v>
      </c>
      <c r="K630" s="7" t="s">
        <v>20</v>
      </c>
      <c r="L630" s="7" t="s">
        <v>22</v>
      </c>
      <c r="M630" s="7" t="s">
        <v>29</v>
      </c>
      <c r="N630" s="7" t="s">
        <v>27</v>
      </c>
      <c r="O630" s="7" t="s">
        <v>28</v>
      </c>
      <c r="P630" s="7">
        <v>8</v>
      </c>
      <c r="Q630" s="9">
        <v>3930</v>
      </c>
      <c r="R630" s="9">
        <v>4362.3</v>
      </c>
      <c r="S630" s="10">
        <v>0.04</v>
      </c>
      <c r="T630" s="9">
        <v>33502.464</v>
      </c>
      <c r="U630" s="9">
        <v>31440</v>
      </c>
      <c r="V630" s="9">
        <v>2062.4639999999999</v>
      </c>
      <c r="W630" s="10">
        <v>6.1561561561561597E-2</v>
      </c>
    </row>
    <row r="631" spans="1:23" x14ac:dyDescent="0.3">
      <c r="A631" s="7" t="s">
        <v>2130</v>
      </c>
      <c r="B631" s="7" t="s">
        <v>2131</v>
      </c>
      <c r="C631" s="7" t="s">
        <v>2132</v>
      </c>
      <c r="D631" s="7" t="s">
        <v>2133</v>
      </c>
      <c r="E631" s="7" t="s">
        <v>141</v>
      </c>
      <c r="F631" s="8">
        <v>45333</v>
      </c>
      <c r="G631" s="8">
        <v>45333</v>
      </c>
      <c r="H631" s="8">
        <v>45336</v>
      </c>
      <c r="I631" s="7" t="s">
        <v>72</v>
      </c>
      <c r="J631" s="7" t="s">
        <v>2</v>
      </c>
      <c r="K631" s="7" t="s">
        <v>19</v>
      </c>
      <c r="L631" s="7" t="s">
        <v>25</v>
      </c>
      <c r="M631" s="7" t="s">
        <v>35</v>
      </c>
      <c r="N631" s="7" t="s">
        <v>33</v>
      </c>
      <c r="O631" s="7" t="s">
        <v>36</v>
      </c>
      <c r="P631" s="7">
        <v>5</v>
      </c>
      <c r="Q631" s="9">
        <v>1530</v>
      </c>
      <c r="R631" s="9">
        <v>1790.1</v>
      </c>
      <c r="S631" s="10">
        <v>0.01</v>
      </c>
      <c r="T631" s="9">
        <v>8860.9950000000008</v>
      </c>
      <c r="U631" s="9">
        <v>7650</v>
      </c>
      <c r="V631" s="9">
        <v>1210.9949999999999</v>
      </c>
      <c r="W631" s="10">
        <v>0.13666580333247</v>
      </c>
    </row>
    <row r="632" spans="1:23" x14ac:dyDescent="0.3">
      <c r="A632" s="7" t="s">
        <v>2134</v>
      </c>
      <c r="B632" s="7" t="s">
        <v>979</v>
      </c>
      <c r="C632" s="7" t="s">
        <v>2135</v>
      </c>
      <c r="D632" s="7" t="s">
        <v>570</v>
      </c>
      <c r="E632" s="7" t="s">
        <v>119</v>
      </c>
      <c r="F632" s="8">
        <v>45350</v>
      </c>
      <c r="G632" s="8">
        <v>45350</v>
      </c>
      <c r="H632" s="8">
        <v>45354</v>
      </c>
      <c r="I632" s="7" t="s">
        <v>72</v>
      </c>
      <c r="J632" s="7" t="s">
        <v>1</v>
      </c>
      <c r="K632" s="7" t="s">
        <v>21</v>
      </c>
      <c r="L632" s="7" t="s">
        <v>61</v>
      </c>
      <c r="M632" s="7" t="s">
        <v>37</v>
      </c>
      <c r="N632" s="7" t="s">
        <v>38</v>
      </c>
      <c r="O632" s="7" t="s">
        <v>39</v>
      </c>
      <c r="P632" s="7">
        <v>10</v>
      </c>
      <c r="Q632" s="9">
        <v>250</v>
      </c>
      <c r="R632" s="9">
        <v>270</v>
      </c>
      <c r="S632" s="10">
        <v>0.04</v>
      </c>
      <c r="T632" s="9">
        <v>2592</v>
      </c>
      <c r="U632" s="9">
        <v>2500</v>
      </c>
      <c r="V632" s="9">
        <v>92</v>
      </c>
      <c r="W632" s="10">
        <v>3.5493827160493797E-2</v>
      </c>
    </row>
    <row r="633" spans="1:23" x14ac:dyDescent="0.3">
      <c r="A633" s="7" t="s">
        <v>2136</v>
      </c>
      <c r="B633" s="7" t="s">
        <v>1019</v>
      </c>
      <c r="C633" s="7" t="s">
        <v>2137</v>
      </c>
      <c r="D633" s="7" t="s">
        <v>2138</v>
      </c>
      <c r="E633" s="7" t="s">
        <v>173</v>
      </c>
      <c r="F633" s="8">
        <v>45502</v>
      </c>
      <c r="G633" s="8">
        <v>45503</v>
      </c>
      <c r="H633" s="8">
        <v>45504</v>
      </c>
      <c r="I633" s="7" t="s">
        <v>72</v>
      </c>
      <c r="J633" s="7" t="s">
        <v>1</v>
      </c>
      <c r="K633" s="7" t="s">
        <v>19</v>
      </c>
      <c r="L633" s="7" t="s">
        <v>23</v>
      </c>
      <c r="M633" s="7" t="s">
        <v>48</v>
      </c>
      <c r="N633" s="7" t="s">
        <v>38</v>
      </c>
      <c r="O633" s="7" t="s">
        <v>41</v>
      </c>
      <c r="P633" s="7">
        <v>6</v>
      </c>
      <c r="Q633" s="9">
        <v>580</v>
      </c>
      <c r="R633" s="9">
        <v>667</v>
      </c>
      <c r="S633" s="10">
        <v>0.01</v>
      </c>
      <c r="T633" s="9">
        <v>3961.98</v>
      </c>
      <c r="U633" s="9">
        <v>3480</v>
      </c>
      <c r="V633" s="9">
        <v>481.98</v>
      </c>
      <c r="W633" s="10">
        <v>0.121651295564339</v>
      </c>
    </row>
    <row r="634" spans="1:23" x14ac:dyDescent="0.3">
      <c r="A634" s="7" t="s">
        <v>2139</v>
      </c>
      <c r="B634" s="7" t="s">
        <v>244</v>
      </c>
      <c r="C634" s="7" t="s">
        <v>2140</v>
      </c>
      <c r="D634" s="7" t="s">
        <v>2141</v>
      </c>
      <c r="E634" s="7" t="s">
        <v>95</v>
      </c>
      <c r="F634" s="8">
        <v>45788</v>
      </c>
      <c r="G634" s="8">
        <v>45788</v>
      </c>
      <c r="H634" s="8">
        <v>45790</v>
      </c>
      <c r="I634" s="7" t="s">
        <v>72</v>
      </c>
      <c r="J634" s="7" t="s">
        <v>2362</v>
      </c>
      <c r="K634" s="7" t="s">
        <v>21</v>
      </c>
      <c r="L634" s="7" t="s">
        <v>23</v>
      </c>
      <c r="M634" s="7" t="s">
        <v>49</v>
      </c>
      <c r="N634" s="7" t="s">
        <v>33</v>
      </c>
      <c r="O634" s="7" t="s">
        <v>34</v>
      </c>
      <c r="P634" s="7">
        <v>10</v>
      </c>
      <c r="Q634" s="9">
        <v>1080</v>
      </c>
      <c r="R634" s="9">
        <v>1112.4000000000001</v>
      </c>
      <c r="S634" s="10">
        <v>0</v>
      </c>
      <c r="T634" s="9">
        <v>11124</v>
      </c>
      <c r="U634" s="9">
        <v>10800</v>
      </c>
      <c r="V634" s="9">
        <v>324</v>
      </c>
      <c r="W634" s="10">
        <v>2.9126213592233E-2</v>
      </c>
    </row>
    <row r="635" spans="1:23" x14ac:dyDescent="0.3">
      <c r="A635" s="7" t="s">
        <v>2142</v>
      </c>
      <c r="B635" s="7" t="s">
        <v>339</v>
      </c>
      <c r="C635" s="7" t="s">
        <v>2143</v>
      </c>
      <c r="D635" s="7" t="s">
        <v>2144</v>
      </c>
      <c r="E635" s="7" t="s">
        <v>164</v>
      </c>
      <c r="F635" s="8">
        <v>45809</v>
      </c>
      <c r="G635" s="8">
        <v>45810</v>
      </c>
      <c r="H635" s="8">
        <v>45811</v>
      </c>
      <c r="I635" s="7" t="s">
        <v>72</v>
      </c>
      <c r="J635" s="7" t="s">
        <v>2363</v>
      </c>
      <c r="K635" s="7" t="s">
        <v>20</v>
      </c>
      <c r="L635" s="7" t="s">
        <v>22</v>
      </c>
      <c r="M635" s="7" t="s">
        <v>43</v>
      </c>
      <c r="N635" s="7" t="s">
        <v>27</v>
      </c>
      <c r="O635" s="7" t="s">
        <v>31</v>
      </c>
      <c r="P635" s="7">
        <v>7</v>
      </c>
      <c r="Q635" s="9">
        <v>1630</v>
      </c>
      <c r="R635" s="9">
        <v>1744.1</v>
      </c>
      <c r="S635" s="10">
        <v>0.05</v>
      </c>
      <c r="T635" s="9">
        <v>11598.264999999999</v>
      </c>
      <c r="U635" s="9">
        <v>11410</v>
      </c>
      <c r="V635" s="9">
        <v>188.26499999999999</v>
      </c>
      <c r="W635" s="10">
        <v>1.6232169208066902E-2</v>
      </c>
    </row>
    <row r="636" spans="1:23" x14ac:dyDescent="0.3">
      <c r="A636" s="7" t="s">
        <v>2145</v>
      </c>
      <c r="B636" s="7" t="s">
        <v>304</v>
      </c>
      <c r="C636" s="7" t="s">
        <v>2146</v>
      </c>
      <c r="D636" s="7" t="s">
        <v>2147</v>
      </c>
      <c r="E636" s="7" t="s">
        <v>100</v>
      </c>
      <c r="F636" s="8">
        <v>45352</v>
      </c>
      <c r="G636" s="8">
        <v>45353</v>
      </c>
      <c r="H636" s="8">
        <v>45354</v>
      </c>
      <c r="I636" s="7" t="s">
        <v>72</v>
      </c>
      <c r="J636" s="7" t="s">
        <v>2</v>
      </c>
      <c r="K636" s="7" t="s">
        <v>19</v>
      </c>
      <c r="L636" s="7" t="s">
        <v>61</v>
      </c>
      <c r="M636" s="7" t="s">
        <v>42</v>
      </c>
      <c r="N636" s="7" t="s">
        <v>27</v>
      </c>
      <c r="O636" s="7" t="s">
        <v>28</v>
      </c>
      <c r="P636" s="7">
        <v>8</v>
      </c>
      <c r="Q636" s="9">
        <v>3030</v>
      </c>
      <c r="R636" s="9">
        <v>3211.8</v>
      </c>
      <c r="S636" s="10">
        <v>0.09</v>
      </c>
      <c r="T636" s="9">
        <v>23381.903999999999</v>
      </c>
      <c r="U636" s="9">
        <v>24240</v>
      </c>
      <c r="V636" s="9">
        <v>-858.096</v>
      </c>
      <c r="W636" s="10">
        <v>-3.66991499066971E-2</v>
      </c>
    </row>
    <row r="637" spans="1:23" x14ac:dyDescent="0.3">
      <c r="A637" s="7" t="s">
        <v>2148</v>
      </c>
      <c r="B637" s="7" t="s">
        <v>143</v>
      </c>
      <c r="C637" s="7" t="s">
        <v>2149</v>
      </c>
      <c r="D637" s="7" t="s">
        <v>2150</v>
      </c>
      <c r="E637" s="7" t="s">
        <v>141</v>
      </c>
      <c r="F637" s="8">
        <v>45587</v>
      </c>
      <c r="G637" s="8">
        <v>45587</v>
      </c>
      <c r="H637" s="8">
        <v>45589</v>
      </c>
      <c r="I637" s="7" t="s">
        <v>72</v>
      </c>
      <c r="J637" s="7" t="s">
        <v>2</v>
      </c>
      <c r="K637" s="7" t="s">
        <v>19</v>
      </c>
      <c r="L637" s="7" t="s">
        <v>25</v>
      </c>
      <c r="M637" s="7" t="s">
        <v>35</v>
      </c>
      <c r="N637" s="7" t="s">
        <v>33</v>
      </c>
      <c r="O637" s="7" t="s">
        <v>36</v>
      </c>
      <c r="P637" s="7">
        <v>6</v>
      </c>
      <c r="Q637" s="9">
        <v>1530</v>
      </c>
      <c r="R637" s="9">
        <v>1790.1</v>
      </c>
      <c r="S637" s="10">
        <v>0.06</v>
      </c>
      <c r="T637" s="9">
        <v>10096.164000000001</v>
      </c>
      <c r="U637" s="9">
        <v>9180</v>
      </c>
      <c r="V637" s="9">
        <v>916.16399999999999</v>
      </c>
      <c r="W637" s="10">
        <v>9.0743771594835404E-2</v>
      </c>
    </row>
    <row r="638" spans="1:23" x14ac:dyDescent="0.3">
      <c r="A638" s="7" t="s">
        <v>2151</v>
      </c>
      <c r="B638" s="7" t="s">
        <v>902</v>
      </c>
      <c r="C638" s="7" t="s">
        <v>2152</v>
      </c>
      <c r="D638" s="7" t="s">
        <v>488</v>
      </c>
      <c r="E638" s="7" t="s">
        <v>109</v>
      </c>
      <c r="F638" s="8">
        <v>46124</v>
      </c>
      <c r="G638" s="8">
        <v>46124</v>
      </c>
      <c r="H638" s="8">
        <v>46127</v>
      </c>
      <c r="I638" s="7" t="s">
        <v>82</v>
      </c>
      <c r="J638" s="7" t="s">
        <v>2363</v>
      </c>
      <c r="K638" s="7" t="s">
        <v>19</v>
      </c>
      <c r="L638" s="7" t="s">
        <v>25</v>
      </c>
      <c r="M638" s="7" t="s">
        <v>2365</v>
      </c>
      <c r="N638" s="7" t="s">
        <v>27</v>
      </c>
      <c r="O638" s="7" t="s">
        <v>56</v>
      </c>
      <c r="P638" s="7">
        <v>4</v>
      </c>
      <c r="Q638" s="9">
        <v>650</v>
      </c>
      <c r="R638" s="9">
        <v>663</v>
      </c>
      <c r="S638" s="10">
        <v>0.08</v>
      </c>
      <c r="T638" s="9">
        <v>2439.84</v>
      </c>
      <c r="U638" s="9">
        <v>2600</v>
      </c>
      <c r="V638" s="9">
        <v>-160.16</v>
      </c>
      <c r="W638" s="10">
        <v>-6.5643648763853396E-2</v>
      </c>
    </row>
    <row r="639" spans="1:23" x14ac:dyDescent="0.3">
      <c r="A639" s="7" t="s">
        <v>2153</v>
      </c>
      <c r="B639" s="7" t="s">
        <v>275</v>
      </c>
      <c r="C639" s="7" t="s">
        <v>2154</v>
      </c>
      <c r="D639" s="7" t="s">
        <v>2155</v>
      </c>
      <c r="E639" s="7" t="s">
        <v>114</v>
      </c>
      <c r="F639" s="8">
        <v>46117</v>
      </c>
      <c r="G639" s="8">
        <v>46117</v>
      </c>
      <c r="H639" s="8">
        <v>46121</v>
      </c>
      <c r="I639" s="7" t="s">
        <v>72</v>
      </c>
      <c r="J639" s="7" t="s">
        <v>1</v>
      </c>
      <c r="K639" s="7" t="s">
        <v>19</v>
      </c>
      <c r="L639" s="7" t="s">
        <v>22</v>
      </c>
      <c r="M639" s="7" t="s">
        <v>51</v>
      </c>
      <c r="N639" s="7" t="s">
        <v>33</v>
      </c>
      <c r="O639" s="7" t="s">
        <v>52</v>
      </c>
      <c r="P639" s="7">
        <v>9</v>
      </c>
      <c r="Q639" s="9">
        <v>280</v>
      </c>
      <c r="R639" s="9">
        <v>336</v>
      </c>
      <c r="S639" s="10">
        <v>0.1</v>
      </c>
      <c r="T639" s="9">
        <v>2721.6</v>
      </c>
      <c r="U639" s="9">
        <v>2520</v>
      </c>
      <c r="V639" s="9">
        <v>201.6</v>
      </c>
      <c r="W639" s="10">
        <v>7.4074074074074098E-2</v>
      </c>
    </row>
    <row r="640" spans="1:23" x14ac:dyDescent="0.3">
      <c r="A640" s="7" t="s">
        <v>2156</v>
      </c>
      <c r="B640" s="7" t="s">
        <v>2157</v>
      </c>
      <c r="C640" s="7" t="s">
        <v>2158</v>
      </c>
      <c r="D640" s="7" t="s">
        <v>2159</v>
      </c>
      <c r="E640" s="7" t="s">
        <v>322</v>
      </c>
      <c r="F640" s="8">
        <v>45411</v>
      </c>
      <c r="G640" s="8">
        <v>45412</v>
      </c>
      <c r="H640" s="8">
        <v>45415</v>
      </c>
      <c r="I640" s="7" t="s">
        <v>82</v>
      </c>
      <c r="J640" s="7" t="s">
        <v>2363</v>
      </c>
      <c r="K640" s="7" t="s">
        <v>19</v>
      </c>
      <c r="L640" s="7" t="s">
        <v>24</v>
      </c>
      <c r="M640" s="7" t="s">
        <v>26</v>
      </c>
      <c r="N640" s="7" t="s">
        <v>27</v>
      </c>
      <c r="O640" s="7" t="s">
        <v>28</v>
      </c>
      <c r="P640" s="7">
        <v>1</v>
      </c>
      <c r="Q640" s="9">
        <v>3330</v>
      </c>
      <c r="R640" s="9">
        <v>3629.7</v>
      </c>
      <c r="S640" s="10">
        <v>0.08</v>
      </c>
      <c r="T640" s="9">
        <v>3339.3240000000001</v>
      </c>
      <c r="U640" s="9">
        <v>3330</v>
      </c>
      <c r="V640" s="9">
        <v>9.3239999999999998</v>
      </c>
      <c r="W640" s="10">
        <v>2.7921818907060201E-3</v>
      </c>
    </row>
    <row r="641" spans="1:23" x14ac:dyDescent="0.3">
      <c r="A641" s="7" t="s">
        <v>2160</v>
      </c>
      <c r="B641" s="7" t="s">
        <v>1174</v>
      </c>
      <c r="C641" s="7" t="s">
        <v>2161</v>
      </c>
      <c r="D641" s="7" t="s">
        <v>2162</v>
      </c>
      <c r="E641" s="7" t="s">
        <v>77</v>
      </c>
      <c r="F641" s="8">
        <v>45924</v>
      </c>
      <c r="G641" s="8">
        <v>45924</v>
      </c>
      <c r="H641" s="8">
        <v>45928</v>
      </c>
      <c r="I641" s="7" t="s">
        <v>72</v>
      </c>
      <c r="J641" s="7" t="s">
        <v>2362</v>
      </c>
      <c r="K641" s="7" t="s">
        <v>19</v>
      </c>
      <c r="L641" s="7" t="s">
        <v>24</v>
      </c>
      <c r="M641" s="7" t="s">
        <v>44</v>
      </c>
      <c r="N641" s="7" t="s">
        <v>38</v>
      </c>
      <c r="O641" s="7" t="s">
        <v>45</v>
      </c>
      <c r="P641" s="7">
        <v>8</v>
      </c>
      <c r="Q641" s="9">
        <v>210</v>
      </c>
      <c r="R641" s="9">
        <v>222.6</v>
      </c>
      <c r="S641" s="10">
        <v>0.05</v>
      </c>
      <c r="T641" s="9">
        <v>1691.76</v>
      </c>
      <c r="U641" s="9">
        <v>1680</v>
      </c>
      <c r="V641" s="9">
        <v>11.76</v>
      </c>
      <c r="W641" s="10">
        <v>6.9513406156901702E-3</v>
      </c>
    </row>
    <row r="642" spans="1:23" x14ac:dyDescent="0.3">
      <c r="A642" s="7" t="s">
        <v>2163</v>
      </c>
      <c r="B642" s="7" t="s">
        <v>1061</v>
      </c>
      <c r="C642" s="7" t="s">
        <v>2164</v>
      </c>
      <c r="D642" s="7" t="s">
        <v>2165</v>
      </c>
      <c r="E642" s="7" t="s">
        <v>77</v>
      </c>
      <c r="F642" s="8">
        <v>45917</v>
      </c>
      <c r="G642" s="8">
        <v>45917</v>
      </c>
      <c r="H642" s="8">
        <v>45921</v>
      </c>
      <c r="I642" s="7" t="s">
        <v>72</v>
      </c>
      <c r="J642" s="7" t="s">
        <v>2363</v>
      </c>
      <c r="K642" s="7" t="s">
        <v>20</v>
      </c>
      <c r="L642" s="7" t="s">
        <v>23</v>
      </c>
      <c r="M642" s="7" t="s">
        <v>44</v>
      </c>
      <c r="N642" s="7" t="s">
        <v>38</v>
      </c>
      <c r="O642" s="7" t="s">
        <v>45</v>
      </c>
      <c r="P642" s="7">
        <v>8</v>
      </c>
      <c r="Q642" s="9">
        <v>210</v>
      </c>
      <c r="R642" s="9">
        <v>222.6</v>
      </c>
      <c r="S642" s="10">
        <v>0.05</v>
      </c>
      <c r="T642" s="9">
        <v>1691.76</v>
      </c>
      <c r="U642" s="9">
        <v>1680</v>
      </c>
      <c r="V642" s="9">
        <v>11.76</v>
      </c>
      <c r="W642" s="10">
        <v>6.9513406156901702E-3</v>
      </c>
    </row>
    <row r="643" spans="1:23" x14ac:dyDescent="0.3">
      <c r="A643" s="7" t="s">
        <v>2168</v>
      </c>
      <c r="B643" s="7" t="s">
        <v>568</v>
      </c>
      <c r="C643" s="7" t="s">
        <v>2169</v>
      </c>
      <c r="D643" s="7" t="s">
        <v>2170</v>
      </c>
      <c r="E643" s="7" t="s">
        <v>187</v>
      </c>
      <c r="F643" s="8">
        <v>45486</v>
      </c>
      <c r="G643" s="8">
        <v>45486</v>
      </c>
      <c r="H643" s="8">
        <v>45491</v>
      </c>
      <c r="I643" s="7" t="s">
        <v>72</v>
      </c>
      <c r="J643" s="7" t="s">
        <v>2362</v>
      </c>
      <c r="K643" s="7" t="s">
        <v>21</v>
      </c>
      <c r="L643" s="7" t="s">
        <v>23</v>
      </c>
      <c r="M643" s="7" t="s">
        <v>2367</v>
      </c>
      <c r="N643" s="7" t="s">
        <v>38</v>
      </c>
      <c r="O643" s="7" t="s">
        <v>41</v>
      </c>
      <c r="P643" s="7">
        <v>11</v>
      </c>
      <c r="Q643" s="9">
        <v>170</v>
      </c>
      <c r="R643" s="9">
        <v>188.7</v>
      </c>
      <c r="S643" s="10">
        <v>0.03</v>
      </c>
      <c r="T643" s="9">
        <v>2013.4290000000001</v>
      </c>
      <c r="U643" s="9">
        <v>1870</v>
      </c>
      <c r="V643" s="9">
        <v>143.429</v>
      </c>
      <c r="W643" s="10">
        <v>7.1236184638246505E-2</v>
      </c>
    </row>
    <row r="644" spans="1:23" x14ac:dyDescent="0.3">
      <c r="A644" s="7" t="s">
        <v>2171</v>
      </c>
      <c r="B644" s="7" t="s">
        <v>385</v>
      </c>
      <c r="C644" s="7" t="s">
        <v>2172</v>
      </c>
      <c r="D644" s="7" t="s">
        <v>2173</v>
      </c>
      <c r="E644" s="7" t="s">
        <v>109</v>
      </c>
      <c r="F644" s="8">
        <v>46160</v>
      </c>
      <c r="G644" s="8">
        <v>46160</v>
      </c>
      <c r="H644" s="8">
        <v>46164</v>
      </c>
      <c r="I644" s="7" t="s">
        <v>72</v>
      </c>
      <c r="J644" s="7" t="s">
        <v>2</v>
      </c>
      <c r="K644" s="7" t="s">
        <v>19</v>
      </c>
      <c r="L644" s="7" t="s">
        <v>61</v>
      </c>
      <c r="M644" s="7" t="s">
        <v>2365</v>
      </c>
      <c r="N644" s="7" t="s">
        <v>27</v>
      </c>
      <c r="O644" s="7" t="s">
        <v>56</v>
      </c>
      <c r="P644" s="7">
        <v>6</v>
      </c>
      <c r="Q644" s="9">
        <v>650</v>
      </c>
      <c r="R644" s="9">
        <v>663</v>
      </c>
      <c r="S644" s="10">
        <v>7.0000000000000007E-2</v>
      </c>
      <c r="T644" s="9">
        <v>3699.54</v>
      </c>
      <c r="U644" s="9">
        <v>3900</v>
      </c>
      <c r="V644" s="9">
        <v>-200.46</v>
      </c>
      <c r="W644" s="10">
        <v>-5.4185114906177501E-2</v>
      </c>
    </row>
    <row r="645" spans="1:23" x14ac:dyDescent="0.3">
      <c r="A645" s="7" t="s">
        <v>2174</v>
      </c>
      <c r="B645" s="7" t="s">
        <v>1725</v>
      </c>
      <c r="C645" s="7" t="s">
        <v>2175</v>
      </c>
      <c r="D645" s="7" t="s">
        <v>2176</v>
      </c>
      <c r="E645" s="7" t="s">
        <v>132</v>
      </c>
      <c r="F645" s="8">
        <v>46056</v>
      </c>
      <c r="G645" s="8">
        <v>46056</v>
      </c>
      <c r="H645" s="8">
        <v>46060</v>
      </c>
      <c r="I645" s="7" t="s">
        <v>82</v>
      </c>
      <c r="J645" s="7" t="s">
        <v>2</v>
      </c>
      <c r="K645" s="7" t="s">
        <v>19</v>
      </c>
      <c r="L645" s="7" t="s">
        <v>23</v>
      </c>
      <c r="M645" s="7" t="s">
        <v>2366</v>
      </c>
      <c r="N645" s="7" t="s">
        <v>27</v>
      </c>
      <c r="O645" s="7" t="s">
        <v>54</v>
      </c>
      <c r="P645" s="7">
        <v>4</v>
      </c>
      <c r="Q645" s="9">
        <v>430</v>
      </c>
      <c r="R645" s="9">
        <v>455.8</v>
      </c>
      <c r="S645" s="10">
        <v>0.01</v>
      </c>
      <c r="T645" s="9">
        <v>1804.9680000000001</v>
      </c>
      <c r="U645" s="9">
        <v>1720</v>
      </c>
      <c r="V645" s="9">
        <v>84.968000000000004</v>
      </c>
      <c r="W645" s="10">
        <v>4.7074518772632003E-2</v>
      </c>
    </row>
    <row r="646" spans="1:23" x14ac:dyDescent="0.3">
      <c r="A646" s="7" t="s">
        <v>2177</v>
      </c>
      <c r="B646" s="7" t="s">
        <v>2178</v>
      </c>
      <c r="C646" s="7" t="s">
        <v>2179</v>
      </c>
      <c r="D646" s="7" t="s">
        <v>2180</v>
      </c>
      <c r="E646" s="7" t="s">
        <v>187</v>
      </c>
      <c r="F646" s="8">
        <v>45434</v>
      </c>
      <c r="G646" s="8">
        <v>45435</v>
      </c>
      <c r="H646" s="8">
        <v>45438</v>
      </c>
      <c r="I646" s="7" t="s">
        <v>72</v>
      </c>
      <c r="J646" s="7" t="s">
        <v>2</v>
      </c>
      <c r="K646" s="7" t="s">
        <v>21</v>
      </c>
      <c r="L646" s="7" t="s">
        <v>22</v>
      </c>
      <c r="M646" s="7" t="s">
        <v>2367</v>
      </c>
      <c r="N646" s="7" t="s">
        <v>38</v>
      </c>
      <c r="O646" s="7" t="s">
        <v>41</v>
      </c>
      <c r="P646" s="7">
        <v>12</v>
      </c>
      <c r="Q646" s="9">
        <v>170</v>
      </c>
      <c r="R646" s="9">
        <v>188.7</v>
      </c>
      <c r="S646" s="10">
        <v>0.01</v>
      </c>
      <c r="T646" s="9">
        <v>2241.7559999999999</v>
      </c>
      <c r="U646" s="9">
        <v>2040</v>
      </c>
      <c r="V646" s="9">
        <v>201.756</v>
      </c>
      <c r="W646" s="10">
        <v>8.9999089999089996E-2</v>
      </c>
    </row>
    <row r="647" spans="1:23" x14ac:dyDescent="0.3">
      <c r="A647" s="7" t="s">
        <v>2181</v>
      </c>
      <c r="B647" s="7" t="s">
        <v>319</v>
      </c>
      <c r="C647" s="7" t="s">
        <v>2182</v>
      </c>
      <c r="D647" s="7" t="s">
        <v>611</v>
      </c>
      <c r="E647" s="7" t="s">
        <v>217</v>
      </c>
      <c r="F647" s="8">
        <v>45292</v>
      </c>
      <c r="G647" s="8">
        <v>45292</v>
      </c>
      <c r="H647" s="8">
        <v>45295</v>
      </c>
      <c r="I647" s="7" t="s">
        <v>72</v>
      </c>
      <c r="J647" s="7" t="s">
        <v>2364</v>
      </c>
      <c r="K647" s="7" t="s">
        <v>21</v>
      </c>
      <c r="L647" s="7" t="s">
        <v>25</v>
      </c>
      <c r="M647" s="7" t="s">
        <v>29</v>
      </c>
      <c r="N647" s="7" t="s">
        <v>27</v>
      </c>
      <c r="O647" s="7" t="s">
        <v>28</v>
      </c>
      <c r="P647" s="7">
        <v>8</v>
      </c>
      <c r="Q647" s="9">
        <v>3930</v>
      </c>
      <c r="R647" s="9">
        <v>4362.3</v>
      </c>
      <c r="S647" s="10">
        <v>0.03</v>
      </c>
      <c r="T647" s="9">
        <v>33851.447999999997</v>
      </c>
      <c r="U647" s="9">
        <v>31440</v>
      </c>
      <c r="V647" s="9">
        <v>2411.4479999999999</v>
      </c>
      <c r="W647" s="10">
        <v>7.1236184638246505E-2</v>
      </c>
    </row>
    <row r="648" spans="1:23" x14ac:dyDescent="0.3">
      <c r="A648" s="7" t="s">
        <v>2183</v>
      </c>
      <c r="B648" s="7" t="s">
        <v>1057</v>
      </c>
      <c r="C648" s="7" t="s">
        <v>2184</v>
      </c>
      <c r="D648" s="7" t="s">
        <v>1346</v>
      </c>
      <c r="E648" s="7" t="s">
        <v>132</v>
      </c>
      <c r="F648" s="8">
        <v>45531</v>
      </c>
      <c r="G648" s="8">
        <v>45531</v>
      </c>
      <c r="H648" s="8">
        <v>45536</v>
      </c>
      <c r="I648" s="7" t="s">
        <v>72</v>
      </c>
      <c r="J648" s="7" t="s">
        <v>2362</v>
      </c>
      <c r="K648" s="7" t="s">
        <v>21</v>
      </c>
      <c r="L648" s="7" t="s">
        <v>25</v>
      </c>
      <c r="M648" s="7" t="s">
        <v>2366</v>
      </c>
      <c r="N648" s="7" t="s">
        <v>27</v>
      </c>
      <c r="O648" s="7" t="s">
        <v>54</v>
      </c>
      <c r="P648" s="7">
        <v>12</v>
      </c>
      <c r="Q648" s="9">
        <v>430</v>
      </c>
      <c r="R648" s="9">
        <v>455.8</v>
      </c>
      <c r="S648" s="10">
        <v>0.01</v>
      </c>
      <c r="T648" s="9">
        <v>5414.9040000000005</v>
      </c>
      <c r="U648" s="9">
        <v>5160</v>
      </c>
      <c r="V648" s="9">
        <v>254.904</v>
      </c>
      <c r="W648" s="10">
        <v>4.7074518772632003E-2</v>
      </c>
    </row>
    <row r="649" spans="1:23" x14ac:dyDescent="0.3">
      <c r="A649" s="7" t="s">
        <v>2185</v>
      </c>
      <c r="B649" s="7" t="s">
        <v>702</v>
      </c>
      <c r="C649" s="7" t="s">
        <v>2186</v>
      </c>
      <c r="D649" s="7" t="s">
        <v>2187</v>
      </c>
      <c r="E649" s="7" t="s">
        <v>291</v>
      </c>
      <c r="F649" s="8">
        <v>45763</v>
      </c>
      <c r="G649" s="8">
        <v>45763</v>
      </c>
      <c r="H649" s="8">
        <v>45766</v>
      </c>
      <c r="I649" s="7" t="s">
        <v>72</v>
      </c>
      <c r="J649" s="7" t="s">
        <v>1</v>
      </c>
      <c r="K649" s="7" t="s">
        <v>21</v>
      </c>
      <c r="L649" s="7" t="s">
        <v>23</v>
      </c>
      <c r="M649" s="7" t="s">
        <v>57</v>
      </c>
      <c r="N649" s="7" t="s">
        <v>27</v>
      </c>
      <c r="O649" s="7" t="s">
        <v>58</v>
      </c>
      <c r="P649" s="7">
        <v>13</v>
      </c>
      <c r="Q649" s="9">
        <v>480</v>
      </c>
      <c r="R649" s="9">
        <v>513.6</v>
      </c>
      <c r="S649" s="10">
        <v>0.05</v>
      </c>
      <c r="T649" s="9">
        <v>6342.96</v>
      </c>
      <c r="U649" s="9">
        <v>6240</v>
      </c>
      <c r="V649" s="9">
        <v>102.96</v>
      </c>
      <c r="W649" s="10">
        <v>1.6232169208066902E-2</v>
      </c>
    </row>
    <row r="650" spans="1:23" x14ac:dyDescent="0.3">
      <c r="A650" s="7" t="s">
        <v>2188</v>
      </c>
      <c r="B650" s="7" t="s">
        <v>1112</v>
      </c>
      <c r="C650" s="7" t="s">
        <v>2189</v>
      </c>
      <c r="D650" s="7" t="s">
        <v>2190</v>
      </c>
      <c r="E650" s="7" t="s">
        <v>291</v>
      </c>
      <c r="F650" s="8">
        <v>45731</v>
      </c>
      <c r="G650" s="8">
        <v>45731</v>
      </c>
      <c r="H650" s="8">
        <v>45733</v>
      </c>
      <c r="I650" s="7" t="s">
        <v>72</v>
      </c>
      <c r="J650" s="7" t="s">
        <v>1</v>
      </c>
      <c r="K650" s="7" t="s">
        <v>20</v>
      </c>
      <c r="L650" s="7" t="s">
        <v>23</v>
      </c>
      <c r="M650" s="7" t="s">
        <v>57</v>
      </c>
      <c r="N650" s="7" t="s">
        <v>27</v>
      </c>
      <c r="O650" s="7" t="s">
        <v>58</v>
      </c>
      <c r="P650" s="7">
        <v>10</v>
      </c>
      <c r="Q650" s="9">
        <v>480</v>
      </c>
      <c r="R650" s="9">
        <v>513.6</v>
      </c>
      <c r="S650" s="10">
        <v>7.0000000000000007E-2</v>
      </c>
      <c r="T650" s="9">
        <v>4776.4799999999996</v>
      </c>
      <c r="U650" s="9">
        <v>4800</v>
      </c>
      <c r="V650" s="9">
        <v>-23.52</v>
      </c>
      <c r="W650" s="10">
        <v>-4.9241282283187596E-3</v>
      </c>
    </row>
    <row r="651" spans="1:23" x14ac:dyDescent="0.3">
      <c r="A651" s="7" t="s">
        <v>2191</v>
      </c>
      <c r="B651" s="7" t="s">
        <v>385</v>
      </c>
      <c r="C651" s="7" t="s">
        <v>2192</v>
      </c>
      <c r="D651" s="7" t="s">
        <v>2193</v>
      </c>
      <c r="E651" s="7" t="s">
        <v>217</v>
      </c>
      <c r="F651" s="8">
        <v>45394</v>
      </c>
      <c r="G651" s="8">
        <v>45395</v>
      </c>
      <c r="H651" s="8">
        <v>45396</v>
      </c>
      <c r="I651" s="7" t="s">
        <v>82</v>
      </c>
      <c r="J651" s="7" t="s">
        <v>2</v>
      </c>
      <c r="K651" s="7" t="s">
        <v>20</v>
      </c>
      <c r="L651" s="7" t="s">
        <v>23</v>
      </c>
      <c r="M651" s="7" t="s">
        <v>29</v>
      </c>
      <c r="N651" s="7" t="s">
        <v>27</v>
      </c>
      <c r="O651" s="7" t="s">
        <v>28</v>
      </c>
      <c r="P651" s="7">
        <v>2</v>
      </c>
      <c r="Q651" s="9">
        <v>3930</v>
      </c>
      <c r="R651" s="9">
        <v>4362.3</v>
      </c>
      <c r="S651" s="10">
        <v>0.04</v>
      </c>
      <c r="T651" s="9">
        <v>8375.616</v>
      </c>
      <c r="U651" s="9">
        <v>7860</v>
      </c>
      <c r="V651" s="9">
        <v>515.61599999999999</v>
      </c>
      <c r="W651" s="10">
        <v>6.1561561561561597E-2</v>
      </c>
    </row>
    <row r="652" spans="1:23" x14ac:dyDescent="0.3">
      <c r="A652" s="7" t="s">
        <v>2194</v>
      </c>
      <c r="B652" s="7" t="s">
        <v>155</v>
      </c>
      <c r="C652" s="7" t="s">
        <v>2195</v>
      </c>
      <c r="D652" s="7" t="s">
        <v>2196</v>
      </c>
      <c r="E652" s="7" t="s">
        <v>164</v>
      </c>
      <c r="F652" s="8">
        <v>45410</v>
      </c>
      <c r="G652" s="8">
        <v>45410</v>
      </c>
      <c r="H652" s="8">
        <v>45412</v>
      </c>
      <c r="I652" s="7" t="s">
        <v>72</v>
      </c>
      <c r="J652" s="7" t="s">
        <v>1</v>
      </c>
      <c r="K652" s="7" t="s">
        <v>21</v>
      </c>
      <c r="L652" s="7" t="s">
        <v>23</v>
      </c>
      <c r="M652" s="7" t="s">
        <v>43</v>
      </c>
      <c r="N652" s="7" t="s">
        <v>27</v>
      </c>
      <c r="O652" s="7" t="s">
        <v>31</v>
      </c>
      <c r="P652" s="7">
        <v>5</v>
      </c>
      <c r="Q652" s="9">
        <v>1630</v>
      </c>
      <c r="R652" s="9">
        <v>1744.1</v>
      </c>
      <c r="S652" s="10">
        <v>0.09</v>
      </c>
      <c r="T652" s="9">
        <v>7935.6549999999997</v>
      </c>
      <c r="U652" s="9">
        <v>8150</v>
      </c>
      <c r="V652" s="9">
        <v>-214.345</v>
      </c>
      <c r="W652" s="10">
        <v>-2.7010372804765301E-2</v>
      </c>
    </row>
    <row r="653" spans="1:23" x14ac:dyDescent="0.3">
      <c r="A653" s="7" t="s">
        <v>2197</v>
      </c>
      <c r="B653" s="7" t="s">
        <v>180</v>
      </c>
      <c r="C653" s="7" t="s">
        <v>2198</v>
      </c>
      <c r="D653" s="7" t="s">
        <v>2199</v>
      </c>
      <c r="E653" s="7" t="s">
        <v>114</v>
      </c>
      <c r="F653" s="8">
        <v>45668</v>
      </c>
      <c r="G653" s="8">
        <v>45668</v>
      </c>
      <c r="H653" s="8">
        <v>45671</v>
      </c>
      <c r="I653" s="7" t="s">
        <v>82</v>
      </c>
      <c r="J653" s="7" t="s">
        <v>2364</v>
      </c>
      <c r="K653" s="7" t="s">
        <v>19</v>
      </c>
      <c r="L653" s="7" t="s">
        <v>24</v>
      </c>
      <c r="M653" s="7" t="s">
        <v>51</v>
      </c>
      <c r="N653" s="7" t="s">
        <v>33</v>
      </c>
      <c r="O653" s="7" t="s">
        <v>52</v>
      </c>
      <c r="P653" s="7">
        <v>3</v>
      </c>
      <c r="Q653" s="9">
        <v>280</v>
      </c>
      <c r="R653" s="9">
        <v>336</v>
      </c>
      <c r="S653" s="10">
        <v>0.08</v>
      </c>
      <c r="T653" s="9">
        <v>927.36</v>
      </c>
      <c r="U653" s="9">
        <v>840</v>
      </c>
      <c r="V653" s="9">
        <v>87.36</v>
      </c>
      <c r="W653" s="10">
        <v>9.4202898550724598E-2</v>
      </c>
    </row>
    <row r="654" spans="1:23" x14ac:dyDescent="0.3">
      <c r="A654" s="7" t="s">
        <v>2200</v>
      </c>
      <c r="B654" s="7" t="s">
        <v>1677</v>
      </c>
      <c r="C654" s="7" t="s">
        <v>2201</v>
      </c>
      <c r="D654" s="7" t="s">
        <v>2202</v>
      </c>
      <c r="E654" s="7" t="s">
        <v>87</v>
      </c>
      <c r="F654" s="8">
        <v>45921</v>
      </c>
      <c r="G654" s="8">
        <v>45922</v>
      </c>
      <c r="H654" s="8">
        <v>45924</v>
      </c>
      <c r="I654" s="7" t="s">
        <v>72</v>
      </c>
      <c r="J654" s="7" t="s">
        <v>2</v>
      </c>
      <c r="K654" s="7" t="s">
        <v>21</v>
      </c>
      <c r="L654" s="7" t="s">
        <v>25</v>
      </c>
      <c r="M654" s="7" t="s">
        <v>30</v>
      </c>
      <c r="N654" s="7" t="s">
        <v>27</v>
      </c>
      <c r="O654" s="7" t="s">
        <v>31</v>
      </c>
      <c r="P654" s="7">
        <v>8</v>
      </c>
      <c r="Q654" s="9">
        <v>1030</v>
      </c>
      <c r="R654" s="9">
        <v>1174.2</v>
      </c>
      <c r="S654" s="10">
        <v>0.09</v>
      </c>
      <c r="T654" s="9">
        <v>8548.1759999999995</v>
      </c>
      <c r="U654" s="9">
        <v>8240</v>
      </c>
      <c r="V654" s="9">
        <v>308.17599999999999</v>
      </c>
      <c r="W654" s="10">
        <v>3.6051667630615E-2</v>
      </c>
    </row>
    <row r="655" spans="1:23" x14ac:dyDescent="0.3">
      <c r="A655" s="7" t="s">
        <v>2203</v>
      </c>
      <c r="B655" s="7" t="s">
        <v>2204</v>
      </c>
      <c r="C655" s="7" t="s">
        <v>2205</v>
      </c>
      <c r="D655" s="7" t="s">
        <v>2206</v>
      </c>
      <c r="E655" s="7" t="s">
        <v>178</v>
      </c>
      <c r="F655" s="8">
        <v>45796</v>
      </c>
      <c r="G655" s="8">
        <v>45796</v>
      </c>
      <c r="H655" s="8">
        <v>45799</v>
      </c>
      <c r="I655" s="7" t="s">
        <v>72</v>
      </c>
      <c r="J655" s="7" t="s">
        <v>2</v>
      </c>
      <c r="K655" s="7" t="s">
        <v>20</v>
      </c>
      <c r="L655" s="7" t="s">
        <v>22</v>
      </c>
      <c r="M655" s="7" t="s">
        <v>47</v>
      </c>
      <c r="N655" s="7" t="s">
        <v>38</v>
      </c>
      <c r="O655" s="7" t="s">
        <v>39</v>
      </c>
      <c r="P655" s="7">
        <v>10</v>
      </c>
      <c r="Q655" s="9">
        <v>390</v>
      </c>
      <c r="R655" s="9">
        <v>468</v>
      </c>
      <c r="S655" s="10">
        <v>7.0000000000000007E-2</v>
      </c>
      <c r="T655" s="9">
        <v>4352.3999999999996</v>
      </c>
      <c r="U655" s="9">
        <v>3900</v>
      </c>
      <c r="V655" s="9">
        <v>452.4</v>
      </c>
      <c r="W655" s="10">
        <v>0.103942652329749</v>
      </c>
    </row>
    <row r="656" spans="1:23" x14ac:dyDescent="0.3">
      <c r="A656" s="7" t="s">
        <v>2207</v>
      </c>
      <c r="B656" s="7" t="s">
        <v>319</v>
      </c>
      <c r="C656" s="7" t="s">
        <v>2208</v>
      </c>
      <c r="D656" s="7" t="s">
        <v>1413</v>
      </c>
      <c r="E656" s="7" t="s">
        <v>322</v>
      </c>
      <c r="F656" s="8">
        <v>45518</v>
      </c>
      <c r="G656" s="8">
        <v>45518</v>
      </c>
      <c r="H656" s="8">
        <v>45522</v>
      </c>
      <c r="I656" s="7" t="s">
        <v>72</v>
      </c>
      <c r="J656" s="7" t="s">
        <v>2</v>
      </c>
      <c r="K656" s="7" t="s">
        <v>20</v>
      </c>
      <c r="L656" s="7" t="s">
        <v>23</v>
      </c>
      <c r="M656" s="7" t="s">
        <v>26</v>
      </c>
      <c r="N656" s="7" t="s">
        <v>27</v>
      </c>
      <c r="O656" s="7" t="s">
        <v>28</v>
      </c>
      <c r="P656" s="7">
        <v>10</v>
      </c>
      <c r="Q656" s="9">
        <v>3330</v>
      </c>
      <c r="R656" s="9">
        <v>3629.7</v>
      </c>
      <c r="S656" s="10">
        <v>0.02</v>
      </c>
      <c r="T656" s="9">
        <v>35571.06</v>
      </c>
      <c r="U656" s="9">
        <v>33300</v>
      </c>
      <c r="V656" s="9">
        <v>2271.06</v>
      </c>
      <c r="W656" s="10">
        <v>6.3845721774948502E-2</v>
      </c>
    </row>
    <row r="657" spans="1:23" x14ac:dyDescent="0.3">
      <c r="A657" s="7" t="s">
        <v>2209</v>
      </c>
      <c r="B657" s="7" t="s">
        <v>2210</v>
      </c>
      <c r="C657" s="7" t="s">
        <v>2211</v>
      </c>
      <c r="D657" s="7" t="s">
        <v>2212</v>
      </c>
      <c r="E657" s="7" t="s">
        <v>71</v>
      </c>
      <c r="F657" s="8">
        <v>45555</v>
      </c>
      <c r="G657" s="8">
        <v>45555</v>
      </c>
      <c r="H657" s="8">
        <v>45557</v>
      </c>
      <c r="I657" s="7" t="s">
        <v>72</v>
      </c>
      <c r="J657" s="7" t="s">
        <v>2363</v>
      </c>
      <c r="K657" s="7" t="s">
        <v>20</v>
      </c>
      <c r="L657" s="7" t="s">
        <v>24</v>
      </c>
      <c r="M657" s="7" t="s">
        <v>32</v>
      </c>
      <c r="N657" s="7" t="s">
        <v>33</v>
      </c>
      <c r="O657" s="7" t="s">
        <v>34</v>
      </c>
      <c r="P657" s="7">
        <v>5</v>
      </c>
      <c r="Q657" s="9">
        <v>730</v>
      </c>
      <c r="R657" s="9">
        <v>824.9</v>
      </c>
      <c r="S657" s="10">
        <v>0.09</v>
      </c>
      <c r="T657" s="9">
        <v>3753.2950000000001</v>
      </c>
      <c r="U657" s="9">
        <v>3650</v>
      </c>
      <c r="V657" s="9">
        <v>103.295</v>
      </c>
      <c r="W657" s="10">
        <v>2.7521151414956702E-2</v>
      </c>
    </row>
    <row r="658" spans="1:23" x14ac:dyDescent="0.3">
      <c r="A658" s="7" t="s">
        <v>2213</v>
      </c>
      <c r="B658" s="7" t="s">
        <v>1094</v>
      </c>
      <c r="C658" s="7" t="s">
        <v>2214</v>
      </c>
      <c r="D658" s="7" t="s">
        <v>1379</v>
      </c>
      <c r="E658" s="7" t="s">
        <v>178</v>
      </c>
      <c r="F658" s="8">
        <v>45447</v>
      </c>
      <c r="G658" s="8">
        <v>45448</v>
      </c>
      <c r="H658" s="8">
        <v>45449</v>
      </c>
      <c r="I658" s="7" t="s">
        <v>72</v>
      </c>
      <c r="J658" s="7" t="s">
        <v>1</v>
      </c>
      <c r="K658" s="7" t="s">
        <v>21</v>
      </c>
      <c r="L658" s="7" t="s">
        <v>23</v>
      </c>
      <c r="M658" s="7" t="s">
        <v>47</v>
      </c>
      <c r="N658" s="7" t="s">
        <v>38</v>
      </c>
      <c r="O658" s="7" t="s">
        <v>39</v>
      </c>
      <c r="P658" s="7">
        <v>12</v>
      </c>
      <c r="Q658" s="9">
        <v>390</v>
      </c>
      <c r="R658" s="9">
        <v>468</v>
      </c>
      <c r="S658" s="10">
        <v>0.04</v>
      </c>
      <c r="T658" s="9">
        <v>5391.36</v>
      </c>
      <c r="U658" s="9">
        <v>4680</v>
      </c>
      <c r="V658" s="9">
        <v>711.36</v>
      </c>
      <c r="W658" s="10">
        <v>0.131944444444444</v>
      </c>
    </row>
    <row r="659" spans="1:23" x14ac:dyDescent="0.3">
      <c r="A659" s="7" t="s">
        <v>2215</v>
      </c>
      <c r="B659" s="7" t="s">
        <v>851</v>
      </c>
      <c r="C659" s="7" t="s">
        <v>2216</v>
      </c>
      <c r="D659" s="7" t="s">
        <v>2217</v>
      </c>
      <c r="E659" s="7" t="s">
        <v>208</v>
      </c>
      <c r="F659" s="8">
        <v>45912</v>
      </c>
      <c r="G659" s="8">
        <v>45912</v>
      </c>
      <c r="H659" s="8">
        <v>45917</v>
      </c>
      <c r="I659" s="7" t="s">
        <v>72</v>
      </c>
      <c r="J659" s="7" t="s">
        <v>2362</v>
      </c>
      <c r="K659" s="7" t="s">
        <v>21</v>
      </c>
      <c r="L659" s="7" t="s">
        <v>61</v>
      </c>
      <c r="M659" s="7" t="s">
        <v>50</v>
      </c>
      <c r="N659" s="7" t="s">
        <v>33</v>
      </c>
      <c r="O659" s="7" t="s">
        <v>36</v>
      </c>
      <c r="P659" s="7">
        <v>6</v>
      </c>
      <c r="Q659" s="9">
        <v>930</v>
      </c>
      <c r="R659" s="9">
        <v>1078.8</v>
      </c>
      <c r="S659" s="10">
        <v>0</v>
      </c>
      <c r="T659" s="9">
        <v>6472.8</v>
      </c>
      <c r="U659" s="9">
        <v>5580</v>
      </c>
      <c r="V659" s="9">
        <v>892.8</v>
      </c>
      <c r="W659" s="10">
        <v>0.13793103448275901</v>
      </c>
    </row>
    <row r="660" spans="1:23" x14ac:dyDescent="0.3">
      <c r="A660" s="7" t="s">
        <v>2218</v>
      </c>
      <c r="B660" s="7" t="s">
        <v>1473</v>
      </c>
      <c r="C660" s="7" t="s">
        <v>2219</v>
      </c>
      <c r="D660" s="7" t="s">
        <v>2220</v>
      </c>
      <c r="E660" s="7" t="s">
        <v>192</v>
      </c>
      <c r="F660" s="8">
        <v>45655</v>
      </c>
      <c r="G660" s="8">
        <v>45656</v>
      </c>
      <c r="H660" s="8">
        <v>45658</v>
      </c>
      <c r="I660" s="7" t="s">
        <v>72</v>
      </c>
      <c r="J660" s="7" t="s">
        <v>2363</v>
      </c>
      <c r="K660" s="7" t="s">
        <v>21</v>
      </c>
      <c r="L660" s="7" t="s">
        <v>61</v>
      </c>
      <c r="M660" s="7" t="s">
        <v>46</v>
      </c>
      <c r="N660" s="7" t="s">
        <v>38</v>
      </c>
      <c r="O660" s="7" t="s">
        <v>45</v>
      </c>
      <c r="P660" s="7">
        <v>10</v>
      </c>
      <c r="Q660" s="9">
        <v>350</v>
      </c>
      <c r="R660" s="9">
        <v>364</v>
      </c>
      <c r="S660" s="10">
        <v>0.1</v>
      </c>
      <c r="T660" s="9">
        <v>3276</v>
      </c>
      <c r="U660" s="9">
        <v>3500</v>
      </c>
      <c r="V660" s="9">
        <v>-224</v>
      </c>
      <c r="W660" s="10">
        <v>-6.8376068376068397E-2</v>
      </c>
    </row>
    <row r="661" spans="1:23" x14ac:dyDescent="0.3">
      <c r="A661" s="7" t="s">
        <v>2221</v>
      </c>
      <c r="B661" s="7" t="s">
        <v>1065</v>
      </c>
      <c r="C661" s="7" t="s">
        <v>2222</v>
      </c>
      <c r="D661" s="7" t="s">
        <v>836</v>
      </c>
      <c r="E661" s="7" t="s">
        <v>71</v>
      </c>
      <c r="F661" s="8">
        <v>46049</v>
      </c>
      <c r="G661" s="8">
        <v>46050</v>
      </c>
      <c r="H661" s="8">
        <v>46053</v>
      </c>
      <c r="I661" s="7" t="s">
        <v>72</v>
      </c>
      <c r="J661" s="7" t="s">
        <v>2364</v>
      </c>
      <c r="K661" s="7" t="s">
        <v>21</v>
      </c>
      <c r="L661" s="7" t="s">
        <v>24</v>
      </c>
      <c r="M661" s="7" t="s">
        <v>32</v>
      </c>
      <c r="N661" s="7" t="s">
        <v>33</v>
      </c>
      <c r="O661" s="7" t="s">
        <v>34</v>
      </c>
      <c r="P661" s="7">
        <v>5</v>
      </c>
      <c r="Q661" s="9">
        <v>730</v>
      </c>
      <c r="R661" s="9">
        <v>824.9</v>
      </c>
      <c r="S661" s="10">
        <v>0.01</v>
      </c>
      <c r="T661" s="9">
        <v>4083.2550000000001</v>
      </c>
      <c r="U661" s="9">
        <v>3650</v>
      </c>
      <c r="V661" s="9">
        <v>433.255</v>
      </c>
      <c r="W661" s="10">
        <v>0.106105300795566</v>
      </c>
    </row>
    <row r="662" spans="1:23" x14ac:dyDescent="0.3">
      <c r="A662" s="7" t="s">
        <v>2223</v>
      </c>
      <c r="B662" s="7" t="s">
        <v>1253</v>
      </c>
      <c r="C662" s="7" t="s">
        <v>2224</v>
      </c>
      <c r="D662" s="7" t="s">
        <v>2225</v>
      </c>
      <c r="E662" s="7" t="s">
        <v>114</v>
      </c>
      <c r="F662" s="8">
        <v>45556</v>
      </c>
      <c r="G662" s="8">
        <v>45556</v>
      </c>
      <c r="H662" s="8">
        <v>45561</v>
      </c>
      <c r="I662" s="7" t="s">
        <v>72</v>
      </c>
      <c r="J662" s="7" t="s">
        <v>2</v>
      </c>
      <c r="K662" s="7" t="s">
        <v>21</v>
      </c>
      <c r="L662" s="7" t="s">
        <v>23</v>
      </c>
      <c r="M662" s="7" t="s">
        <v>51</v>
      </c>
      <c r="N662" s="7" t="s">
        <v>33</v>
      </c>
      <c r="O662" s="7" t="s">
        <v>52</v>
      </c>
      <c r="P662" s="7">
        <v>11</v>
      </c>
      <c r="Q662" s="9">
        <v>280</v>
      </c>
      <c r="R662" s="9">
        <v>336</v>
      </c>
      <c r="S662" s="10">
        <v>0.04</v>
      </c>
      <c r="T662" s="9">
        <v>3548.16</v>
      </c>
      <c r="U662" s="9">
        <v>3080</v>
      </c>
      <c r="V662" s="9">
        <v>468.16</v>
      </c>
      <c r="W662" s="10">
        <v>0.131944444444444</v>
      </c>
    </row>
    <row r="663" spans="1:23" x14ac:dyDescent="0.3">
      <c r="A663" s="7" t="s">
        <v>2226</v>
      </c>
      <c r="B663" s="7" t="s">
        <v>1762</v>
      </c>
      <c r="C663" s="7" t="s">
        <v>2227</v>
      </c>
      <c r="D663" s="7" t="s">
        <v>2228</v>
      </c>
      <c r="E663" s="7" t="s">
        <v>173</v>
      </c>
      <c r="F663" s="8">
        <v>45661</v>
      </c>
      <c r="G663" s="8">
        <v>45661</v>
      </c>
      <c r="H663" s="8">
        <v>45663</v>
      </c>
      <c r="I663" s="7" t="s">
        <v>72</v>
      </c>
      <c r="J663" s="7" t="s">
        <v>1</v>
      </c>
      <c r="K663" s="7" t="s">
        <v>19</v>
      </c>
      <c r="L663" s="7" t="s">
        <v>24</v>
      </c>
      <c r="M663" s="7" t="s">
        <v>48</v>
      </c>
      <c r="N663" s="7" t="s">
        <v>38</v>
      </c>
      <c r="O663" s="7" t="s">
        <v>41</v>
      </c>
      <c r="P663" s="7">
        <v>5</v>
      </c>
      <c r="Q663" s="9">
        <v>580</v>
      </c>
      <c r="R663" s="9">
        <v>667</v>
      </c>
      <c r="S663" s="10">
        <v>0.1</v>
      </c>
      <c r="T663" s="9">
        <v>3001.5</v>
      </c>
      <c r="U663" s="9">
        <v>2900</v>
      </c>
      <c r="V663" s="9">
        <v>101.5</v>
      </c>
      <c r="W663" s="10">
        <v>3.3816425120772903E-2</v>
      </c>
    </row>
    <row r="664" spans="1:23" x14ac:dyDescent="0.3">
      <c r="A664" s="7" t="s">
        <v>2229</v>
      </c>
      <c r="B664" s="7" t="s">
        <v>844</v>
      </c>
      <c r="C664" s="7" t="s">
        <v>2230</v>
      </c>
      <c r="D664" s="7" t="s">
        <v>875</v>
      </c>
      <c r="E664" s="7" t="s">
        <v>178</v>
      </c>
      <c r="F664" s="8">
        <v>45852</v>
      </c>
      <c r="G664" s="8">
        <v>45853</v>
      </c>
      <c r="H664" s="8">
        <v>45857</v>
      </c>
      <c r="I664" s="7" t="s">
        <v>82</v>
      </c>
      <c r="J664" s="7" t="s">
        <v>2364</v>
      </c>
      <c r="K664" s="7" t="s">
        <v>20</v>
      </c>
      <c r="L664" s="7" t="s">
        <v>23</v>
      </c>
      <c r="M664" s="7" t="s">
        <v>47</v>
      </c>
      <c r="N664" s="7" t="s">
        <v>38</v>
      </c>
      <c r="O664" s="7" t="s">
        <v>39</v>
      </c>
      <c r="P664" s="7">
        <v>2</v>
      </c>
      <c r="Q664" s="9">
        <v>390</v>
      </c>
      <c r="R664" s="9">
        <v>468</v>
      </c>
      <c r="S664" s="10">
        <v>0</v>
      </c>
      <c r="T664" s="9">
        <v>936</v>
      </c>
      <c r="U664" s="9">
        <v>780</v>
      </c>
      <c r="V664" s="9">
        <v>156</v>
      </c>
      <c r="W664" s="10">
        <v>0.16666666666666699</v>
      </c>
    </row>
    <row r="665" spans="1:23" x14ac:dyDescent="0.3">
      <c r="A665" s="7" t="s">
        <v>2231</v>
      </c>
      <c r="B665" s="7" t="s">
        <v>311</v>
      </c>
      <c r="C665" s="7" t="s">
        <v>2232</v>
      </c>
      <c r="D665" s="7" t="s">
        <v>224</v>
      </c>
      <c r="E665" s="7" t="s">
        <v>71</v>
      </c>
      <c r="F665" s="8">
        <v>45641</v>
      </c>
      <c r="G665" s="8">
        <v>45642</v>
      </c>
      <c r="H665" s="8">
        <v>45644</v>
      </c>
      <c r="I665" s="7" t="s">
        <v>72</v>
      </c>
      <c r="J665" s="7" t="s">
        <v>2362</v>
      </c>
      <c r="K665" s="7" t="s">
        <v>21</v>
      </c>
      <c r="L665" s="7" t="s">
        <v>25</v>
      </c>
      <c r="M665" s="7" t="s">
        <v>32</v>
      </c>
      <c r="N665" s="7" t="s">
        <v>33</v>
      </c>
      <c r="O665" s="7" t="s">
        <v>34</v>
      </c>
      <c r="P665" s="7">
        <v>15</v>
      </c>
      <c r="Q665" s="9">
        <v>730</v>
      </c>
      <c r="R665" s="9">
        <v>824.9</v>
      </c>
      <c r="S665" s="10">
        <v>0.04</v>
      </c>
      <c r="T665" s="9">
        <v>11878.56</v>
      </c>
      <c r="U665" s="9">
        <v>10950</v>
      </c>
      <c r="V665" s="9">
        <v>928.56</v>
      </c>
      <c r="W665" s="10">
        <v>7.8171091445427707E-2</v>
      </c>
    </row>
    <row r="666" spans="1:23" x14ac:dyDescent="0.3">
      <c r="A666" s="7" t="s">
        <v>2233</v>
      </c>
      <c r="B666" s="7" t="s">
        <v>929</v>
      </c>
      <c r="C666" s="7" t="s">
        <v>2234</v>
      </c>
      <c r="D666" s="7" t="s">
        <v>2235</v>
      </c>
      <c r="E666" s="7" t="s">
        <v>164</v>
      </c>
      <c r="F666" s="8">
        <v>45810</v>
      </c>
      <c r="G666" s="8">
        <v>45810</v>
      </c>
      <c r="H666" s="8">
        <v>45813</v>
      </c>
      <c r="I666" s="7" t="s">
        <v>72</v>
      </c>
      <c r="J666" s="7" t="s">
        <v>2364</v>
      </c>
      <c r="K666" s="7" t="s">
        <v>21</v>
      </c>
      <c r="L666" s="7" t="s">
        <v>23</v>
      </c>
      <c r="M666" s="7" t="s">
        <v>43</v>
      </c>
      <c r="N666" s="7" t="s">
        <v>27</v>
      </c>
      <c r="O666" s="7" t="s">
        <v>31</v>
      </c>
      <c r="P666" s="7">
        <v>9</v>
      </c>
      <c r="Q666" s="9">
        <v>1630</v>
      </c>
      <c r="R666" s="9">
        <v>1744.1</v>
      </c>
      <c r="S666" s="10">
        <v>0.06</v>
      </c>
      <c r="T666" s="9">
        <v>14755.085999999999</v>
      </c>
      <c r="U666" s="9">
        <v>14670</v>
      </c>
      <c r="V666" s="9">
        <v>85.085999999999999</v>
      </c>
      <c r="W666" s="10">
        <v>5.7665539868761197E-3</v>
      </c>
    </row>
    <row r="667" spans="1:23" x14ac:dyDescent="0.3">
      <c r="A667" s="7" t="s">
        <v>2236</v>
      </c>
      <c r="B667" s="7" t="s">
        <v>97</v>
      </c>
      <c r="C667" s="7" t="s">
        <v>2237</v>
      </c>
      <c r="D667" s="7" t="s">
        <v>2238</v>
      </c>
      <c r="E667" s="7" t="s">
        <v>187</v>
      </c>
      <c r="F667" s="8">
        <v>46028</v>
      </c>
      <c r="G667" s="8">
        <v>46029</v>
      </c>
      <c r="H667" s="8">
        <v>46031</v>
      </c>
      <c r="I667" s="7" t="s">
        <v>72</v>
      </c>
      <c r="J667" s="7" t="s">
        <v>1</v>
      </c>
      <c r="K667" s="7" t="s">
        <v>21</v>
      </c>
      <c r="L667" s="7" t="s">
        <v>22</v>
      </c>
      <c r="M667" s="7" t="s">
        <v>2367</v>
      </c>
      <c r="N667" s="7" t="s">
        <v>38</v>
      </c>
      <c r="O667" s="7" t="s">
        <v>41</v>
      </c>
      <c r="P667" s="7">
        <v>5</v>
      </c>
      <c r="Q667" s="9">
        <v>170</v>
      </c>
      <c r="R667" s="9">
        <v>188.7</v>
      </c>
      <c r="S667" s="10">
        <v>0.04</v>
      </c>
      <c r="T667" s="9">
        <v>905.76</v>
      </c>
      <c r="U667" s="9">
        <v>850</v>
      </c>
      <c r="V667" s="9">
        <v>55.76</v>
      </c>
      <c r="W667" s="10">
        <v>6.1561561561561597E-2</v>
      </c>
    </row>
    <row r="668" spans="1:23" x14ac:dyDescent="0.3">
      <c r="A668" s="7" t="s">
        <v>2239</v>
      </c>
      <c r="B668" s="7" t="s">
        <v>1131</v>
      </c>
      <c r="C668" s="7" t="s">
        <v>2240</v>
      </c>
      <c r="D668" s="7" t="s">
        <v>2241</v>
      </c>
      <c r="E668" s="7" t="s">
        <v>109</v>
      </c>
      <c r="F668" s="8">
        <v>45874</v>
      </c>
      <c r="G668" s="8">
        <v>45875</v>
      </c>
      <c r="H668" s="8">
        <v>45877</v>
      </c>
      <c r="I668" s="7" t="s">
        <v>72</v>
      </c>
      <c r="J668" s="7" t="s">
        <v>2364</v>
      </c>
      <c r="K668" s="7" t="s">
        <v>21</v>
      </c>
      <c r="L668" s="7" t="s">
        <v>23</v>
      </c>
      <c r="M668" s="7" t="s">
        <v>2365</v>
      </c>
      <c r="N668" s="7" t="s">
        <v>27</v>
      </c>
      <c r="O668" s="7" t="s">
        <v>56</v>
      </c>
      <c r="P668" s="7">
        <v>11</v>
      </c>
      <c r="Q668" s="9">
        <v>650</v>
      </c>
      <c r="R668" s="9">
        <v>663</v>
      </c>
      <c r="S668" s="10">
        <v>0.02</v>
      </c>
      <c r="T668" s="9">
        <v>7147.14</v>
      </c>
      <c r="U668" s="9">
        <v>7150</v>
      </c>
      <c r="V668" s="9">
        <v>-2.86</v>
      </c>
      <c r="W668" s="10">
        <v>-4.0016006402561E-4</v>
      </c>
    </row>
    <row r="669" spans="1:23" x14ac:dyDescent="0.3">
      <c r="A669" s="7" t="s">
        <v>2242</v>
      </c>
      <c r="B669" s="7" t="s">
        <v>971</v>
      </c>
      <c r="C669" s="7" t="s">
        <v>2243</v>
      </c>
      <c r="D669" s="7" t="s">
        <v>1401</v>
      </c>
      <c r="E669" s="7" t="s">
        <v>77</v>
      </c>
      <c r="F669" s="8">
        <v>45683</v>
      </c>
      <c r="G669" s="8">
        <v>45683</v>
      </c>
      <c r="H669" s="8">
        <v>45686</v>
      </c>
      <c r="I669" s="7" t="s">
        <v>72</v>
      </c>
      <c r="J669" s="7" t="s">
        <v>2</v>
      </c>
      <c r="K669" s="7" t="s">
        <v>21</v>
      </c>
      <c r="L669" s="7" t="s">
        <v>25</v>
      </c>
      <c r="M669" s="7" t="s">
        <v>44</v>
      </c>
      <c r="N669" s="7" t="s">
        <v>38</v>
      </c>
      <c r="O669" s="7" t="s">
        <v>45</v>
      </c>
      <c r="P669" s="7">
        <v>13</v>
      </c>
      <c r="Q669" s="9">
        <v>210</v>
      </c>
      <c r="R669" s="9">
        <v>222.6</v>
      </c>
      <c r="S669" s="10">
        <v>0.01</v>
      </c>
      <c r="T669" s="9">
        <v>2864.8620000000001</v>
      </c>
      <c r="U669" s="9">
        <v>2730</v>
      </c>
      <c r="V669" s="9">
        <v>134.86199999999999</v>
      </c>
      <c r="W669" s="10">
        <v>4.7074518772632003E-2</v>
      </c>
    </row>
    <row r="670" spans="1:23" x14ac:dyDescent="0.3">
      <c r="A670" s="7" t="s">
        <v>2244</v>
      </c>
      <c r="B670" s="7" t="s">
        <v>428</v>
      </c>
      <c r="C670" s="7" t="s">
        <v>2245</v>
      </c>
      <c r="D670" s="7" t="s">
        <v>2246</v>
      </c>
      <c r="E670" s="7" t="s">
        <v>164</v>
      </c>
      <c r="F670" s="8">
        <v>45437</v>
      </c>
      <c r="G670" s="8">
        <v>45437</v>
      </c>
      <c r="H670" s="8">
        <v>45442</v>
      </c>
      <c r="I670" s="7" t="s">
        <v>72</v>
      </c>
      <c r="J670" s="7" t="s">
        <v>2363</v>
      </c>
      <c r="K670" s="7" t="s">
        <v>21</v>
      </c>
      <c r="L670" s="7" t="s">
        <v>24</v>
      </c>
      <c r="M670" s="7" t="s">
        <v>43</v>
      </c>
      <c r="N670" s="7" t="s">
        <v>27</v>
      </c>
      <c r="O670" s="7" t="s">
        <v>31</v>
      </c>
      <c r="P670" s="7">
        <v>8</v>
      </c>
      <c r="Q670" s="9">
        <v>1630</v>
      </c>
      <c r="R670" s="9">
        <v>1744.1</v>
      </c>
      <c r="S670" s="10">
        <v>0.04</v>
      </c>
      <c r="T670" s="9">
        <v>13394.688</v>
      </c>
      <c r="U670" s="9">
        <v>13040</v>
      </c>
      <c r="V670" s="9">
        <v>354.68799999999999</v>
      </c>
      <c r="W670" s="10">
        <v>2.6479750778816199E-2</v>
      </c>
    </row>
    <row r="671" spans="1:23" x14ac:dyDescent="0.3">
      <c r="A671" s="7" t="s">
        <v>2247</v>
      </c>
      <c r="B671" s="7" t="s">
        <v>1959</v>
      </c>
      <c r="C671" s="7" t="s">
        <v>2248</v>
      </c>
      <c r="D671" s="7" t="s">
        <v>2249</v>
      </c>
      <c r="E671" s="7" t="s">
        <v>95</v>
      </c>
      <c r="F671" s="8">
        <v>45480</v>
      </c>
      <c r="G671" s="8">
        <v>45481</v>
      </c>
      <c r="H671" s="8">
        <v>45484</v>
      </c>
      <c r="I671" s="7" t="s">
        <v>72</v>
      </c>
      <c r="J671" s="7" t="s">
        <v>2362</v>
      </c>
      <c r="K671" s="7" t="s">
        <v>20</v>
      </c>
      <c r="L671" s="7" t="s">
        <v>24</v>
      </c>
      <c r="M671" s="7" t="s">
        <v>49</v>
      </c>
      <c r="N671" s="7" t="s">
        <v>33</v>
      </c>
      <c r="O671" s="7" t="s">
        <v>34</v>
      </c>
      <c r="P671" s="7">
        <v>6</v>
      </c>
      <c r="Q671" s="9">
        <v>1080</v>
      </c>
      <c r="R671" s="9">
        <v>1112.4000000000001</v>
      </c>
      <c r="S671" s="10">
        <v>0</v>
      </c>
      <c r="T671" s="9">
        <v>6674.4</v>
      </c>
      <c r="U671" s="9">
        <v>6480</v>
      </c>
      <c r="V671" s="9">
        <v>194.4</v>
      </c>
      <c r="W671" s="10">
        <v>2.9126213592233E-2</v>
      </c>
    </row>
    <row r="672" spans="1:23" x14ac:dyDescent="0.3">
      <c r="A672" s="7" t="s">
        <v>2250</v>
      </c>
      <c r="B672" s="7" t="s">
        <v>1226</v>
      </c>
      <c r="C672" s="7" t="s">
        <v>2251</v>
      </c>
      <c r="D672" s="7" t="s">
        <v>2252</v>
      </c>
      <c r="E672" s="7" t="s">
        <v>71</v>
      </c>
      <c r="F672" s="8">
        <v>45341</v>
      </c>
      <c r="G672" s="8">
        <v>45342</v>
      </c>
      <c r="H672" s="8">
        <v>45344</v>
      </c>
      <c r="I672" s="7" t="s">
        <v>72</v>
      </c>
      <c r="J672" s="7" t="s">
        <v>2</v>
      </c>
      <c r="K672" s="7" t="s">
        <v>20</v>
      </c>
      <c r="L672" s="7" t="s">
        <v>61</v>
      </c>
      <c r="M672" s="7" t="s">
        <v>32</v>
      </c>
      <c r="N672" s="7" t="s">
        <v>33</v>
      </c>
      <c r="O672" s="7" t="s">
        <v>34</v>
      </c>
      <c r="P672" s="7">
        <v>10</v>
      </c>
      <c r="Q672" s="9">
        <v>730</v>
      </c>
      <c r="R672" s="9">
        <v>824.9</v>
      </c>
      <c r="S672" s="10">
        <v>0.06</v>
      </c>
      <c r="T672" s="9">
        <v>7754.06</v>
      </c>
      <c r="U672" s="9">
        <v>7300</v>
      </c>
      <c r="V672" s="9">
        <v>454.06</v>
      </c>
      <c r="W672" s="10">
        <v>5.85577104123517E-2</v>
      </c>
    </row>
    <row r="673" spans="1:23" x14ac:dyDescent="0.3">
      <c r="A673" s="7" t="s">
        <v>2253</v>
      </c>
      <c r="B673" s="7" t="s">
        <v>1108</v>
      </c>
      <c r="C673" s="7" t="s">
        <v>2254</v>
      </c>
      <c r="D673" s="7" t="s">
        <v>2255</v>
      </c>
      <c r="E673" s="7" t="s">
        <v>71</v>
      </c>
      <c r="F673" s="8">
        <v>45941</v>
      </c>
      <c r="G673" s="8">
        <v>45941</v>
      </c>
      <c r="H673" s="8">
        <v>45944</v>
      </c>
      <c r="I673" s="7" t="s">
        <v>72</v>
      </c>
      <c r="J673" s="7" t="s">
        <v>2363</v>
      </c>
      <c r="K673" s="7" t="s">
        <v>21</v>
      </c>
      <c r="L673" s="7" t="s">
        <v>61</v>
      </c>
      <c r="M673" s="7" t="s">
        <v>32</v>
      </c>
      <c r="N673" s="7" t="s">
        <v>33</v>
      </c>
      <c r="O673" s="7" t="s">
        <v>34</v>
      </c>
      <c r="P673" s="7">
        <v>13</v>
      </c>
      <c r="Q673" s="9">
        <v>730</v>
      </c>
      <c r="R673" s="9">
        <v>824.9</v>
      </c>
      <c r="S673" s="10">
        <v>0.1</v>
      </c>
      <c r="T673" s="9">
        <v>9651.33</v>
      </c>
      <c r="U673" s="9">
        <v>9490</v>
      </c>
      <c r="V673" s="9">
        <v>161.33000000000001</v>
      </c>
      <c r="W673" s="10">
        <v>1.6715830875122899E-2</v>
      </c>
    </row>
    <row r="674" spans="1:23" x14ac:dyDescent="0.3">
      <c r="A674" s="7" t="s">
        <v>2256</v>
      </c>
      <c r="B674" s="7" t="s">
        <v>442</v>
      </c>
      <c r="C674" s="7" t="s">
        <v>2257</v>
      </c>
      <c r="D674" s="7" t="s">
        <v>1567</v>
      </c>
      <c r="E674" s="7" t="s">
        <v>132</v>
      </c>
      <c r="F674" s="8">
        <v>45617</v>
      </c>
      <c r="G674" s="8">
        <v>45617</v>
      </c>
      <c r="H674" s="8">
        <v>45620</v>
      </c>
      <c r="I674" s="7" t="s">
        <v>82</v>
      </c>
      <c r="J674" s="7" t="s">
        <v>2364</v>
      </c>
      <c r="K674" s="7" t="s">
        <v>19</v>
      </c>
      <c r="L674" s="7" t="s">
        <v>24</v>
      </c>
      <c r="M674" s="7" t="s">
        <v>2366</v>
      </c>
      <c r="N674" s="7" t="s">
        <v>27</v>
      </c>
      <c r="O674" s="7" t="s">
        <v>54</v>
      </c>
      <c r="P674" s="7">
        <v>4</v>
      </c>
      <c r="Q674" s="9">
        <v>430</v>
      </c>
      <c r="R674" s="9">
        <v>455.8</v>
      </c>
      <c r="S674" s="10">
        <v>0.09</v>
      </c>
      <c r="T674" s="9">
        <v>1659.1120000000001</v>
      </c>
      <c r="U674" s="9">
        <v>1720</v>
      </c>
      <c r="V674" s="9">
        <v>-60.887999999999998</v>
      </c>
      <c r="W674" s="10">
        <v>-3.66991499066971E-2</v>
      </c>
    </row>
    <row r="675" spans="1:23" x14ac:dyDescent="0.3">
      <c r="A675" s="7" t="s">
        <v>2258</v>
      </c>
      <c r="B675" s="7" t="s">
        <v>828</v>
      </c>
      <c r="C675" s="7" t="s">
        <v>2259</v>
      </c>
      <c r="D675" s="7" t="s">
        <v>2260</v>
      </c>
      <c r="E675" s="7" t="s">
        <v>114</v>
      </c>
      <c r="F675" s="8">
        <v>45865</v>
      </c>
      <c r="G675" s="8">
        <v>45865</v>
      </c>
      <c r="H675" s="8">
        <v>45870</v>
      </c>
      <c r="I675" s="7" t="s">
        <v>82</v>
      </c>
      <c r="J675" s="7" t="s">
        <v>2</v>
      </c>
      <c r="K675" s="7" t="s">
        <v>20</v>
      </c>
      <c r="L675" s="7" t="s">
        <v>24</v>
      </c>
      <c r="M675" s="7" t="s">
        <v>51</v>
      </c>
      <c r="N675" s="7" t="s">
        <v>33</v>
      </c>
      <c r="O675" s="7" t="s">
        <v>52</v>
      </c>
      <c r="P675" s="7">
        <v>4</v>
      </c>
      <c r="Q675" s="9">
        <v>280</v>
      </c>
      <c r="R675" s="9">
        <v>336</v>
      </c>
      <c r="S675" s="10">
        <v>7.0000000000000007E-2</v>
      </c>
      <c r="T675" s="9">
        <v>1249.92</v>
      </c>
      <c r="U675" s="9">
        <v>1120</v>
      </c>
      <c r="V675" s="9">
        <v>129.91999999999999</v>
      </c>
      <c r="W675" s="10">
        <v>0.103942652329749</v>
      </c>
    </row>
    <row r="676" spans="1:23" x14ac:dyDescent="0.3">
      <c r="A676" s="7" t="s">
        <v>2261</v>
      </c>
      <c r="B676" s="7" t="s">
        <v>1002</v>
      </c>
      <c r="C676" s="7" t="s">
        <v>2262</v>
      </c>
      <c r="D676" s="7" t="s">
        <v>2263</v>
      </c>
      <c r="E676" s="7" t="s">
        <v>164</v>
      </c>
      <c r="F676" s="8">
        <v>45406</v>
      </c>
      <c r="G676" s="8">
        <v>45406</v>
      </c>
      <c r="H676" s="8">
        <v>45410</v>
      </c>
      <c r="I676" s="7" t="s">
        <v>72</v>
      </c>
      <c r="J676" s="7" t="s">
        <v>2362</v>
      </c>
      <c r="K676" s="7" t="s">
        <v>20</v>
      </c>
      <c r="L676" s="7" t="s">
        <v>24</v>
      </c>
      <c r="M676" s="7" t="s">
        <v>43</v>
      </c>
      <c r="N676" s="7" t="s">
        <v>27</v>
      </c>
      <c r="O676" s="7" t="s">
        <v>31</v>
      </c>
      <c r="P676" s="7">
        <v>5</v>
      </c>
      <c r="Q676" s="9">
        <v>1630</v>
      </c>
      <c r="R676" s="9">
        <v>1744.1</v>
      </c>
      <c r="S676" s="10">
        <v>0.05</v>
      </c>
      <c r="T676" s="9">
        <v>8284.4750000000004</v>
      </c>
      <c r="U676" s="9">
        <v>8150</v>
      </c>
      <c r="V676" s="9">
        <v>134.47499999999999</v>
      </c>
      <c r="W676" s="10">
        <v>1.6232169208066902E-2</v>
      </c>
    </row>
    <row r="677" spans="1:23" x14ac:dyDescent="0.3">
      <c r="A677" s="7" t="s">
        <v>2264</v>
      </c>
      <c r="B677" s="7" t="s">
        <v>482</v>
      </c>
      <c r="C677" s="7" t="s">
        <v>2265</v>
      </c>
      <c r="D677" s="7" t="s">
        <v>1333</v>
      </c>
      <c r="E677" s="7" t="s">
        <v>114</v>
      </c>
      <c r="F677" s="8">
        <v>45689</v>
      </c>
      <c r="G677" s="8">
        <v>45689</v>
      </c>
      <c r="H677" s="8">
        <v>45694</v>
      </c>
      <c r="I677" s="7" t="s">
        <v>72</v>
      </c>
      <c r="J677" s="7" t="s">
        <v>2364</v>
      </c>
      <c r="K677" s="7" t="s">
        <v>20</v>
      </c>
      <c r="L677" s="7" t="s">
        <v>24</v>
      </c>
      <c r="M677" s="7" t="s">
        <v>51</v>
      </c>
      <c r="N677" s="7" t="s">
        <v>33</v>
      </c>
      <c r="O677" s="7" t="s">
        <v>52</v>
      </c>
      <c r="P677" s="7">
        <v>7</v>
      </c>
      <c r="Q677" s="9">
        <v>280</v>
      </c>
      <c r="R677" s="9">
        <v>336</v>
      </c>
      <c r="S677" s="10">
        <v>0.04</v>
      </c>
      <c r="T677" s="9">
        <v>2257.92</v>
      </c>
      <c r="U677" s="9">
        <v>1960</v>
      </c>
      <c r="V677" s="9">
        <v>297.92</v>
      </c>
      <c r="W677" s="10">
        <v>0.131944444444444</v>
      </c>
    </row>
    <row r="678" spans="1:23" x14ac:dyDescent="0.3">
      <c r="A678" s="7" t="s">
        <v>2266</v>
      </c>
      <c r="B678" s="7" t="s">
        <v>1053</v>
      </c>
      <c r="C678" s="7" t="s">
        <v>2267</v>
      </c>
      <c r="D678" s="7" t="s">
        <v>941</v>
      </c>
      <c r="E678" s="7" t="s">
        <v>95</v>
      </c>
      <c r="F678" s="8">
        <v>45742</v>
      </c>
      <c r="G678" s="8">
        <v>45743</v>
      </c>
      <c r="H678" s="8">
        <v>45745</v>
      </c>
      <c r="I678" s="7" t="s">
        <v>72</v>
      </c>
      <c r="J678" s="7" t="s">
        <v>2</v>
      </c>
      <c r="K678" s="7" t="s">
        <v>19</v>
      </c>
      <c r="L678" s="7" t="s">
        <v>23</v>
      </c>
      <c r="M678" s="7" t="s">
        <v>49</v>
      </c>
      <c r="N678" s="7" t="s">
        <v>33</v>
      </c>
      <c r="O678" s="7" t="s">
        <v>34</v>
      </c>
      <c r="P678" s="7">
        <v>9</v>
      </c>
      <c r="Q678" s="9">
        <v>1080</v>
      </c>
      <c r="R678" s="9">
        <v>1112.4000000000001</v>
      </c>
      <c r="S678" s="10">
        <v>0.05</v>
      </c>
      <c r="T678" s="9">
        <v>9511.02</v>
      </c>
      <c r="U678" s="9">
        <v>9720</v>
      </c>
      <c r="V678" s="9">
        <v>-208.98</v>
      </c>
      <c r="W678" s="10">
        <v>-2.1972406745017901E-2</v>
      </c>
    </row>
    <row r="679" spans="1:23" x14ac:dyDescent="0.3">
      <c r="A679" s="7" t="s">
        <v>2268</v>
      </c>
      <c r="B679" s="7" t="s">
        <v>877</v>
      </c>
      <c r="C679" s="7" t="s">
        <v>2269</v>
      </c>
      <c r="D679" s="7" t="s">
        <v>464</v>
      </c>
      <c r="E679" s="7" t="s">
        <v>141</v>
      </c>
      <c r="F679" s="8">
        <v>46157</v>
      </c>
      <c r="G679" s="8">
        <v>46158</v>
      </c>
      <c r="H679" s="8">
        <v>46159</v>
      </c>
      <c r="I679" s="7" t="s">
        <v>72</v>
      </c>
      <c r="J679" s="7" t="s">
        <v>2362</v>
      </c>
      <c r="K679" s="7" t="s">
        <v>19</v>
      </c>
      <c r="L679" s="7" t="s">
        <v>25</v>
      </c>
      <c r="M679" s="7" t="s">
        <v>35</v>
      </c>
      <c r="N679" s="7" t="s">
        <v>33</v>
      </c>
      <c r="O679" s="7" t="s">
        <v>36</v>
      </c>
      <c r="P679" s="7">
        <v>9</v>
      </c>
      <c r="Q679" s="9">
        <v>1530</v>
      </c>
      <c r="R679" s="9">
        <v>1790.1</v>
      </c>
      <c r="S679" s="10">
        <v>0</v>
      </c>
      <c r="T679" s="9">
        <v>16110.9</v>
      </c>
      <c r="U679" s="9">
        <v>13770</v>
      </c>
      <c r="V679" s="9">
        <v>2340.9</v>
      </c>
      <c r="W679" s="10">
        <v>0.145299145299145</v>
      </c>
    </row>
    <row r="680" spans="1:23" x14ac:dyDescent="0.3">
      <c r="A680" s="7" t="s">
        <v>2270</v>
      </c>
      <c r="B680" s="7" t="s">
        <v>400</v>
      </c>
      <c r="C680" s="7" t="s">
        <v>2271</v>
      </c>
      <c r="D680" s="7" t="s">
        <v>707</v>
      </c>
      <c r="E680" s="7" t="s">
        <v>217</v>
      </c>
      <c r="F680" s="8">
        <v>45614</v>
      </c>
      <c r="G680" s="8">
        <v>45614</v>
      </c>
      <c r="H680" s="8">
        <v>45617</v>
      </c>
      <c r="I680" s="7" t="s">
        <v>82</v>
      </c>
      <c r="J680" s="7" t="s">
        <v>2362</v>
      </c>
      <c r="K680" s="7" t="s">
        <v>20</v>
      </c>
      <c r="L680" s="7" t="s">
        <v>22</v>
      </c>
      <c r="M680" s="7" t="s">
        <v>29</v>
      </c>
      <c r="N680" s="7" t="s">
        <v>27</v>
      </c>
      <c r="O680" s="7" t="s">
        <v>28</v>
      </c>
      <c r="P680" s="7">
        <v>4</v>
      </c>
      <c r="Q680" s="9">
        <v>3930</v>
      </c>
      <c r="R680" s="9">
        <v>4362.3</v>
      </c>
      <c r="S680" s="10">
        <v>0.05</v>
      </c>
      <c r="T680" s="9">
        <v>16576.740000000002</v>
      </c>
      <c r="U680" s="9">
        <v>15720</v>
      </c>
      <c r="V680" s="9">
        <v>856.74</v>
      </c>
      <c r="W680" s="10">
        <v>5.1683262209578001E-2</v>
      </c>
    </row>
    <row r="681" spans="1:23" x14ac:dyDescent="0.3">
      <c r="A681" s="7" t="s">
        <v>2272</v>
      </c>
      <c r="B681" s="7" t="s">
        <v>184</v>
      </c>
      <c r="C681" s="7" t="s">
        <v>2273</v>
      </c>
      <c r="D681" s="7" t="s">
        <v>2274</v>
      </c>
      <c r="E681" s="7" t="s">
        <v>114</v>
      </c>
      <c r="F681" s="8">
        <v>45305</v>
      </c>
      <c r="G681" s="8">
        <v>45306</v>
      </c>
      <c r="H681" s="8">
        <v>45308</v>
      </c>
      <c r="I681" s="7" t="s">
        <v>72</v>
      </c>
      <c r="J681" s="7" t="s">
        <v>1</v>
      </c>
      <c r="K681" s="7" t="s">
        <v>21</v>
      </c>
      <c r="L681" s="7" t="s">
        <v>61</v>
      </c>
      <c r="M681" s="7" t="s">
        <v>51</v>
      </c>
      <c r="N681" s="7" t="s">
        <v>33</v>
      </c>
      <c r="O681" s="7" t="s">
        <v>52</v>
      </c>
      <c r="P681" s="7">
        <v>12</v>
      </c>
      <c r="Q681" s="9">
        <v>280</v>
      </c>
      <c r="R681" s="9">
        <v>336</v>
      </c>
      <c r="S681" s="10">
        <v>0.01</v>
      </c>
      <c r="T681" s="9">
        <v>3991.68</v>
      </c>
      <c r="U681" s="9">
        <v>3360</v>
      </c>
      <c r="V681" s="9">
        <v>631.67999999999995</v>
      </c>
      <c r="W681" s="10">
        <v>0.158249158249158</v>
      </c>
    </row>
    <row r="682" spans="1:23" x14ac:dyDescent="0.3">
      <c r="A682" s="7" t="s">
        <v>2275</v>
      </c>
      <c r="B682" s="7" t="s">
        <v>79</v>
      </c>
      <c r="C682" s="7" t="s">
        <v>2276</v>
      </c>
      <c r="D682" s="7" t="s">
        <v>2277</v>
      </c>
      <c r="E682" s="7" t="s">
        <v>81</v>
      </c>
      <c r="F682" s="8">
        <v>46024</v>
      </c>
      <c r="G682" s="8">
        <v>46025</v>
      </c>
      <c r="H682" s="8">
        <v>46028</v>
      </c>
      <c r="I682" s="7" t="s">
        <v>72</v>
      </c>
      <c r="J682" s="7" t="s">
        <v>2362</v>
      </c>
      <c r="K682" s="7" t="s">
        <v>19</v>
      </c>
      <c r="L682" s="7" t="s">
        <v>22</v>
      </c>
      <c r="M682" s="7" t="s">
        <v>59</v>
      </c>
      <c r="N682" s="7" t="s">
        <v>27</v>
      </c>
      <c r="O682" s="7" t="s">
        <v>60</v>
      </c>
      <c r="P682" s="7">
        <v>10</v>
      </c>
      <c r="Q682" s="9">
        <v>1230</v>
      </c>
      <c r="R682" s="9">
        <v>1328.4</v>
      </c>
      <c r="S682" s="10">
        <v>7.0000000000000007E-2</v>
      </c>
      <c r="T682" s="9">
        <v>12354.12</v>
      </c>
      <c r="U682" s="9">
        <v>12300</v>
      </c>
      <c r="V682" s="9">
        <v>54.12</v>
      </c>
      <c r="W682" s="10">
        <v>4.3807248108323404E-3</v>
      </c>
    </row>
    <row r="683" spans="1:23" x14ac:dyDescent="0.3">
      <c r="A683" s="7" t="s">
        <v>2278</v>
      </c>
      <c r="B683" s="7" t="s">
        <v>689</v>
      </c>
      <c r="C683" s="7" t="s">
        <v>2279</v>
      </c>
      <c r="D683" s="7" t="s">
        <v>2280</v>
      </c>
      <c r="E683" s="7" t="s">
        <v>100</v>
      </c>
      <c r="F683" s="8">
        <v>45434</v>
      </c>
      <c r="G683" s="8">
        <v>45434</v>
      </c>
      <c r="H683" s="8">
        <v>45439</v>
      </c>
      <c r="I683" s="7" t="s">
        <v>72</v>
      </c>
      <c r="J683" s="7" t="s">
        <v>1</v>
      </c>
      <c r="K683" s="7" t="s">
        <v>19</v>
      </c>
      <c r="L683" s="7" t="s">
        <v>22</v>
      </c>
      <c r="M683" s="7" t="s">
        <v>42</v>
      </c>
      <c r="N683" s="7" t="s">
        <v>27</v>
      </c>
      <c r="O683" s="7" t="s">
        <v>28</v>
      </c>
      <c r="P683" s="7">
        <v>10</v>
      </c>
      <c r="Q683" s="9">
        <v>3030</v>
      </c>
      <c r="R683" s="9">
        <v>3211.8</v>
      </c>
      <c r="S683" s="10">
        <v>0.08</v>
      </c>
      <c r="T683" s="9">
        <v>29548.560000000001</v>
      </c>
      <c r="U683" s="9">
        <v>30300</v>
      </c>
      <c r="V683" s="9">
        <v>-751.44</v>
      </c>
      <c r="W683" s="10">
        <v>-2.5430680885972098E-2</v>
      </c>
    </row>
    <row r="684" spans="1:23" x14ac:dyDescent="0.3">
      <c r="A684" s="7" t="s">
        <v>2281</v>
      </c>
      <c r="B684" s="7" t="s">
        <v>2282</v>
      </c>
      <c r="C684" s="7" t="s">
        <v>2283</v>
      </c>
      <c r="D684" s="7" t="s">
        <v>2284</v>
      </c>
      <c r="E684" s="7" t="s">
        <v>119</v>
      </c>
      <c r="F684" s="8">
        <v>45306</v>
      </c>
      <c r="G684" s="8">
        <v>45306</v>
      </c>
      <c r="H684" s="8">
        <v>45309</v>
      </c>
      <c r="I684" s="7" t="s">
        <v>82</v>
      </c>
      <c r="J684" s="7" t="s">
        <v>1</v>
      </c>
      <c r="K684" s="7" t="s">
        <v>19</v>
      </c>
      <c r="L684" s="7" t="s">
        <v>22</v>
      </c>
      <c r="M684" s="7" t="s">
        <v>37</v>
      </c>
      <c r="N684" s="7" t="s">
        <v>38</v>
      </c>
      <c r="O684" s="7" t="s">
        <v>39</v>
      </c>
      <c r="P684" s="7">
        <v>3</v>
      </c>
      <c r="Q684" s="9">
        <v>250</v>
      </c>
      <c r="R684" s="9">
        <v>270</v>
      </c>
      <c r="S684" s="10">
        <v>0.05</v>
      </c>
      <c r="T684" s="9">
        <v>769.5</v>
      </c>
      <c r="U684" s="9">
        <v>750</v>
      </c>
      <c r="V684" s="9">
        <v>19.5</v>
      </c>
      <c r="W684" s="10">
        <v>2.5341130604288501E-2</v>
      </c>
    </row>
    <row r="685" spans="1:23" x14ac:dyDescent="0.3">
      <c r="A685" s="7" t="s">
        <v>2285</v>
      </c>
      <c r="B685" s="7" t="s">
        <v>184</v>
      </c>
      <c r="C685" s="7" t="s">
        <v>2286</v>
      </c>
      <c r="D685" s="7" t="s">
        <v>2287</v>
      </c>
      <c r="E685" s="7" t="s">
        <v>322</v>
      </c>
      <c r="F685" s="8">
        <v>45588</v>
      </c>
      <c r="G685" s="8">
        <v>45588</v>
      </c>
      <c r="H685" s="8">
        <v>45591</v>
      </c>
      <c r="I685" s="7" t="s">
        <v>72</v>
      </c>
      <c r="J685" s="7" t="s">
        <v>2362</v>
      </c>
      <c r="K685" s="7" t="s">
        <v>19</v>
      </c>
      <c r="L685" s="7" t="s">
        <v>61</v>
      </c>
      <c r="M685" s="7" t="s">
        <v>26</v>
      </c>
      <c r="N685" s="7" t="s">
        <v>27</v>
      </c>
      <c r="O685" s="7" t="s">
        <v>28</v>
      </c>
      <c r="P685" s="7">
        <v>8</v>
      </c>
      <c r="Q685" s="9">
        <v>3330</v>
      </c>
      <c r="R685" s="9">
        <v>3629.7</v>
      </c>
      <c r="S685" s="10">
        <v>0.05</v>
      </c>
      <c r="T685" s="9">
        <v>27585.72</v>
      </c>
      <c r="U685" s="9">
        <v>26640</v>
      </c>
      <c r="V685" s="9">
        <v>945.72</v>
      </c>
      <c r="W685" s="10">
        <v>3.4282955094157401E-2</v>
      </c>
    </row>
    <row r="686" spans="1:23" x14ac:dyDescent="0.3">
      <c r="A686" s="7" t="s">
        <v>2288</v>
      </c>
      <c r="B686" s="7" t="s">
        <v>393</v>
      </c>
      <c r="C686" s="7" t="s">
        <v>2289</v>
      </c>
      <c r="D686" s="7" t="s">
        <v>2290</v>
      </c>
      <c r="E686" s="7" t="s">
        <v>217</v>
      </c>
      <c r="F686" s="8">
        <v>45951</v>
      </c>
      <c r="G686" s="8">
        <v>45951</v>
      </c>
      <c r="H686" s="8">
        <v>45955</v>
      </c>
      <c r="I686" s="7" t="s">
        <v>72</v>
      </c>
      <c r="J686" s="7" t="s">
        <v>2362</v>
      </c>
      <c r="K686" s="7" t="s">
        <v>21</v>
      </c>
      <c r="L686" s="7" t="s">
        <v>22</v>
      </c>
      <c r="M686" s="7" t="s">
        <v>29</v>
      </c>
      <c r="N686" s="7" t="s">
        <v>27</v>
      </c>
      <c r="O686" s="7" t="s">
        <v>28</v>
      </c>
      <c r="P686" s="7">
        <v>15</v>
      </c>
      <c r="Q686" s="9">
        <v>3930</v>
      </c>
      <c r="R686" s="9">
        <v>4362.3</v>
      </c>
      <c r="S686" s="10">
        <v>0.1</v>
      </c>
      <c r="T686" s="9">
        <v>58891.05</v>
      </c>
      <c r="U686" s="9">
        <v>58950</v>
      </c>
      <c r="V686" s="9">
        <v>-58.95</v>
      </c>
      <c r="W686" s="10">
        <v>-1.0010010010009999E-3</v>
      </c>
    </row>
    <row r="687" spans="1:23" x14ac:dyDescent="0.3">
      <c r="A687" s="7" t="s">
        <v>2291</v>
      </c>
      <c r="B687" s="7" t="s">
        <v>490</v>
      </c>
      <c r="C687" s="7" t="s">
        <v>2292</v>
      </c>
      <c r="D687" s="7" t="s">
        <v>224</v>
      </c>
      <c r="E687" s="7" t="s">
        <v>114</v>
      </c>
      <c r="F687" s="8">
        <v>45786</v>
      </c>
      <c r="G687" s="8">
        <v>45786</v>
      </c>
      <c r="H687" s="8">
        <v>45791</v>
      </c>
      <c r="I687" s="7" t="s">
        <v>72</v>
      </c>
      <c r="J687" s="7" t="s">
        <v>2362</v>
      </c>
      <c r="K687" s="7" t="s">
        <v>21</v>
      </c>
      <c r="L687" s="7" t="s">
        <v>22</v>
      </c>
      <c r="M687" s="7" t="s">
        <v>51</v>
      </c>
      <c r="N687" s="7" t="s">
        <v>33</v>
      </c>
      <c r="O687" s="7" t="s">
        <v>52</v>
      </c>
      <c r="P687" s="7">
        <v>9</v>
      </c>
      <c r="Q687" s="9">
        <v>280</v>
      </c>
      <c r="R687" s="9">
        <v>336</v>
      </c>
      <c r="S687" s="10">
        <v>0.08</v>
      </c>
      <c r="T687" s="9">
        <v>2782.08</v>
      </c>
      <c r="U687" s="9">
        <v>2520</v>
      </c>
      <c r="V687" s="9">
        <v>262.08</v>
      </c>
      <c r="W687" s="10">
        <v>9.4202898550724598E-2</v>
      </c>
    </row>
    <row r="688" spans="1:23" x14ac:dyDescent="0.3">
      <c r="A688" s="7" t="s">
        <v>2293</v>
      </c>
      <c r="B688" s="7" t="s">
        <v>1009</v>
      </c>
      <c r="C688" s="7" t="s">
        <v>2294</v>
      </c>
      <c r="D688" s="7" t="s">
        <v>379</v>
      </c>
      <c r="E688" s="7" t="s">
        <v>77</v>
      </c>
      <c r="F688" s="8">
        <v>45744</v>
      </c>
      <c r="G688" s="8">
        <v>45744</v>
      </c>
      <c r="H688" s="8">
        <v>45748</v>
      </c>
      <c r="I688" s="7" t="s">
        <v>72</v>
      </c>
      <c r="J688" s="7" t="s">
        <v>2</v>
      </c>
      <c r="K688" s="7" t="s">
        <v>19</v>
      </c>
      <c r="L688" s="7" t="s">
        <v>23</v>
      </c>
      <c r="M688" s="7" t="s">
        <v>44</v>
      </c>
      <c r="N688" s="7" t="s">
        <v>38</v>
      </c>
      <c r="O688" s="7" t="s">
        <v>45</v>
      </c>
      <c r="P688" s="7">
        <v>10</v>
      </c>
      <c r="Q688" s="9">
        <v>210</v>
      </c>
      <c r="R688" s="9">
        <v>222.6</v>
      </c>
      <c r="S688" s="10">
        <v>0.08</v>
      </c>
      <c r="T688" s="9">
        <v>2047.92</v>
      </c>
      <c r="U688" s="9">
        <v>2100</v>
      </c>
      <c r="V688" s="9">
        <v>-52.08</v>
      </c>
      <c r="W688" s="10">
        <v>-2.5430680885972098E-2</v>
      </c>
    </row>
    <row r="689" spans="1:23" x14ac:dyDescent="0.3">
      <c r="A689" s="7" t="s">
        <v>2295</v>
      </c>
      <c r="B689" s="7" t="s">
        <v>2094</v>
      </c>
      <c r="C689" s="7" t="s">
        <v>2296</v>
      </c>
      <c r="D689" s="7" t="s">
        <v>2297</v>
      </c>
      <c r="E689" s="7" t="s">
        <v>109</v>
      </c>
      <c r="F689" s="8">
        <v>45444</v>
      </c>
      <c r="G689" s="8">
        <v>45445</v>
      </c>
      <c r="H689" s="8">
        <v>45448</v>
      </c>
      <c r="I689" s="7" t="s">
        <v>72</v>
      </c>
      <c r="J689" s="7" t="s">
        <v>1</v>
      </c>
      <c r="K689" s="7" t="s">
        <v>19</v>
      </c>
      <c r="L689" s="7" t="s">
        <v>22</v>
      </c>
      <c r="M689" s="7" t="s">
        <v>2365</v>
      </c>
      <c r="N689" s="7" t="s">
        <v>27</v>
      </c>
      <c r="O689" s="7" t="s">
        <v>56</v>
      </c>
      <c r="P689" s="7">
        <v>8</v>
      </c>
      <c r="Q689" s="9">
        <v>650</v>
      </c>
      <c r="R689" s="9">
        <v>663</v>
      </c>
      <c r="S689" s="10">
        <v>7.0000000000000007E-2</v>
      </c>
      <c r="T689" s="9">
        <v>4932.72</v>
      </c>
      <c r="U689" s="9">
        <v>5200</v>
      </c>
      <c r="V689" s="9">
        <v>-267.27999999999997</v>
      </c>
      <c r="W689" s="10">
        <v>-5.4185114906177501E-2</v>
      </c>
    </row>
    <row r="690" spans="1:23" x14ac:dyDescent="0.3">
      <c r="A690" s="7" t="s">
        <v>2298</v>
      </c>
      <c r="B690" s="7" t="s">
        <v>2090</v>
      </c>
      <c r="C690" s="7" t="s">
        <v>2299</v>
      </c>
      <c r="D690" s="7" t="s">
        <v>2300</v>
      </c>
      <c r="E690" s="7" t="s">
        <v>173</v>
      </c>
      <c r="F690" s="8">
        <v>45293</v>
      </c>
      <c r="G690" s="8">
        <v>45293</v>
      </c>
      <c r="H690" s="8">
        <v>45295</v>
      </c>
      <c r="I690" s="7" t="s">
        <v>72</v>
      </c>
      <c r="J690" s="7" t="s">
        <v>2</v>
      </c>
      <c r="K690" s="7" t="s">
        <v>20</v>
      </c>
      <c r="L690" s="7" t="s">
        <v>22</v>
      </c>
      <c r="M690" s="7" t="s">
        <v>48</v>
      </c>
      <c r="N690" s="7" t="s">
        <v>38</v>
      </c>
      <c r="O690" s="7" t="s">
        <v>41</v>
      </c>
      <c r="P690" s="7">
        <v>6</v>
      </c>
      <c r="Q690" s="9">
        <v>580</v>
      </c>
      <c r="R690" s="9">
        <v>667</v>
      </c>
      <c r="S690" s="10">
        <v>0.05</v>
      </c>
      <c r="T690" s="9">
        <v>3801.9</v>
      </c>
      <c r="U690" s="9">
        <v>3480</v>
      </c>
      <c r="V690" s="9">
        <v>321.89999999999998</v>
      </c>
      <c r="W690" s="10">
        <v>8.4668192219679597E-2</v>
      </c>
    </row>
    <row r="691" spans="1:23" x14ac:dyDescent="0.3">
      <c r="A691" s="7" t="s">
        <v>2301</v>
      </c>
      <c r="B691" s="7" t="s">
        <v>600</v>
      </c>
      <c r="C691" s="7" t="s">
        <v>2302</v>
      </c>
      <c r="D691" s="7" t="s">
        <v>547</v>
      </c>
      <c r="E691" s="7" t="s">
        <v>114</v>
      </c>
      <c r="F691" s="8">
        <v>45485</v>
      </c>
      <c r="G691" s="8">
        <v>45485</v>
      </c>
      <c r="H691" s="8">
        <v>45487</v>
      </c>
      <c r="I691" s="7" t="s">
        <v>82</v>
      </c>
      <c r="J691" s="7" t="s">
        <v>2364</v>
      </c>
      <c r="K691" s="7" t="s">
        <v>19</v>
      </c>
      <c r="L691" s="7" t="s">
        <v>61</v>
      </c>
      <c r="M691" s="7" t="s">
        <v>51</v>
      </c>
      <c r="N691" s="7" t="s">
        <v>33</v>
      </c>
      <c r="O691" s="7" t="s">
        <v>52</v>
      </c>
      <c r="P691" s="7">
        <v>3</v>
      </c>
      <c r="Q691" s="9">
        <v>280</v>
      </c>
      <c r="R691" s="9">
        <v>336</v>
      </c>
      <c r="S691" s="10">
        <v>0.05</v>
      </c>
      <c r="T691" s="9">
        <v>957.6</v>
      </c>
      <c r="U691" s="9">
        <v>840</v>
      </c>
      <c r="V691" s="9">
        <v>117.6</v>
      </c>
      <c r="W691" s="10">
        <v>0.12280701754386</v>
      </c>
    </row>
    <row r="692" spans="1:23" x14ac:dyDescent="0.3">
      <c r="A692" s="7" t="s">
        <v>2303</v>
      </c>
      <c r="B692" s="7" t="s">
        <v>408</v>
      </c>
      <c r="C692" s="7" t="s">
        <v>2304</v>
      </c>
      <c r="D692" s="7" t="s">
        <v>2305</v>
      </c>
      <c r="E692" s="7" t="s">
        <v>71</v>
      </c>
      <c r="F692" s="8">
        <v>45779</v>
      </c>
      <c r="G692" s="8">
        <v>45779</v>
      </c>
      <c r="H692" s="8">
        <v>45782</v>
      </c>
      <c r="I692" s="7" t="s">
        <v>72</v>
      </c>
      <c r="J692" s="7" t="s">
        <v>2364</v>
      </c>
      <c r="K692" s="7" t="s">
        <v>21</v>
      </c>
      <c r="L692" s="7" t="s">
        <v>61</v>
      </c>
      <c r="M692" s="7" t="s">
        <v>32</v>
      </c>
      <c r="N692" s="7" t="s">
        <v>33</v>
      </c>
      <c r="O692" s="7" t="s">
        <v>34</v>
      </c>
      <c r="P692" s="7">
        <v>6</v>
      </c>
      <c r="Q692" s="9">
        <v>730</v>
      </c>
      <c r="R692" s="9">
        <v>824.9</v>
      </c>
      <c r="S692" s="10">
        <v>0.03</v>
      </c>
      <c r="T692" s="9">
        <v>4800.9179999999997</v>
      </c>
      <c r="U692" s="9">
        <v>4380</v>
      </c>
      <c r="V692" s="9">
        <v>420.91800000000001</v>
      </c>
      <c r="W692" s="10">
        <v>8.7674482255268693E-2</v>
      </c>
    </row>
    <row r="693" spans="1:23" x14ac:dyDescent="0.3">
      <c r="A693" s="7" t="s">
        <v>2306</v>
      </c>
      <c r="B693" s="7" t="s">
        <v>1167</v>
      </c>
      <c r="C693" s="7" t="s">
        <v>2307</v>
      </c>
      <c r="D693" s="7" t="s">
        <v>2287</v>
      </c>
      <c r="E693" s="7" t="s">
        <v>322</v>
      </c>
      <c r="F693" s="8">
        <v>45470</v>
      </c>
      <c r="G693" s="8">
        <v>45470</v>
      </c>
      <c r="H693" s="8">
        <v>45475</v>
      </c>
      <c r="I693" s="7" t="s">
        <v>72</v>
      </c>
      <c r="J693" s="7" t="s">
        <v>2</v>
      </c>
      <c r="K693" s="7" t="s">
        <v>19</v>
      </c>
      <c r="L693" s="7" t="s">
        <v>23</v>
      </c>
      <c r="M693" s="7" t="s">
        <v>26</v>
      </c>
      <c r="N693" s="7" t="s">
        <v>27</v>
      </c>
      <c r="O693" s="7" t="s">
        <v>28</v>
      </c>
      <c r="P693" s="7">
        <v>5</v>
      </c>
      <c r="Q693" s="9">
        <v>3330</v>
      </c>
      <c r="R693" s="9">
        <v>3629.7</v>
      </c>
      <c r="S693" s="10">
        <v>0.09</v>
      </c>
      <c r="T693" s="9">
        <v>16515.134999999998</v>
      </c>
      <c r="U693" s="9">
        <v>16650</v>
      </c>
      <c r="V693" s="9">
        <v>-134.86500000000001</v>
      </c>
      <c r="W693" s="10">
        <v>-8.1661457808246806E-3</v>
      </c>
    </row>
    <row r="694" spans="1:23" x14ac:dyDescent="0.3">
      <c r="A694" s="7" t="s">
        <v>2308</v>
      </c>
      <c r="B694" s="7" t="s">
        <v>346</v>
      </c>
      <c r="C694" s="7" t="s">
        <v>2309</v>
      </c>
      <c r="D694" s="7" t="s">
        <v>1076</v>
      </c>
      <c r="E694" s="7" t="s">
        <v>77</v>
      </c>
      <c r="F694" s="8">
        <v>45425</v>
      </c>
      <c r="G694" s="8">
        <v>45426</v>
      </c>
      <c r="H694" s="8">
        <v>45428</v>
      </c>
      <c r="I694" s="7" t="s">
        <v>72</v>
      </c>
      <c r="J694" s="7" t="s">
        <v>2362</v>
      </c>
      <c r="K694" s="7" t="s">
        <v>20</v>
      </c>
      <c r="L694" s="7" t="s">
        <v>61</v>
      </c>
      <c r="M694" s="7" t="s">
        <v>44</v>
      </c>
      <c r="N694" s="7" t="s">
        <v>38</v>
      </c>
      <c r="O694" s="7" t="s">
        <v>45</v>
      </c>
      <c r="P694" s="7">
        <v>10</v>
      </c>
      <c r="Q694" s="9">
        <v>210</v>
      </c>
      <c r="R694" s="9">
        <v>222.6</v>
      </c>
      <c r="S694" s="10">
        <v>0.08</v>
      </c>
      <c r="T694" s="9">
        <v>2047.92</v>
      </c>
      <c r="U694" s="9">
        <v>2100</v>
      </c>
      <c r="V694" s="9">
        <v>-52.08</v>
      </c>
      <c r="W694" s="10">
        <v>-2.5430680885972098E-2</v>
      </c>
    </row>
    <row r="695" spans="1:23" x14ac:dyDescent="0.3">
      <c r="A695" s="7" t="s">
        <v>2310</v>
      </c>
      <c r="B695" s="7" t="s">
        <v>702</v>
      </c>
      <c r="C695" s="7" t="s">
        <v>2311</v>
      </c>
      <c r="D695" s="7" t="s">
        <v>86</v>
      </c>
      <c r="E695" s="7" t="s">
        <v>173</v>
      </c>
      <c r="F695" s="8">
        <v>45743</v>
      </c>
      <c r="G695" s="8">
        <v>45744</v>
      </c>
      <c r="H695" s="8">
        <v>45745</v>
      </c>
      <c r="I695" s="7" t="s">
        <v>72</v>
      </c>
      <c r="J695" s="7" t="s">
        <v>2362</v>
      </c>
      <c r="K695" s="7" t="s">
        <v>21</v>
      </c>
      <c r="L695" s="7" t="s">
        <v>22</v>
      </c>
      <c r="M695" s="7" t="s">
        <v>48</v>
      </c>
      <c r="N695" s="7" t="s">
        <v>38</v>
      </c>
      <c r="O695" s="7" t="s">
        <v>41</v>
      </c>
      <c r="P695" s="7">
        <v>10</v>
      </c>
      <c r="Q695" s="9">
        <v>580</v>
      </c>
      <c r="R695" s="9">
        <v>667</v>
      </c>
      <c r="S695" s="10">
        <v>0.01</v>
      </c>
      <c r="T695" s="9">
        <v>6603.3</v>
      </c>
      <c r="U695" s="9">
        <v>5800</v>
      </c>
      <c r="V695" s="9">
        <v>803.3</v>
      </c>
      <c r="W695" s="10">
        <v>0.121651295564339</v>
      </c>
    </row>
    <row r="696" spans="1:23" x14ac:dyDescent="0.3">
      <c r="A696" s="7" t="s">
        <v>2312</v>
      </c>
      <c r="B696" s="7" t="s">
        <v>263</v>
      </c>
      <c r="C696" s="7" t="s">
        <v>2313</v>
      </c>
      <c r="D696" s="7" t="s">
        <v>2314</v>
      </c>
      <c r="E696" s="7" t="s">
        <v>77</v>
      </c>
      <c r="F696" s="8">
        <v>46126</v>
      </c>
      <c r="G696" s="8">
        <v>46126</v>
      </c>
      <c r="H696" s="8">
        <v>46129</v>
      </c>
      <c r="I696" s="7" t="s">
        <v>72</v>
      </c>
      <c r="J696" s="7" t="s">
        <v>2364</v>
      </c>
      <c r="K696" s="7" t="s">
        <v>19</v>
      </c>
      <c r="L696" s="7" t="s">
        <v>25</v>
      </c>
      <c r="M696" s="7" t="s">
        <v>44</v>
      </c>
      <c r="N696" s="7" t="s">
        <v>38</v>
      </c>
      <c r="O696" s="7" t="s">
        <v>45</v>
      </c>
      <c r="P696" s="7">
        <v>10</v>
      </c>
      <c r="Q696" s="9">
        <v>210</v>
      </c>
      <c r="R696" s="9">
        <v>222.6</v>
      </c>
      <c r="S696" s="10">
        <v>0.06</v>
      </c>
      <c r="T696" s="9">
        <v>2092.44</v>
      </c>
      <c r="U696" s="9">
        <v>2100</v>
      </c>
      <c r="V696" s="9">
        <v>-7.56</v>
      </c>
      <c r="W696" s="10">
        <v>-3.6130068245684502E-3</v>
      </c>
    </row>
    <row r="697" spans="1:23" x14ac:dyDescent="0.3">
      <c r="A697" s="7" t="s">
        <v>2315</v>
      </c>
      <c r="B697" s="7" t="s">
        <v>155</v>
      </c>
      <c r="C697" s="7" t="s">
        <v>2316</v>
      </c>
      <c r="D697" s="7" t="s">
        <v>1964</v>
      </c>
      <c r="E697" s="7" t="s">
        <v>178</v>
      </c>
      <c r="F697" s="8">
        <v>45822</v>
      </c>
      <c r="G697" s="8">
        <v>45822</v>
      </c>
      <c r="H697" s="8">
        <v>45826</v>
      </c>
      <c r="I697" s="7" t="s">
        <v>72</v>
      </c>
      <c r="J697" s="7" t="s">
        <v>2362</v>
      </c>
      <c r="K697" s="7" t="s">
        <v>19</v>
      </c>
      <c r="L697" s="7" t="s">
        <v>24</v>
      </c>
      <c r="M697" s="7" t="s">
        <v>47</v>
      </c>
      <c r="N697" s="7" t="s">
        <v>38</v>
      </c>
      <c r="O697" s="7" t="s">
        <v>39</v>
      </c>
      <c r="P697" s="7">
        <v>6</v>
      </c>
      <c r="Q697" s="9">
        <v>390</v>
      </c>
      <c r="R697" s="9">
        <v>468</v>
      </c>
      <c r="S697" s="10">
        <v>0.04</v>
      </c>
      <c r="T697" s="9">
        <v>2695.68</v>
      </c>
      <c r="U697" s="9">
        <v>2340</v>
      </c>
      <c r="V697" s="9">
        <v>355.68</v>
      </c>
      <c r="W697" s="10">
        <v>0.131944444444444</v>
      </c>
    </row>
    <row r="698" spans="1:23" x14ac:dyDescent="0.3">
      <c r="A698" s="7" t="s">
        <v>2317</v>
      </c>
      <c r="B698" s="7" t="s">
        <v>596</v>
      </c>
      <c r="C698" s="7" t="s">
        <v>2318</v>
      </c>
      <c r="D698" s="7" t="s">
        <v>2319</v>
      </c>
      <c r="E698" s="7" t="s">
        <v>164</v>
      </c>
      <c r="F698" s="8">
        <v>45488</v>
      </c>
      <c r="G698" s="8">
        <v>45489</v>
      </c>
      <c r="H698" s="8">
        <v>45491</v>
      </c>
      <c r="I698" s="7" t="s">
        <v>82</v>
      </c>
      <c r="J698" s="7" t="s">
        <v>1</v>
      </c>
      <c r="K698" s="7" t="s">
        <v>19</v>
      </c>
      <c r="L698" s="7" t="s">
        <v>23</v>
      </c>
      <c r="M698" s="7" t="s">
        <v>43</v>
      </c>
      <c r="N698" s="7" t="s">
        <v>27</v>
      </c>
      <c r="O698" s="7" t="s">
        <v>31</v>
      </c>
      <c r="P698" s="7">
        <v>3</v>
      </c>
      <c r="Q698" s="9">
        <v>1630</v>
      </c>
      <c r="R698" s="9">
        <v>1744.1</v>
      </c>
      <c r="S698" s="10">
        <v>0.06</v>
      </c>
      <c r="T698" s="9">
        <v>4918.3620000000001</v>
      </c>
      <c r="U698" s="9">
        <v>4890</v>
      </c>
      <c r="V698" s="9">
        <v>28.361999999999998</v>
      </c>
      <c r="W698" s="10">
        <v>5.7665539868761197E-3</v>
      </c>
    </row>
    <row r="699" spans="1:23" x14ac:dyDescent="0.3">
      <c r="A699" s="7" t="s">
        <v>2320</v>
      </c>
      <c r="B699" s="7" t="s">
        <v>244</v>
      </c>
      <c r="C699" s="7" t="s">
        <v>2321</v>
      </c>
      <c r="D699" s="7" t="s">
        <v>2322</v>
      </c>
      <c r="E699" s="7" t="s">
        <v>109</v>
      </c>
      <c r="F699" s="8">
        <v>45728</v>
      </c>
      <c r="G699" s="8">
        <v>45729</v>
      </c>
      <c r="H699" s="8">
        <v>45732</v>
      </c>
      <c r="I699" s="7" t="s">
        <v>82</v>
      </c>
      <c r="J699" s="7" t="s">
        <v>2</v>
      </c>
      <c r="K699" s="7" t="s">
        <v>20</v>
      </c>
      <c r="L699" s="7" t="s">
        <v>61</v>
      </c>
      <c r="M699" s="7" t="s">
        <v>2365</v>
      </c>
      <c r="N699" s="7" t="s">
        <v>27</v>
      </c>
      <c r="O699" s="7" t="s">
        <v>56</v>
      </c>
      <c r="P699" s="7">
        <v>1</v>
      </c>
      <c r="Q699" s="9">
        <v>650</v>
      </c>
      <c r="R699" s="9">
        <v>663</v>
      </c>
      <c r="S699" s="10">
        <v>0.04</v>
      </c>
      <c r="T699" s="9">
        <v>636.48</v>
      </c>
      <c r="U699" s="9">
        <v>650</v>
      </c>
      <c r="V699" s="9">
        <v>-13.52</v>
      </c>
      <c r="W699" s="10">
        <v>-2.1241830065359499E-2</v>
      </c>
    </row>
    <row r="700" spans="1:23" x14ac:dyDescent="0.3">
      <c r="A700" s="7" t="s">
        <v>2323</v>
      </c>
      <c r="B700" s="7" t="s">
        <v>275</v>
      </c>
      <c r="C700" s="7" t="s">
        <v>2324</v>
      </c>
      <c r="D700" s="7" t="s">
        <v>2325</v>
      </c>
      <c r="E700" s="7" t="s">
        <v>291</v>
      </c>
      <c r="F700" s="8">
        <v>45582</v>
      </c>
      <c r="G700" s="8">
        <v>45582</v>
      </c>
      <c r="H700" s="8">
        <v>45584</v>
      </c>
      <c r="I700" s="7" t="s">
        <v>72</v>
      </c>
      <c r="J700" s="7" t="s">
        <v>2364</v>
      </c>
      <c r="K700" s="7" t="s">
        <v>21</v>
      </c>
      <c r="L700" s="7" t="s">
        <v>61</v>
      </c>
      <c r="M700" s="7" t="s">
        <v>57</v>
      </c>
      <c r="N700" s="7" t="s">
        <v>27</v>
      </c>
      <c r="O700" s="7" t="s">
        <v>58</v>
      </c>
      <c r="P700" s="7">
        <v>15</v>
      </c>
      <c r="Q700" s="9">
        <v>480</v>
      </c>
      <c r="R700" s="9">
        <v>513.6</v>
      </c>
      <c r="S700" s="10">
        <v>0.04</v>
      </c>
      <c r="T700" s="9">
        <v>7395.84</v>
      </c>
      <c r="U700" s="9">
        <v>7200</v>
      </c>
      <c r="V700" s="9">
        <v>195.84</v>
      </c>
      <c r="W700" s="10">
        <v>2.6479750778816199E-2</v>
      </c>
    </row>
    <row r="701" spans="1:23" x14ac:dyDescent="0.3">
      <c r="A701" s="12" t="s">
        <v>2326</v>
      </c>
      <c r="B701" s="12" t="s">
        <v>462</v>
      </c>
      <c r="C701" s="12" t="s">
        <v>2327</v>
      </c>
      <c r="D701" s="12" t="s">
        <v>2328</v>
      </c>
      <c r="E701" s="12" t="s">
        <v>322</v>
      </c>
      <c r="F701" s="14">
        <v>46024</v>
      </c>
      <c r="G701" s="14">
        <v>46025</v>
      </c>
      <c r="H701" s="14">
        <v>46028</v>
      </c>
      <c r="I701" s="12" t="s">
        <v>72</v>
      </c>
      <c r="J701" s="12" t="s">
        <v>2362</v>
      </c>
      <c r="K701" s="12" t="s">
        <v>20</v>
      </c>
      <c r="L701" s="12" t="s">
        <v>61</v>
      </c>
      <c r="M701" s="12" t="s">
        <v>26</v>
      </c>
      <c r="N701" s="12" t="s">
        <v>27</v>
      </c>
      <c r="O701" s="12" t="s">
        <v>28</v>
      </c>
      <c r="P701" s="12">
        <v>8</v>
      </c>
      <c r="Q701" s="16">
        <v>3330</v>
      </c>
      <c r="R701" s="16">
        <v>3629.7</v>
      </c>
      <c r="S701" s="18">
        <v>0</v>
      </c>
      <c r="T701" s="16">
        <v>29037.599999999999</v>
      </c>
      <c r="U701" s="16">
        <v>26640</v>
      </c>
      <c r="V701" s="16">
        <v>2397.6</v>
      </c>
      <c r="W701" s="18">
        <v>8.2568807339449601E-2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0527-2BBD-4CE8-A261-9EBC95B6EB81}">
  <sheetPr>
    <tabColor rgb="FF002060"/>
  </sheetPr>
  <dimension ref="H1:S28"/>
  <sheetViews>
    <sheetView showGridLines="0" zoomScaleNormal="100" workbookViewId="0">
      <selection activeCell="M12" sqref="M12"/>
    </sheetView>
  </sheetViews>
  <sheetFormatPr defaultColWidth="8.6640625" defaultRowHeight="14.4" x14ac:dyDescent="0.3"/>
  <cols>
    <col min="1" max="2" width="20.5546875" style="25" customWidth="1"/>
    <col min="3" max="3" width="17.109375" style="25" bestFit="1" customWidth="1"/>
    <col min="4" max="4" width="13.5546875" style="25" bestFit="1" customWidth="1"/>
    <col min="5" max="5" width="20.5546875" style="25" customWidth="1"/>
    <col min="6" max="6" width="17.109375" style="25" bestFit="1" customWidth="1"/>
    <col min="7" max="7" width="13.5546875" style="25" bestFit="1" customWidth="1"/>
    <col min="8" max="10" width="20.5546875" style="25" customWidth="1"/>
    <col min="11" max="11" width="19.5546875" style="25" customWidth="1"/>
    <col min="12" max="12" width="26.109375" style="25" customWidth="1"/>
    <col min="13" max="33" width="20.5546875" style="25" customWidth="1"/>
    <col min="34" max="16384" width="8.6640625" style="25"/>
  </cols>
  <sheetData>
    <row r="1" spans="8:19" ht="24" customHeight="1" x14ac:dyDescent="0.3"/>
    <row r="2" spans="8:19" ht="24" customHeight="1" thickBot="1" x14ac:dyDescent="0.35">
      <c r="N2" s="26"/>
    </row>
    <row r="3" spans="8:19" ht="24" customHeight="1" x14ac:dyDescent="0.3">
      <c r="N3" s="26"/>
      <c r="P3" s="34" t="e">
        <f>#REF!</f>
        <v>#REF!</v>
      </c>
      <c r="Q3" s="35" t="e">
        <f>#REF!</f>
        <v>#REF!</v>
      </c>
      <c r="R3" s="35" t="e">
        <f>#REF!</f>
        <v>#REF!</v>
      </c>
      <c r="S3" s="36" t="e">
        <f>#REF!</f>
        <v>#REF!</v>
      </c>
    </row>
    <row r="4" spans="8:19" ht="24" customHeight="1" x14ac:dyDescent="0.3">
      <c r="P4" s="29" t="e">
        <f>#REF!</f>
        <v>#REF!</v>
      </c>
      <c r="Q4" s="30" t="e">
        <f>#REF!</f>
        <v>#REF!</v>
      </c>
      <c r="R4" s="30" t="e">
        <f>#REF!</f>
        <v>#REF!</v>
      </c>
      <c r="S4" s="37" t="e">
        <f>#REF!</f>
        <v>#REF!</v>
      </c>
    </row>
    <row r="5" spans="8:19" ht="24" customHeight="1" x14ac:dyDescent="0.3">
      <c r="N5" s="27"/>
      <c r="P5" s="29" t="e">
        <f>#REF!</f>
        <v>#REF!</v>
      </c>
      <c r="Q5" s="30" t="e">
        <f>#REF!</f>
        <v>#REF!</v>
      </c>
      <c r="R5" s="30" t="e">
        <f>#REF!</f>
        <v>#REF!</v>
      </c>
      <c r="S5" s="37" t="e">
        <f>#REF!</f>
        <v>#REF!</v>
      </c>
    </row>
    <row r="6" spans="8:19" ht="24" customHeight="1" x14ac:dyDescent="0.3">
      <c r="N6" s="28"/>
      <c r="P6" s="29" t="e">
        <f>#REF!</f>
        <v>#REF!</v>
      </c>
      <c r="Q6" s="30" t="e">
        <f>#REF!</f>
        <v>#REF!</v>
      </c>
      <c r="R6" s="30" t="e">
        <f>#REF!</f>
        <v>#REF!</v>
      </c>
      <c r="S6" s="37" t="e">
        <f>#REF!</f>
        <v>#REF!</v>
      </c>
    </row>
    <row r="7" spans="8:19" ht="24" customHeight="1" x14ac:dyDescent="0.3">
      <c r="P7" s="29" t="e">
        <f>#REF!</f>
        <v>#REF!</v>
      </c>
      <c r="Q7" s="30" t="e">
        <f>#REF!</f>
        <v>#REF!</v>
      </c>
      <c r="R7" s="30" t="e">
        <f>#REF!</f>
        <v>#REF!</v>
      </c>
      <c r="S7" s="37" t="e">
        <f>#REF!</f>
        <v>#REF!</v>
      </c>
    </row>
    <row r="8" spans="8:19" ht="24" customHeight="1" thickBot="1" x14ac:dyDescent="0.35">
      <c r="P8" s="31" t="e">
        <f>#REF!</f>
        <v>#REF!</v>
      </c>
      <c r="Q8" s="32" t="e">
        <f>#REF!</f>
        <v>#REF!</v>
      </c>
      <c r="R8" s="32" t="e">
        <f>#REF!</f>
        <v>#REF!</v>
      </c>
      <c r="S8" s="38" t="e">
        <f>#REF!</f>
        <v>#REF!</v>
      </c>
    </row>
    <row r="9" spans="8:19" ht="24" customHeight="1" x14ac:dyDescent="0.3">
      <c r="P9" s="33"/>
      <c r="Q9" s="33"/>
      <c r="R9" s="33"/>
      <c r="S9" s="33"/>
    </row>
    <row r="10" spans="8:19" ht="24" customHeight="1" x14ac:dyDescent="0.3"/>
    <row r="11" spans="8:19" ht="24" customHeight="1" x14ac:dyDescent="0.3">
      <c r="H11" s="25" t="s">
        <v>2376</v>
      </c>
    </row>
    <row r="12" spans="8:19" ht="24" customHeight="1" x14ac:dyDescent="0.3"/>
    <row r="13" spans="8:19" ht="24" customHeight="1" x14ac:dyDescent="0.3"/>
    <row r="14" spans="8:19" ht="24" customHeight="1" x14ac:dyDescent="0.3">
      <c r="M14" s="39"/>
    </row>
    <row r="15" spans="8:19" ht="24" customHeight="1" x14ac:dyDescent="0.3"/>
    <row r="16" spans="8:19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E047-5592-4425-8E42-BD78828DB5D4}">
  <dimension ref="A2:F40"/>
  <sheetViews>
    <sheetView workbookViewId="0">
      <selection activeCell="O31" sqref="O31"/>
    </sheetView>
  </sheetViews>
  <sheetFormatPr defaultRowHeight="14.4" x14ac:dyDescent="0.3"/>
  <cols>
    <col min="1" max="1" width="16.6640625" bestFit="1" customWidth="1"/>
    <col min="2" max="2" width="17" bestFit="1" customWidth="1"/>
    <col min="3" max="3" width="14.6640625" bestFit="1" customWidth="1"/>
    <col min="4" max="4" width="13.21875" bestFit="1" customWidth="1"/>
    <col min="5" max="5" width="14.6640625" bestFit="1" customWidth="1"/>
    <col min="6" max="6" width="14.44140625" bestFit="1" customWidth="1"/>
    <col min="7" max="7" width="9.88671875" bestFit="1" customWidth="1"/>
    <col min="8" max="8" width="11.88671875" bestFit="1" customWidth="1"/>
    <col min="9" max="10" width="10.88671875" bestFit="1" customWidth="1"/>
    <col min="11" max="11" width="11.88671875" bestFit="1" customWidth="1"/>
    <col min="12" max="12" width="10.88671875" bestFit="1" customWidth="1"/>
    <col min="13" max="13" width="11.88671875" bestFit="1" customWidth="1"/>
    <col min="14" max="16" width="10.88671875" bestFit="1" customWidth="1"/>
    <col min="17" max="18" width="11.88671875" bestFit="1" customWidth="1"/>
    <col min="19" max="20" width="10.88671875" bestFit="1" customWidth="1"/>
    <col min="21" max="21" width="11.88671875" bestFit="1" customWidth="1"/>
    <col min="22" max="24" width="10.88671875" bestFit="1" customWidth="1"/>
    <col min="25" max="25" width="11.88671875" bestFit="1" customWidth="1"/>
    <col min="26" max="28" width="10.88671875" bestFit="1" customWidth="1"/>
    <col min="29" max="32" width="11.88671875" bestFit="1" customWidth="1"/>
    <col min="33" max="33" width="10.88671875" bestFit="1" customWidth="1"/>
    <col min="34" max="37" width="11.88671875" bestFit="1" customWidth="1"/>
    <col min="38" max="38" width="10.88671875" bestFit="1" customWidth="1"/>
    <col min="39" max="39" width="11.88671875" bestFit="1" customWidth="1"/>
    <col min="40" max="41" width="10.88671875" bestFit="1" customWidth="1"/>
    <col min="42" max="42" width="11.88671875" bestFit="1" customWidth="1"/>
    <col min="43" max="43" width="10.88671875" bestFit="1" customWidth="1"/>
    <col min="44" max="44" width="11.88671875" bestFit="1" customWidth="1"/>
    <col min="45" max="51" width="10.88671875" bestFit="1" customWidth="1"/>
    <col min="52" max="53" width="11.88671875" bestFit="1" customWidth="1"/>
    <col min="54" max="54" width="10.88671875" bestFit="1" customWidth="1"/>
    <col min="55" max="55" width="11.88671875" bestFit="1" customWidth="1"/>
    <col min="56" max="56" width="10.88671875" bestFit="1" customWidth="1"/>
    <col min="57" max="58" width="11.88671875" bestFit="1" customWidth="1"/>
    <col min="59" max="59" width="10.88671875" bestFit="1" customWidth="1"/>
    <col min="60" max="61" width="11.88671875" bestFit="1" customWidth="1"/>
    <col min="62" max="65" width="10.88671875" bestFit="1" customWidth="1"/>
    <col min="66" max="66" width="9.88671875" bestFit="1" customWidth="1"/>
    <col min="67" max="67" width="10.88671875" bestFit="1" customWidth="1"/>
    <col min="68" max="68" width="11.88671875" bestFit="1" customWidth="1"/>
    <col min="69" max="69" width="9.88671875" bestFit="1" customWidth="1"/>
    <col min="70" max="74" width="11.88671875" bestFit="1" customWidth="1"/>
    <col min="75" max="75" width="10.88671875" bestFit="1" customWidth="1"/>
    <col min="76" max="76" width="9.88671875" bestFit="1" customWidth="1"/>
    <col min="77" max="77" width="10.88671875" bestFit="1" customWidth="1"/>
    <col min="78" max="78" width="11.88671875" bestFit="1" customWidth="1"/>
    <col min="79" max="80" width="10.88671875" bestFit="1" customWidth="1"/>
    <col min="81" max="82" width="11.88671875" bestFit="1" customWidth="1"/>
    <col min="83" max="83" width="10.88671875" bestFit="1" customWidth="1"/>
    <col min="84" max="84" width="11.88671875" bestFit="1" customWidth="1"/>
    <col min="85" max="85" width="10.88671875" bestFit="1" customWidth="1"/>
    <col min="86" max="86" width="11.88671875" bestFit="1" customWidth="1"/>
    <col min="87" max="88" width="10.88671875" bestFit="1" customWidth="1"/>
    <col min="89" max="89" width="11.88671875" bestFit="1" customWidth="1"/>
    <col min="90" max="91" width="10.88671875" bestFit="1" customWidth="1"/>
    <col min="92" max="92" width="11.88671875" bestFit="1" customWidth="1"/>
    <col min="93" max="95" width="10.88671875" bestFit="1" customWidth="1"/>
    <col min="96" max="100" width="11.88671875" bestFit="1" customWidth="1"/>
    <col min="101" max="103" width="10.88671875" bestFit="1" customWidth="1"/>
    <col min="104" max="105" width="11.88671875" bestFit="1" customWidth="1"/>
    <col min="106" max="110" width="10.88671875" bestFit="1" customWidth="1"/>
    <col min="111" max="111" width="11.88671875" bestFit="1" customWidth="1"/>
    <col min="112" max="113" width="10.88671875" bestFit="1" customWidth="1"/>
    <col min="114" max="114" width="11.88671875" bestFit="1" customWidth="1"/>
    <col min="115" max="116" width="10.88671875" bestFit="1" customWidth="1"/>
    <col min="117" max="119" width="11.88671875" bestFit="1" customWidth="1"/>
    <col min="120" max="120" width="10.88671875" bestFit="1" customWidth="1"/>
    <col min="121" max="121" width="11.88671875" bestFit="1" customWidth="1"/>
    <col min="122" max="122" width="10.88671875" bestFit="1" customWidth="1"/>
    <col min="123" max="124" width="11.88671875" bestFit="1" customWidth="1"/>
    <col min="125" max="126" width="10.88671875" bestFit="1" customWidth="1"/>
    <col min="127" max="127" width="11.88671875" bestFit="1" customWidth="1"/>
    <col min="128" max="128" width="10.88671875" bestFit="1" customWidth="1"/>
    <col min="129" max="130" width="11.88671875" bestFit="1" customWidth="1"/>
    <col min="131" max="133" width="10.88671875" bestFit="1" customWidth="1"/>
    <col min="134" max="136" width="11.88671875" bestFit="1" customWidth="1"/>
    <col min="137" max="137" width="10.88671875" bestFit="1" customWidth="1"/>
    <col min="138" max="139" width="11.88671875" bestFit="1" customWidth="1"/>
    <col min="140" max="140" width="9.88671875" bestFit="1" customWidth="1"/>
    <col min="141" max="142" width="10.88671875" bestFit="1" customWidth="1"/>
    <col min="143" max="143" width="11.88671875" bestFit="1" customWidth="1"/>
    <col min="144" max="144" width="9.88671875" bestFit="1" customWidth="1"/>
    <col min="145" max="145" width="11.88671875" bestFit="1" customWidth="1"/>
    <col min="146" max="147" width="10.88671875" bestFit="1" customWidth="1"/>
    <col min="148" max="148" width="11.88671875" bestFit="1" customWidth="1"/>
    <col min="149" max="149" width="10.88671875" bestFit="1" customWidth="1"/>
    <col min="150" max="150" width="11.88671875" bestFit="1" customWidth="1"/>
    <col min="151" max="151" width="10.88671875" bestFit="1" customWidth="1"/>
    <col min="152" max="152" width="11.88671875" bestFit="1" customWidth="1"/>
    <col min="153" max="158" width="10.88671875" bestFit="1" customWidth="1"/>
    <col min="159" max="161" width="11.88671875" bestFit="1" customWidth="1"/>
    <col min="162" max="162" width="10.88671875" bestFit="1" customWidth="1"/>
    <col min="163" max="163" width="9.88671875" bestFit="1" customWidth="1"/>
    <col min="164" max="166" width="11.88671875" bestFit="1" customWidth="1"/>
    <col min="167" max="168" width="10.88671875" bestFit="1" customWidth="1"/>
    <col min="169" max="169" width="11.88671875" bestFit="1" customWidth="1"/>
    <col min="170" max="170" width="10.88671875" bestFit="1" customWidth="1"/>
    <col min="171" max="171" width="11.88671875" bestFit="1" customWidth="1"/>
    <col min="172" max="172" width="10.88671875" bestFit="1" customWidth="1"/>
    <col min="173" max="174" width="9.88671875" bestFit="1" customWidth="1"/>
    <col min="175" max="176" width="11.88671875" bestFit="1" customWidth="1"/>
    <col min="177" max="179" width="10.88671875" bestFit="1" customWidth="1"/>
    <col min="180" max="180" width="11.88671875" bestFit="1" customWidth="1"/>
    <col min="181" max="181" width="10.88671875" bestFit="1" customWidth="1"/>
    <col min="182" max="182" width="11.88671875" bestFit="1" customWidth="1"/>
    <col min="183" max="184" width="10.88671875" bestFit="1" customWidth="1"/>
    <col min="185" max="185" width="11.88671875" bestFit="1" customWidth="1"/>
    <col min="186" max="188" width="10.88671875" bestFit="1" customWidth="1"/>
    <col min="189" max="190" width="11.88671875" bestFit="1" customWidth="1"/>
    <col min="191" max="192" width="10.88671875" bestFit="1" customWidth="1"/>
    <col min="193" max="193" width="11.88671875" bestFit="1" customWidth="1"/>
    <col min="194" max="196" width="10.88671875" bestFit="1" customWidth="1"/>
    <col min="197" max="198" width="11.88671875" bestFit="1" customWidth="1"/>
    <col min="199" max="199" width="10.88671875" bestFit="1" customWidth="1"/>
    <col min="200" max="200" width="11.88671875" bestFit="1" customWidth="1"/>
    <col min="201" max="201" width="10.88671875" bestFit="1" customWidth="1"/>
    <col min="202" max="202" width="11.88671875" bestFit="1" customWidth="1"/>
    <col min="203" max="203" width="10.88671875" bestFit="1" customWidth="1"/>
    <col min="204" max="206" width="11.88671875" bestFit="1" customWidth="1"/>
    <col min="207" max="208" width="10.88671875" bestFit="1" customWidth="1"/>
    <col min="209" max="212" width="11.88671875" bestFit="1" customWidth="1"/>
    <col min="213" max="216" width="10.88671875" bestFit="1" customWidth="1"/>
    <col min="217" max="217" width="11.88671875" bestFit="1" customWidth="1"/>
    <col min="218" max="218" width="10.88671875" bestFit="1" customWidth="1"/>
    <col min="219" max="219" width="11.88671875" bestFit="1" customWidth="1"/>
    <col min="220" max="225" width="10.88671875" bestFit="1" customWidth="1"/>
    <col min="226" max="226" width="9.88671875" bestFit="1" customWidth="1"/>
    <col min="227" max="228" width="11.88671875" bestFit="1" customWidth="1"/>
    <col min="229" max="229" width="10.88671875" bestFit="1" customWidth="1"/>
    <col min="230" max="231" width="11.88671875" bestFit="1" customWidth="1"/>
    <col min="232" max="233" width="10.88671875" bestFit="1" customWidth="1"/>
    <col min="234" max="234" width="9.44140625" bestFit="1" customWidth="1"/>
    <col min="235" max="235" width="9.88671875" bestFit="1" customWidth="1"/>
    <col min="236" max="237" width="11.88671875" bestFit="1" customWidth="1"/>
    <col min="238" max="238" width="10.88671875" bestFit="1" customWidth="1"/>
    <col min="239" max="239" width="11.88671875" bestFit="1" customWidth="1"/>
    <col min="240" max="240" width="10.88671875" bestFit="1" customWidth="1"/>
    <col min="241" max="241" width="11.88671875" bestFit="1" customWidth="1"/>
    <col min="242" max="243" width="10.88671875" bestFit="1" customWidth="1"/>
    <col min="244" max="244" width="11.88671875" bestFit="1" customWidth="1"/>
    <col min="245" max="245" width="10.88671875" bestFit="1" customWidth="1"/>
    <col min="246" max="246" width="9.44140625" bestFit="1" customWidth="1"/>
    <col min="247" max="249" width="10.88671875" bestFit="1" customWidth="1"/>
    <col min="250" max="252" width="11.88671875" bestFit="1" customWidth="1"/>
    <col min="253" max="253" width="10.88671875" bestFit="1" customWidth="1"/>
    <col min="254" max="254" width="11.88671875" bestFit="1" customWidth="1"/>
    <col min="255" max="257" width="10.88671875" bestFit="1" customWidth="1"/>
    <col min="258" max="258" width="11.88671875" bestFit="1" customWidth="1"/>
    <col min="259" max="261" width="10.88671875" bestFit="1" customWidth="1"/>
    <col min="262" max="262" width="11.88671875" bestFit="1" customWidth="1"/>
    <col min="263" max="266" width="10.88671875" bestFit="1" customWidth="1"/>
    <col min="267" max="267" width="9.88671875" bestFit="1" customWidth="1"/>
    <col min="268" max="269" width="10.88671875" bestFit="1" customWidth="1"/>
    <col min="270" max="271" width="11.88671875" bestFit="1" customWidth="1"/>
    <col min="272" max="273" width="10.88671875" bestFit="1" customWidth="1"/>
    <col min="274" max="274" width="11.88671875" bestFit="1" customWidth="1"/>
    <col min="275" max="276" width="10.88671875" bestFit="1" customWidth="1"/>
    <col min="277" max="277" width="11.88671875" bestFit="1" customWidth="1"/>
    <col min="278" max="282" width="10.88671875" bestFit="1" customWidth="1"/>
    <col min="283" max="284" width="11.88671875" bestFit="1" customWidth="1"/>
    <col min="285" max="295" width="10.88671875" bestFit="1" customWidth="1"/>
    <col min="296" max="296" width="11.88671875" bestFit="1" customWidth="1"/>
    <col min="297" max="298" width="10.88671875" bestFit="1" customWidth="1"/>
    <col min="299" max="301" width="11.88671875" bestFit="1" customWidth="1"/>
    <col min="302" max="304" width="10.88671875" bestFit="1" customWidth="1"/>
    <col min="305" max="305" width="11.88671875" bestFit="1" customWidth="1"/>
    <col min="306" max="310" width="10.88671875" bestFit="1" customWidth="1"/>
    <col min="311" max="311" width="9.44140625" bestFit="1" customWidth="1"/>
    <col min="312" max="312" width="11.88671875" bestFit="1" customWidth="1"/>
    <col min="313" max="314" width="10.88671875" bestFit="1" customWidth="1"/>
    <col min="315" max="315" width="11.88671875" bestFit="1" customWidth="1"/>
    <col min="316" max="317" width="10.88671875" bestFit="1" customWidth="1"/>
    <col min="318" max="319" width="11.88671875" bestFit="1" customWidth="1"/>
    <col min="320" max="320" width="9.44140625" bestFit="1" customWidth="1"/>
    <col min="321" max="321" width="11.88671875" bestFit="1" customWidth="1"/>
    <col min="322" max="327" width="10.88671875" bestFit="1" customWidth="1"/>
    <col min="328" max="328" width="11.88671875" bestFit="1" customWidth="1"/>
    <col min="329" max="332" width="10.88671875" bestFit="1" customWidth="1"/>
    <col min="333" max="333" width="11.88671875" bestFit="1" customWidth="1"/>
    <col min="334" max="334" width="9.88671875" bestFit="1" customWidth="1"/>
    <col min="335" max="336" width="10.88671875" bestFit="1" customWidth="1"/>
    <col min="337" max="337" width="9.44140625" bestFit="1" customWidth="1"/>
    <col min="338" max="341" width="10.88671875" bestFit="1" customWidth="1"/>
    <col min="342" max="342" width="11.88671875" bestFit="1" customWidth="1"/>
    <col min="343" max="344" width="10.88671875" bestFit="1" customWidth="1"/>
    <col min="345" max="345" width="11.88671875" bestFit="1" customWidth="1"/>
    <col min="346" max="351" width="10.88671875" bestFit="1" customWidth="1"/>
    <col min="352" max="352" width="11.88671875" bestFit="1" customWidth="1"/>
    <col min="353" max="357" width="10.88671875" bestFit="1" customWidth="1"/>
    <col min="358" max="358" width="11.88671875" bestFit="1" customWidth="1"/>
    <col min="359" max="359" width="10.88671875" bestFit="1" customWidth="1"/>
    <col min="360" max="360" width="11.88671875" bestFit="1" customWidth="1"/>
    <col min="361" max="364" width="10.88671875" bestFit="1" customWidth="1"/>
    <col min="365" max="365" width="11.88671875" bestFit="1" customWidth="1"/>
    <col min="366" max="366" width="10.88671875" bestFit="1" customWidth="1"/>
    <col min="367" max="367" width="11.88671875" bestFit="1" customWidth="1"/>
    <col min="368" max="368" width="10.88671875" bestFit="1" customWidth="1"/>
    <col min="369" max="369" width="11.88671875" bestFit="1" customWidth="1"/>
    <col min="370" max="370" width="10.88671875" bestFit="1" customWidth="1"/>
    <col min="371" max="371" width="11.88671875" bestFit="1" customWidth="1"/>
    <col min="372" max="372" width="10.88671875" bestFit="1" customWidth="1"/>
    <col min="373" max="374" width="11.88671875" bestFit="1" customWidth="1"/>
    <col min="375" max="375" width="10.88671875" bestFit="1" customWidth="1"/>
    <col min="376" max="377" width="11.88671875" bestFit="1" customWidth="1"/>
    <col min="378" max="379" width="10.88671875" bestFit="1" customWidth="1"/>
    <col min="380" max="380" width="11.88671875" bestFit="1" customWidth="1"/>
    <col min="381" max="383" width="10.88671875" bestFit="1" customWidth="1"/>
    <col min="384" max="384" width="9.88671875" bestFit="1" customWidth="1"/>
    <col min="385" max="385" width="11.88671875" bestFit="1" customWidth="1"/>
    <col min="386" max="391" width="10.88671875" bestFit="1" customWidth="1"/>
    <col min="392" max="392" width="11.88671875" bestFit="1" customWidth="1"/>
    <col min="393" max="393" width="10.88671875" bestFit="1" customWidth="1"/>
    <col min="394" max="394" width="11.88671875" bestFit="1" customWidth="1"/>
    <col min="395" max="395" width="9.88671875" bestFit="1" customWidth="1"/>
    <col min="396" max="396" width="10.88671875" bestFit="1" customWidth="1"/>
    <col min="397" max="397" width="11.88671875" bestFit="1" customWidth="1"/>
    <col min="398" max="400" width="10.88671875" bestFit="1" customWidth="1"/>
    <col min="401" max="401" width="9.88671875" bestFit="1" customWidth="1"/>
    <col min="402" max="402" width="14.44140625" bestFit="1" customWidth="1"/>
  </cols>
  <sheetData>
    <row r="2" spans="1:6" x14ac:dyDescent="0.3">
      <c r="A2" t="s">
        <v>2377</v>
      </c>
      <c r="B2" t="s">
        <v>2378</v>
      </c>
      <c r="C2" t="s">
        <v>2379</v>
      </c>
      <c r="D2" t="s">
        <v>2380</v>
      </c>
      <c r="E2" t="s">
        <v>2381</v>
      </c>
      <c r="F2" t="s">
        <v>2382</v>
      </c>
    </row>
    <row r="3" spans="1:6" x14ac:dyDescent="0.3">
      <c r="A3" s="19">
        <v>5482531.4389999937</v>
      </c>
      <c r="B3" s="19">
        <v>217781.43900000016</v>
      </c>
      <c r="C3" s="59">
        <v>4855</v>
      </c>
      <c r="D3" s="59">
        <v>700</v>
      </c>
      <c r="E3" s="24">
        <v>4.1904129511482494E-2</v>
      </c>
      <c r="F3" s="19">
        <v>5264750</v>
      </c>
    </row>
    <row r="6" spans="1:6" x14ac:dyDescent="0.3">
      <c r="A6" s="23" t="s">
        <v>2384</v>
      </c>
      <c r="B6" s="6">
        <f>GETPIVOTDATA("REVENUE ",$A$2)</f>
        <v>5482531.4389999937</v>
      </c>
      <c r="C6" s="19">
        <f>B7</f>
        <v>217781.43900000016</v>
      </c>
      <c r="D6" s="19"/>
    </row>
    <row r="7" spans="1:6" x14ac:dyDescent="0.3">
      <c r="A7" s="23" t="s">
        <v>2385</v>
      </c>
      <c r="B7" s="6">
        <f>GETPIVOTDATA("PROFIT ",$A$2)</f>
        <v>217781.43900000016</v>
      </c>
    </row>
    <row r="8" spans="1:6" x14ac:dyDescent="0.3">
      <c r="A8" s="23" t="s">
        <v>2383</v>
      </c>
      <c r="B8">
        <f>GETPIVOTDATA("ORDER ID ",$A$2)</f>
        <v>700</v>
      </c>
    </row>
    <row r="9" spans="1:6" x14ac:dyDescent="0.3">
      <c r="A9" s="23" t="s">
        <v>2386</v>
      </c>
      <c r="B9" s="40">
        <f>GETPIVOTDATA("MARGIN% ",$A$2)</f>
        <v>4.1904129511482494E-2</v>
      </c>
    </row>
    <row r="10" spans="1:6" x14ac:dyDescent="0.3">
      <c r="A10" s="23" t="s">
        <v>2387</v>
      </c>
      <c r="B10" s="6">
        <f>GETPIVOTDATA("COST ",$A$2)</f>
        <v>5264750</v>
      </c>
    </row>
    <row r="26" spans="1:5" x14ac:dyDescent="0.3">
      <c r="A26" s="20" t="s">
        <v>2377</v>
      </c>
      <c r="B26" s="20" t="s">
        <v>2375</v>
      </c>
    </row>
    <row r="27" spans="1:5" x14ac:dyDescent="0.3">
      <c r="A27" s="20" t="s">
        <v>2372</v>
      </c>
      <c r="B27" t="s">
        <v>2373</v>
      </c>
      <c r="C27" t="s">
        <v>2374</v>
      </c>
      <c r="D27" t="s">
        <v>2400</v>
      </c>
      <c r="E27" t="s">
        <v>2371</v>
      </c>
    </row>
    <row r="28" spans="1:5" x14ac:dyDescent="0.3">
      <c r="A28" s="21" t="s">
        <v>2388</v>
      </c>
      <c r="B28" s="19">
        <v>185433.818</v>
      </c>
      <c r="C28" s="19">
        <v>168897.05300000001</v>
      </c>
      <c r="D28" s="19">
        <v>217007.11900000001</v>
      </c>
      <c r="E28" s="19">
        <v>571337.99</v>
      </c>
    </row>
    <row r="29" spans="1:5" x14ac:dyDescent="0.3">
      <c r="A29" s="21" t="s">
        <v>2389</v>
      </c>
      <c r="B29" s="19">
        <v>184910.31599999996</v>
      </c>
      <c r="C29" s="19">
        <v>70979.361999999979</v>
      </c>
      <c r="D29" s="19">
        <v>186662.82200000004</v>
      </c>
      <c r="E29" s="19">
        <v>442552.5</v>
      </c>
    </row>
    <row r="30" spans="1:5" x14ac:dyDescent="0.3">
      <c r="A30" s="21" t="s">
        <v>2390</v>
      </c>
      <c r="B30" s="19">
        <v>123578.652</v>
      </c>
      <c r="C30" s="19">
        <v>245720.06700000001</v>
      </c>
      <c r="D30" s="19">
        <v>132388.486</v>
      </c>
      <c r="E30" s="19">
        <v>501687.20500000007</v>
      </c>
    </row>
    <row r="31" spans="1:5" x14ac:dyDescent="0.3">
      <c r="A31" s="21" t="s">
        <v>2391</v>
      </c>
      <c r="B31" s="19">
        <v>179548.731</v>
      </c>
      <c r="C31" s="19">
        <v>159025.46099999998</v>
      </c>
      <c r="D31" s="19">
        <v>188771.86499999999</v>
      </c>
      <c r="E31" s="19">
        <v>527346.05700000003</v>
      </c>
    </row>
    <row r="32" spans="1:5" x14ac:dyDescent="0.3">
      <c r="A32" s="21" t="s">
        <v>2392</v>
      </c>
      <c r="B32" s="19">
        <v>287475.25599999994</v>
      </c>
      <c r="C32" s="19">
        <v>157132.53599999999</v>
      </c>
      <c r="D32" s="19">
        <v>136753.508</v>
      </c>
      <c r="E32" s="19">
        <v>581361.29999999993</v>
      </c>
    </row>
    <row r="33" spans="1:5" x14ac:dyDescent="0.3">
      <c r="A33" s="21" t="s">
        <v>2393</v>
      </c>
      <c r="B33" s="19">
        <v>231579.70599999998</v>
      </c>
      <c r="C33" s="19">
        <v>217134.79400000005</v>
      </c>
      <c r="D33" s="19">
        <v>67169.466</v>
      </c>
      <c r="E33" s="19">
        <v>515883.96600000001</v>
      </c>
    </row>
    <row r="34" spans="1:5" x14ac:dyDescent="0.3">
      <c r="A34" s="21" t="s">
        <v>2394</v>
      </c>
      <c r="B34" s="19">
        <v>234245.05800000002</v>
      </c>
      <c r="C34" s="19">
        <v>178684.56000000003</v>
      </c>
      <c r="D34" s="19"/>
      <c r="E34" s="19">
        <v>412929.61800000002</v>
      </c>
    </row>
    <row r="35" spans="1:5" x14ac:dyDescent="0.3">
      <c r="A35" s="21" t="s">
        <v>2395</v>
      </c>
      <c r="B35" s="19">
        <v>182655.14900000003</v>
      </c>
      <c r="C35" s="19">
        <v>207375.14700000003</v>
      </c>
      <c r="D35" s="19"/>
      <c r="E35" s="19">
        <v>390030.29600000009</v>
      </c>
    </row>
    <row r="36" spans="1:5" x14ac:dyDescent="0.3">
      <c r="A36" s="21" t="s">
        <v>2396</v>
      </c>
      <c r="B36" s="19">
        <v>165245.49400000001</v>
      </c>
      <c r="C36" s="19">
        <v>185316.489</v>
      </c>
      <c r="D36" s="19"/>
      <c r="E36" s="19">
        <v>350561.98300000001</v>
      </c>
    </row>
    <row r="37" spans="1:5" x14ac:dyDescent="0.3">
      <c r="A37" s="21" t="s">
        <v>2397</v>
      </c>
      <c r="B37" s="19">
        <v>272032.20799999998</v>
      </c>
      <c r="C37" s="19">
        <v>257107.74299999996</v>
      </c>
      <c r="D37" s="19"/>
      <c r="E37" s="19">
        <v>529139.95099999988</v>
      </c>
    </row>
    <row r="38" spans="1:5" x14ac:dyDescent="0.3">
      <c r="A38" s="21" t="s">
        <v>2398</v>
      </c>
      <c r="B38" s="19">
        <v>118159.36900000001</v>
      </c>
      <c r="C38" s="19">
        <v>227183.08199999999</v>
      </c>
      <c r="D38" s="19"/>
      <c r="E38" s="19">
        <v>345342.451</v>
      </c>
    </row>
    <row r="39" spans="1:5" x14ac:dyDescent="0.3">
      <c r="A39" s="21" t="s">
        <v>2399</v>
      </c>
      <c r="B39" s="19">
        <v>165839.05200000003</v>
      </c>
      <c r="C39" s="19">
        <v>148519.07</v>
      </c>
      <c r="D39" s="19"/>
      <c r="E39" s="19">
        <v>314358.12200000003</v>
      </c>
    </row>
    <row r="40" spans="1:5" x14ac:dyDescent="0.3">
      <c r="A40" s="21" t="s">
        <v>2371</v>
      </c>
      <c r="B40" s="19">
        <v>2330702.8089999999</v>
      </c>
      <c r="C40" s="19">
        <v>2223075.3640000001</v>
      </c>
      <c r="D40" s="19">
        <v>928753.26600000006</v>
      </c>
      <c r="E40" s="19">
        <v>5482531.4390000012</v>
      </c>
    </row>
  </sheetData>
  <pageMargins left="0.7" right="0.7" top="0.75" bottom="0.75" header="0.3" footer="0.3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8ED6-E97F-49A0-999D-6EE773F13EC9}">
  <dimension ref="A1:T15"/>
  <sheetViews>
    <sheetView workbookViewId="0">
      <selection activeCell="Q23" sqref="Q23"/>
    </sheetView>
  </sheetViews>
  <sheetFormatPr defaultRowHeight="14.4" x14ac:dyDescent="0.3"/>
  <cols>
    <col min="1" max="1" width="16.6640625" bestFit="1" customWidth="1"/>
    <col min="2" max="2" width="17" bestFit="1" customWidth="1"/>
    <col min="3" max="4" width="14.6640625" bestFit="1" customWidth="1"/>
    <col min="5" max="5" width="13.21875" bestFit="1" customWidth="1"/>
    <col min="6" max="7" width="14.6640625" bestFit="1" customWidth="1"/>
    <col min="8" max="8" width="13" bestFit="1" customWidth="1"/>
    <col min="9" max="9" width="16.6640625" bestFit="1" customWidth="1"/>
    <col min="10" max="10" width="17" bestFit="1" customWidth="1"/>
    <col min="11" max="14" width="13.21875" bestFit="1" customWidth="1"/>
    <col min="15" max="15" width="14.6640625" bestFit="1" customWidth="1"/>
    <col min="16" max="16" width="16.5546875" bestFit="1" customWidth="1"/>
    <col min="17" max="17" width="16.6640625" bestFit="1" customWidth="1"/>
    <col min="18" max="18" width="15.5546875" bestFit="1" customWidth="1"/>
    <col min="19" max="19" width="13.5546875" bestFit="1" customWidth="1"/>
    <col min="20" max="21" width="15.88671875" bestFit="1" customWidth="1"/>
  </cols>
  <sheetData>
    <row r="1" spans="1:20" x14ac:dyDescent="0.3">
      <c r="I1" s="20" t="s">
        <v>2368</v>
      </c>
      <c r="J1" s="20" t="s">
        <v>2375</v>
      </c>
      <c r="Q1" s="20" t="s">
        <v>2372</v>
      </c>
      <c r="R1" t="s">
        <v>2368</v>
      </c>
      <c r="S1" t="s">
        <v>2369</v>
      </c>
      <c r="T1" t="s">
        <v>2370</v>
      </c>
    </row>
    <row r="2" spans="1:20" x14ac:dyDescent="0.3">
      <c r="A2" s="20" t="s">
        <v>2368</v>
      </c>
      <c r="B2" s="20" t="s">
        <v>2375</v>
      </c>
      <c r="I2" s="20" t="s">
        <v>2372</v>
      </c>
      <c r="J2" t="s">
        <v>22</v>
      </c>
      <c r="K2" t="s">
        <v>23</v>
      </c>
      <c r="L2" t="s">
        <v>24</v>
      </c>
      <c r="M2" t="s">
        <v>25</v>
      </c>
      <c r="N2" t="s">
        <v>61</v>
      </c>
      <c r="O2" t="s">
        <v>2371</v>
      </c>
      <c r="Q2" s="21" t="s">
        <v>20</v>
      </c>
      <c r="R2" s="19">
        <v>1589217.5270000005</v>
      </c>
      <c r="S2" s="19">
        <v>73817.526999999973</v>
      </c>
      <c r="T2" s="59">
        <v>244</v>
      </c>
    </row>
    <row r="3" spans="1:20" x14ac:dyDescent="0.3">
      <c r="A3" s="20" t="s">
        <v>2372</v>
      </c>
      <c r="B3" t="s">
        <v>22</v>
      </c>
      <c r="C3" t="s">
        <v>23</v>
      </c>
      <c r="D3" t="s">
        <v>24</v>
      </c>
      <c r="E3" t="s">
        <v>25</v>
      </c>
      <c r="F3" t="s">
        <v>61</v>
      </c>
      <c r="G3" t="s">
        <v>2371</v>
      </c>
      <c r="I3" s="21" t="s">
        <v>42</v>
      </c>
      <c r="J3" s="19">
        <v>95422.577999999994</v>
      </c>
      <c r="K3" s="19">
        <v>159690.696</v>
      </c>
      <c r="L3" s="19">
        <v>263720.89799999999</v>
      </c>
      <c r="M3" s="19">
        <v>138942.46799999999</v>
      </c>
      <c r="N3" s="19">
        <v>230703.59400000001</v>
      </c>
      <c r="O3" s="19">
        <v>888480.23399999994</v>
      </c>
      <c r="Q3" s="22" t="s">
        <v>22</v>
      </c>
      <c r="R3" s="19">
        <v>420808.86000000004</v>
      </c>
      <c r="S3" s="19">
        <v>21618.85999999999</v>
      </c>
      <c r="T3" s="59">
        <v>54</v>
      </c>
    </row>
    <row r="4" spans="1:20" x14ac:dyDescent="0.3">
      <c r="A4" s="21" t="s">
        <v>21</v>
      </c>
      <c r="B4" s="19">
        <v>411746.44300000003</v>
      </c>
      <c r="C4" s="19">
        <v>652907.23400000017</v>
      </c>
      <c r="D4" s="19">
        <v>535212.66600000008</v>
      </c>
      <c r="E4" s="19">
        <v>509582.63500000007</v>
      </c>
      <c r="F4" s="19">
        <v>471910.02700000006</v>
      </c>
      <c r="G4" s="19">
        <v>2581359.0050000008</v>
      </c>
      <c r="I4" s="21" t="s">
        <v>29</v>
      </c>
      <c r="J4" s="19">
        <v>278532.85499999998</v>
      </c>
      <c r="K4" s="19">
        <v>65521.745999999999</v>
      </c>
      <c r="L4" s="19">
        <v>126812.06099999999</v>
      </c>
      <c r="M4" s="19">
        <v>142516.34099999999</v>
      </c>
      <c r="N4" s="19">
        <v>116080.803</v>
      </c>
      <c r="O4" s="19">
        <v>729463.80599999987</v>
      </c>
      <c r="Q4" s="22" t="s">
        <v>23</v>
      </c>
      <c r="R4" s="19">
        <v>359662.37</v>
      </c>
      <c r="S4" s="19">
        <v>19142.369999999988</v>
      </c>
      <c r="T4" s="59">
        <v>43</v>
      </c>
    </row>
    <row r="5" spans="1:20" x14ac:dyDescent="0.3">
      <c r="A5" s="21" t="s">
        <v>20</v>
      </c>
      <c r="B5" s="19">
        <v>420808.86000000004</v>
      </c>
      <c r="C5" s="19">
        <v>359662.36999999994</v>
      </c>
      <c r="D5" s="19">
        <v>327205.90399999992</v>
      </c>
      <c r="E5" s="19">
        <v>184579.033</v>
      </c>
      <c r="F5" s="19">
        <v>296961.35999999993</v>
      </c>
      <c r="G5" s="19">
        <v>1589217.5269999998</v>
      </c>
      <c r="I5" s="21" t="s">
        <v>26</v>
      </c>
      <c r="J5" s="19">
        <v>90597.312000000005</v>
      </c>
      <c r="K5" s="19">
        <v>343042.94700000004</v>
      </c>
      <c r="L5" s="19">
        <v>125043.16500000001</v>
      </c>
      <c r="M5" s="19">
        <v>81740.843999999997</v>
      </c>
      <c r="N5" s="19">
        <v>189506.63700000002</v>
      </c>
      <c r="O5" s="19">
        <v>829930.90500000014</v>
      </c>
      <c r="Q5" s="22" t="s">
        <v>24</v>
      </c>
      <c r="R5" s="19">
        <v>327205.90400000004</v>
      </c>
      <c r="S5" s="19">
        <v>13115.903999999997</v>
      </c>
      <c r="T5" s="59">
        <v>55</v>
      </c>
    </row>
    <row r="6" spans="1:20" x14ac:dyDescent="0.3">
      <c r="A6" s="21" t="s">
        <v>19</v>
      </c>
      <c r="B6" s="19">
        <v>215129.09399999998</v>
      </c>
      <c r="C6" s="19">
        <v>208497.53100000002</v>
      </c>
      <c r="D6" s="19">
        <v>305008.391</v>
      </c>
      <c r="E6" s="19">
        <v>271092.17499999999</v>
      </c>
      <c r="F6" s="19">
        <v>312227.7159999999</v>
      </c>
      <c r="G6" s="19">
        <v>1311954.9070000001</v>
      </c>
      <c r="I6" s="21" t="s">
        <v>35</v>
      </c>
      <c r="J6" s="19">
        <v>63620.153999999995</v>
      </c>
      <c r="K6" s="19">
        <v>99457.956000000006</v>
      </c>
      <c r="L6" s="19">
        <v>123695.90999999999</v>
      </c>
      <c r="M6" s="19">
        <v>80876.717999999993</v>
      </c>
      <c r="N6" s="19">
        <v>8771.49</v>
      </c>
      <c r="O6" s="19">
        <v>376422.22799999994</v>
      </c>
      <c r="Q6" s="22" t="s">
        <v>61</v>
      </c>
      <c r="R6" s="19">
        <v>296961.36</v>
      </c>
      <c r="S6" s="19">
        <v>11211.36</v>
      </c>
      <c r="T6" s="59">
        <v>56</v>
      </c>
    </row>
    <row r="7" spans="1:20" x14ac:dyDescent="0.3">
      <c r="A7" s="21" t="s">
        <v>2371</v>
      </c>
      <c r="B7" s="19">
        <v>1047684.3970000001</v>
      </c>
      <c r="C7" s="19">
        <v>1221067.135</v>
      </c>
      <c r="D7" s="19">
        <v>1167426.9609999999</v>
      </c>
      <c r="E7" s="19">
        <v>965253.84300000011</v>
      </c>
      <c r="F7" s="19">
        <v>1081099.1029999999</v>
      </c>
      <c r="G7" s="19">
        <v>5482531.4390000012</v>
      </c>
      <c r="I7" s="21" t="s">
        <v>43</v>
      </c>
      <c r="J7" s="19">
        <v>93536.082999999999</v>
      </c>
      <c r="K7" s="19">
        <v>181177.10799999998</v>
      </c>
      <c r="L7" s="19">
        <v>114221.10900000001</v>
      </c>
      <c r="M7" s="19">
        <v>62159.724000000002</v>
      </c>
      <c r="N7" s="19">
        <v>52741.584000000003</v>
      </c>
      <c r="O7" s="19">
        <v>503835.60800000001</v>
      </c>
      <c r="Q7" s="22" t="s">
        <v>25</v>
      </c>
      <c r="R7" s="19">
        <v>184579.033</v>
      </c>
      <c r="S7" s="19">
        <v>8729.0329999999994</v>
      </c>
      <c r="T7" s="59">
        <v>36</v>
      </c>
    </row>
    <row r="8" spans="1:20" x14ac:dyDescent="0.3">
      <c r="I8" s="21" t="s">
        <v>2371</v>
      </c>
      <c r="J8" s="19">
        <v>621708.98199999996</v>
      </c>
      <c r="K8" s="19">
        <v>848890.45299999998</v>
      </c>
      <c r="L8" s="19">
        <v>753493.14300000004</v>
      </c>
      <c r="M8" s="19">
        <v>506236.09499999997</v>
      </c>
      <c r="N8" s="19">
        <v>597804.10800000001</v>
      </c>
      <c r="O8" s="19">
        <v>3328132.781</v>
      </c>
      <c r="Q8" s="21" t="s">
        <v>2371</v>
      </c>
      <c r="R8" s="19">
        <v>1589217.5270000005</v>
      </c>
      <c r="S8" s="19">
        <v>73817.526999999973</v>
      </c>
      <c r="T8" s="59">
        <v>244</v>
      </c>
    </row>
    <row r="11" spans="1:20" x14ac:dyDescent="0.3">
      <c r="Q11" s="20" t="s">
        <v>2372</v>
      </c>
      <c r="R11" t="s">
        <v>2368</v>
      </c>
    </row>
    <row r="12" spans="1:20" x14ac:dyDescent="0.3">
      <c r="Q12" s="21" t="s">
        <v>2373</v>
      </c>
      <c r="R12" s="19">
        <v>2330702.8090000008</v>
      </c>
    </row>
    <row r="13" spans="1:20" x14ac:dyDescent="0.3">
      <c r="Q13" s="21" t="s">
        <v>2374</v>
      </c>
      <c r="R13" s="19">
        <v>2223075.3639999991</v>
      </c>
    </row>
    <row r="14" spans="1:20" x14ac:dyDescent="0.3">
      <c r="Q14" s="21" t="s">
        <v>2400</v>
      </c>
      <c r="R14" s="19">
        <v>928753.26599999995</v>
      </c>
    </row>
    <row r="15" spans="1:20" x14ac:dyDescent="0.3">
      <c r="Q15" s="21" t="s">
        <v>2371</v>
      </c>
      <c r="R15" s="19">
        <v>5482531.4390000002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03AF-6D13-496C-BBDE-3789AA96DBAB}">
  <sheetPr>
    <tabColor rgb="FF002060"/>
    <pageSetUpPr fitToPage="1"/>
  </sheetPr>
  <dimension ref="A1:AG28"/>
  <sheetViews>
    <sheetView showGridLines="0" showRowColHeaders="0" tabSelected="1" zoomScale="140" zoomScaleNormal="140" workbookViewId="0">
      <pane xSplit="1" topLeftCell="B1" activePane="topRight" state="frozen"/>
      <selection activeCell="A2" sqref="A2"/>
      <selection pane="topRight" activeCell="D21" sqref="D21"/>
    </sheetView>
  </sheetViews>
  <sheetFormatPr defaultColWidth="0" defaultRowHeight="14.4" zeroHeight="1" x14ac:dyDescent="0.3"/>
  <cols>
    <col min="1" max="1" width="13.44140625" style="41" hidden="1" customWidth="1"/>
    <col min="2" max="2" width="20.5546875" style="41" customWidth="1"/>
    <col min="3" max="3" width="17.109375" style="41" bestFit="1" customWidth="1"/>
    <col min="4" max="4" width="13.5546875" style="41" bestFit="1" customWidth="1"/>
    <col min="5" max="5" width="20.5546875" style="41" customWidth="1"/>
    <col min="6" max="6" width="17.109375" style="41" bestFit="1" customWidth="1"/>
    <col min="7" max="7" width="13.5546875" style="41" bestFit="1" customWidth="1"/>
    <col min="8" max="10" width="20.5546875" style="41" customWidth="1"/>
    <col min="11" max="11" width="19.5546875" style="41" customWidth="1"/>
    <col min="12" max="12" width="26.109375" style="41" customWidth="1"/>
    <col min="13" max="13" width="20.5546875" style="41" hidden="1" customWidth="1"/>
    <col min="14" max="33" width="20.5546875" style="41" hidden="1"/>
    <col min="34" max="16384" width="0" style="41" hidden="1"/>
  </cols>
  <sheetData>
    <row r="1" spans="8:19" ht="24" customHeight="1" x14ac:dyDescent="0.3"/>
    <row r="2" spans="8:19" ht="24" customHeight="1" thickBot="1" x14ac:dyDescent="0.35">
      <c r="N2" s="42"/>
    </row>
    <row r="3" spans="8:19" ht="24" customHeight="1" x14ac:dyDescent="0.3">
      <c r="N3" s="42"/>
      <c r="P3" s="43" t="e">
        <f>#REF!</f>
        <v>#REF!</v>
      </c>
      <c r="Q3" s="44" t="e">
        <f>#REF!</f>
        <v>#REF!</v>
      </c>
      <c r="R3" s="44" t="e">
        <f>#REF!</f>
        <v>#REF!</v>
      </c>
      <c r="S3" s="45" t="e">
        <f>#REF!</f>
        <v>#REF!</v>
      </c>
    </row>
    <row r="4" spans="8:19" ht="24" customHeight="1" x14ac:dyDescent="0.3">
      <c r="P4" s="46" t="e">
        <f>#REF!</f>
        <v>#REF!</v>
      </c>
      <c r="Q4" s="47" t="e">
        <f>#REF!</f>
        <v>#REF!</v>
      </c>
      <c r="R4" s="47" t="e">
        <f>#REF!</f>
        <v>#REF!</v>
      </c>
      <c r="S4" s="48" t="e">
        <f>#REF!</f>
        <v>#REF!</v>
      </c>
    </row>
    <row r="5" spans="8:19" ht="24" customHeight="1" x14ac:dyDescent="0.3">
      <c r="N5" s="49"/>
      <c r="P5" s="46" t="e">
        <f>#REF!</f>
        <v>#REF!</v>
      </c>
      <c r="Q5" s="47" t="e">
        <f>#REF!</f>
        <v>#REF!</v>
      </c>
      <c r="R5" s="47" t="e">
        <f>#REF!</f>
        <v>#REF!</v>
      </c>
      <c r="S5" s="48" t="e">
        <f>#REF!</f>
        <v>#REF!</v>
      </c>
    </row>
    <row r="6" spans="8:19" ht="24" customHeight="1" x14ac:dyDescent="0.3">
      <c r="N6" s="50"/>
      <c r="P6" s="46" t="e">
        <f>#REF!</f>
        <v>#REF!</v>
      </c>
      <c r="Q6" s="47" t="e">
        <f>#REF!</f>
        <v>#REF!</v>
      </c>
      <c r="R6" s="47" t="e">
        <f>#REF!</f>
        <v>#REF!</v>
      </c>
      <c r="S6" s="48" t="e">
        <f>#REF!</f>
        <v>#REF!</v>
      </c>
    </row>
    <row r="7" spans="8:19" ht="24" customHeight="1" x14ac:dyDescent="0.3">
      <c r="P7" s="46" t="e">
        <f>#REF!</f>
        <v>#REF!</v>
      </c>
      <c r="Q7" s="47" t="e">
        <f>#REF!</f>
        <v>#REF!</v>
      </c>
      <c r="R7" s="47" t="e">
        <f>#REF!</f>
        <v>#REF!</v>
      </c>
      <c r="S7" s="48" t="e">
        <f>#REF!</f>
        <v>#REF!</v>
      </c>
    </row>
    <row r="8" spans="8:19" ht="24" customHeight="1" thickBot="1" x14ac:dyDescent="0.35">
      <c r="P8" s="51" t="e">
        <f>#REF!</f>
        <v>#REF!</v>
      </c>
      <c r="Q8" s="52" t="e">
        <f>#REF!</f>
        <v>#REF!</v>
      </c>
      <c r="R8" s="52" t="e">
        <f>#REF!</f>
        <v>#REF!</v>
      </c>
      <c r="S8" s="53" t="e">
        <f>#REF!</f>
        <v>#REF!</v>
      </c>
    </row>
    <row r="9" spans="8:19" ht="24" customHeight="1" x14ac:dyDescent="0.3"/>
    <row r="10" spans="8:19" ht="24" customHeight="1" x14ac:dyDescent="0.3"/>
    <row r="11" spans="8:19" ht="24" customHeight="1" x14ac:dyDescent="0.3">
      <c r="H11" s="41" t="s">
        <v>2376</v>
      </c>
    </row>
    <row r="12" spans="8:19" ht="24" customHeight="1" x14ac:dyDescent="0.3"/>
    <row r="13" spans="8:19" ht="24" customHeight="1" x14ac:dyDescent="0.3"/>
    <row r="14" spans="8:19" ht="24" customHeight="1" x14ac:dyDescent="0.3">
      <c r="M14" s="54"/>
    </row>
    <row r="15" spans="8:19" ht="24" customHeight="1" x14ac:dyDescent="0.3"/>
    <row r="16" spans="8:19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hidden="1" customHeight="1" x14ac:dyDescent="0.3"/>
    <row r="23" ht="24" hidden="1" customHeight="1" x14ac:dyDescent="0.3"/>
    <row r="24" ht="24" hidden="1" customHeight="1" x14ac:dyDescent="0.3"/>
    <row r="25" ht="24" hidden="1" customHeight="1" x14ac:dyDescent="0.3"/>
    <row r="26" ht="24" hidden="1" customHeight="1" x14ac:dyDescent="0.3"/>
    <row r="27" ht="24" hidden="1" customHeight="1" x14ac:dyDescent="0.3"/>
    <row r="28" ht="24" hidden="1" customHeight="1" x14ac:dyDescent="0.3"/>
  </sheetData>
  <sheetProtection sheet="1" scenarios="1" selectLockedCells="1"/>
  <pageMargins left="0.7" right="0.7" top="0.75" bottom="0.75" header="0.3" footer="0.3"/>
  <pageSetup scale="58" fitToHeight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2FBB-15AC-4A43-99D4-E2902D5B5890}">
  <sheetPr codeName="Arkusz6">
    <tabColor rgb="FFDEE5ED"/>
  </sheetPr>
  <dimension ref="B1:F42"/>
  <sheetViews>
    <sheetView showGridLines="0" workbookViewId="0">
      <selection activeCell="N12" sqref="N12"/>
    </sheetView>
  </sheetViews>
  <sheetFormatPr defaultRowHeight="14.4" x14ac:dyDescent="0.3"/>
  <cols>
    <col min="2" max="2" width="15.88671875" customWidth="1"/>
    <col min="9" max="9" width="27" customWidth="1"/>
  </cols>
  <sheetData>
    <row r="1" spans="2:6" ht="15" customHeight="1" x14ac:dyDescent="0.3"/>
    <row r="2" spans="2:6" ht="15" customHeight="1" x14ac:dyDescent="0.35">
      <c r="B2" s="55" t="s">
        <v>2401</v>
      </c>
      <c r="C2" s="56"/>
      <c r="D2" s="56"/>
      <c r="E2" s="56"/>
      <c r="F2" s="56"/>
    </row>
    <row r="3" spans="2:6" ht="15" customHeight="1" x14ac:dyDescent="0.3">
      <c r="B3" s="57" t="s">
        <v>2402</v>
      </c>
      <c r="C3" s="56"/>
      <c r="D3" s="56"/>
      <c r="E3" s="56"/>
      <c r="F3" s="56"/>
    </row>
    <row r="4" spans="2:6" ht="15" customHeight="1" x14ac:dyDescent="0.3">
      <c r="B4" s="57" t="s">
        <v>2403</v>
      </c>
      <c r="C4" s="56"/>
      <c r="D4" s="56"/>
      <c r="E4" s="56"/>
      <c r="F4" s="56"/>
    </row>
    <row r="5" spans="2:6" ht="15" customHeight="1" x14ac:dyDescent="0.3">
      <c r="B5" s="57" t="s">
        <v>2404</v>
      </c>
      <c r="C5" s="56"/>
      <c r="D5" s="56"/>
      <c r="E5" s="56"/>
      <c r="F5" s="56"/>
    </row>
    <row r="6" spans="2:6" ht="15" customHeight="1" x14ac:dyDescent="0.3">
      <c r="B6" s="57" t="s">
        <v>2405</v>
      </c>
      <c r="C6" s="56"/>
      <c r="D6" s="56"/>
      <c r="E6" s="56"/>
      <c r="F6" s="56"/>
    </row>
    <row r="7" spans="2:6" ht="15" customHeight="1" x14ac:dyDescent="0.3">
      <c r="B7" s="56"/>
      <c r="C7" s="56"/>
      <c r="D7" s="56"/>
      <c r="E7" s="56"/>
      <c r="F7" s="56"/>
    </row>
    <row r="8" spans="2:6" ht="15" customHeight="1" x14ac:dyDescent="0.35">
      <c r="B8" s="55" t="s">
        <v>2406</v>
      </c>
      <c r="C8" s="56"/>
      <c r="D8" s="56"/>
      <c r="E8" s="56"/>
      <c r="F8" s="56"/>
    </row>
    <row r="9" spans="2:6" ht="15" customHeight="1" x14ac:dyDescent="0.3">
      <c r="B9" s="57" t="s">
        <v>2407</v>
      </c>
      <c r="C9" s="56"/>
      <c r="D9" s="56"/>
      <c r="E9" s="56"/>
      <c r="F9" s="56"/>
    </row>
    <row r="10" spans="2:6" ht="15" customHeight="1" x14ac:dyDescent="0.3">
      <c r="B10" s="57" t="s">
        <v>26</v>
      </c>
      <c r="C10" s="56"/>
      <c r="D10" s="56"/>
      <c r="E10" s="56"/>
      <c r="F10" s="56"/>
    </row>
    <row r="11" spans="2:6" ht="15" customHeight="1" x14ac:dyDescent="0.3">
      <c r="B11" s="57" t="s">
        <v>29</v>
      </c>
      <c r="C11" s="56"/>
      <c r="D11" s="56"/>
      <c r="E11" s="56"/>
      <c r="F11" s="56"/>
    </row>
    <row r="12" spans="2:6" ht="15" customHeight="1" x14ac:dyDescent="0.3">
      <c r="B12" s="57" t="s">
        <v>42</v>
      </c>
      <c r="C12" s="56"/>
      <c r="D12" s="56"/>
      <c r="E12" s="56"/>
      <c r="F12" s="56"/>
    </row>
    <row r="13" spans="2:6" ht="15" customHeight="1" x14ac:dyDescent="0.3">
      <c r="B13" s="57" t="s">
        <v>2408</v>
      </c>
      <c r="C13" s="56"/>
      <c r="D13" s="56"/>
      <c r="E13" s="56"/>
      <c r="F13" s="56"/>
    </row>
    <row r="14" spans="2:6" ht="15" customHeight="1" x14ac:dyDescent="0.3">
      <c r="B14" s="57" t="s">
        <v>2409</v>
      </c>
      <c r="C14" s="56"/>
      <c r="D14" s="56"/>
      <c r="E14" s="56"/>
      <c r="F14" s="56"/>
    </row>
    <row r="15" spans="2:6" ht="15" customHeight="1" x14ac:dyDescent="0.3">
      <c r="B15" s="56"/>
      <c r="C15" s="56"/>
      <c r="D15" s="56"/>
      <c r="E15" s="56"/>
      <c r="F15" s="56"/>
    </row>
    <row r="16" spans="2:6" ht="15" customHeight="1" x14ac:dyDescent="0.35">
      <c r="B16" s="55" t="s">
        <v>2410</v>
      </c>
      <c r="C16" s="56"/>
      <c r="D16" s="56"/>
      <c r="E16" s="56"/>
      <c r="F16" s="56"/>
    </row>
    <row r="17" spans="2:6" ht="15" customHeight="1" x14ac:dyDescent="0.3">
      <c r="B17" s="57" t="s">
        <v>2411</v>
      </c>
      <c r="C17" s="56"/>
      <c r="D17" s="56"/>
      <c r="E17" s="56"/>
      <c r="F17" s="56"/>
    </row>
    <row r="18" spans="2:6" ht="15" customHeight="1" x14ac:dyDescent="0.3">
      <c r="B18" s="57" t="s">
        <v>2412</v>
      </c>
      <c r="C18" s="56"/>
      <c r="D18" s="56"/>
      <c r="E18" s="56"/>
      <c r="F18" s="56"/>
    </row>
    <row r="19" spans="2:6" ht="15" customHeight="1" x14ac:dyDescent="0.3">
      <c r="B19" s="57" t="s">
        <v>2413</v>
      </c>
      <c r="C19" s="56"/>
      <c r="D19" s="56"/>
      <c r="E19" s="56"/>
      <c r="F19" s="56"/>
    </row>
    <row r="20" spans="2:6" ht="15" customHeight="1" x14ac:dyDescent="0.3">
      <c r="B20" s="56"/>
      <c r="C20" s="56"/>
      <c r="D20" s="56"/>
      <c r="E20" s="56"/>
      <c r="F20" s="56"/>
    </row>
    <row r="21" spans="2:6" ht="15" customHeight="1" x14ac:dyDescent="0.35">
      <c r="B21" s="55" t="s">
        <v>2414</v>
      </c>
      <c r="C21" s="56"/>
      <c r="D21" s="56"/>
      <c r="E21" s="56"/>
      <c r="F21" s="56"/>
    </row>
    <row r="22" spans="2:6" ht="15" customHeight="1" x14ac:dyDescent="0.3">
      <c r="B22" s="57" t="s">
        <v>2415</v>
      </c>
      <c r="C22" s="56"/>
      <c r="D22" s="56"/>
      <c r="E22" s="56"/>
      <c r="F22" s="56"/>
    </row>
    <row r="23" spans="2:6" ht="15" customHeight="1" x14ac:dyDescent="0.3">
      <c r="B23" s="57" t="s">
        <v>2416</v>
      </c>
      <c r="C23" s="56"/>
      <c r="D23" s="56"/>
      <c r="E23" s="56"/>
      <c r="F23" s="56"/>
    </row>
    <row r="24" spans="2:6" ht="15" customHeight="1" x14ac:dyDescent="0.3">
      <c r="B24" s="57" t="s">
        <v>2417</v>
      </c>
      <c r="C24" s="56"/>
      <c r="D24" s="56"/>
      <c r="E24" s="56"/>
      <c r="F24" s="56"/>
    </row>
    <row r="25" spans="2:6" ht="15" customHeight="1" x14ac:dyDescent="0.3">
      <c r="B25" s="57" t="s">
        <v>2418</v>
      </c>
      <c r="C25" s="56"/>
      <c r="D25" s="56"/>
      <c r="E25" s="56"/>
      <c r="F25" s="56"/>
    </row>
    <row r="26" spans="2:6" ht="15" customHeight="1" x14ac:dyDescent="0.3">
      <c r="B26" s="57" t="s">
        <v>2419</v>
      </c>
      <c r="C26" s="56"/>
      <c r="D26" s="56"/>
      <c r="E26" s="56"/>
      <c r="F26" s="56"/>
    </row>
    <row r="27" spans="2:6" ht="15" customHeight="1" x14ac:dyDescent="0.3">
      <c r="B27" s="56"/>
      <c r="C27" s="56"/>
      <c r="D27" s="56"/>
      <c r="E27" s="56"/>
      <c r="F27" s="56"/>
    </row>
    <row r="28" spans="2:6" ht="15" customHeight="1" x14ac:dyDescent="0.35">
      <c r="B28" s="55" t="s">
        <v>2420</v>
      </c>
      <c r="C28" s="56"/>
      <c r="D28" s="56"/>
      <c r="E28" s="56"/>
      <c r="F28" s="56"/>
    </row>
    <row r="29" spans="2:6" ht="15" customHeight="1" x14ac:dyDescent="0.3">
      <c r="B29" s="57" t="s">
        <v>2421</v>
      </c>
      <c r="C29" s="56"/>
      <c r="D29" s="56"/>
      <c r="E29" s="56"/>
      <c r="F29" s="56"/>
    </row>
    <row r="30" spans="2:6" ht="15" customHeight="1" x14ac:dyDescent="0.3">
      <c r="B30" s="57" t="s">
        <v>2422</v>
      </c>
      <c r="C30" s="56"/>
      <c r="D30" s="56"/>
      <c r="E30" s="56"/>
      <c r="F30" s="56"/>
    </row>
    <row r="31" spans="2:6" ht="15" customHeight="1" x14ac:dyDescent="0.3">
      <c r="B31" s="57" t="s">
        <v>2423</v>
      </c>
      <c r="C31" s="56"/>
      <c r="D31" s="56"/>
      <c r="E31" s="56"/>
      <c r="F31" s="56"/>
    </row>
    <row r="32" spans="2:6" ht="15" customHeight="1" x14ac:dyDescent="0.3">
      <c r="B32" s="56"/>
      <c r="C32" s="56"/>
      <c r="D32" s="56"/>
      <c r="E32" s="56"/>
      <c r="F32" s="56"/>
    </row>
    <row r="33" spans="2:6" ht="15" customHeight="1" x14ac:dyDescent="0.35">
      <c r="B33" s="55" t="s">
        <v>2424</v>
      </c>
      <c r="C33" s="56"/>
      <c r="D33" s="56"/>
      <c r="E33" s="56"/>
      <c r="F33" s="56"/>
    </row>
    <row r="34" spans="2:6" ht="15" customHeight="1" x14ac:dyDescent="0.3">
      <c r="B34" s="58" t="s">
        <v>2426</v>
      </c>
      <c r="C34" s="56"/>
      <c r="D34" s="56"/>
      <c r="E34" s="56"/>
      <c r="F34" s="56"/>
    </row>
    <row r="35" spans="2:6" ht="15" customHeight="1" x14ac:dyDescent="0.3">
      <c r="B35" s="58" t="s">
        <v>2425</v>
      </c>
      <c r="C35" s="56"/>
      <c r="D35" s="56"/>
      <c r="E35" s="56"/>
      <c r="F35" s="56"/>
    </row>
    <row r="36" spans="2:6" ht="15" customHeight="1" x14ac:dyDescent="0.3">
      <c r="B36" s="58" t="s">
        <v>2427</v>
      </c>
      <c r="C36" s="56"/>
      <c r="D36" s="56"/>
      <c r="E36" s="56"/>
      <c r="F36" s="56"/>
    </row>
    <row r="37" spans="2:6" ht="15" customHeight="1" x14ac:dyDescent="0.3">
      <c r="B37" s="58" t="s">
        <v>2428</v>
      </c>
      <c r="C37" s="56"/>
      <c r="D37" s="56"/>
      <c r="E37" s="56"/>
      <c r="F37" s="56"/>
    </row>
    <row r="38" spans="2:6" ht="15" customHeight="1" x14ac:dyDescent="0.3"/>
    <row r="39" spans="2:6" ht="15" customHeight="1" x14ac:dyDescent="0.3"/>
    <row r="40" spans="2:6" ht="15" customHeight="1" x14ac:dyDescent="0.3"/>
    <row r="41" spans="2:6" ht="15" customHeight="1" x14ac:dyDescent="0.3"/>
    <row r="42" spans="2:6" ht="15" customHeigh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AEB85C-A889-4271-8AAA-F92B048E24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1</vt:i4>
      </vt:variant>
    </vt:vector>
  </HeadingPairs>
  <TitlesOfParts>
    <vt:vector size="8" baseType="lpstr">
      <vt:lpstr>RAW_DATA</vt:lpstr>
      <vt:lpstr>CLEAN_DATA_POWERQUERY</vt:lpstr>
      <vt:lpstr>DASHBOARD (2)</vt:lpstr>
      <vt:lpstr>ANALYST_KPI</vt:lpstr>
      <vt:lpstr>ANALYST_TEAM&amp;REGION</vt:lpstr>
      <vt:lpstr>DASHBOARD</vt:lpstr>
      <vt:lpstr>INSIGHTS</vt:lpstr>
      <vt:lpstr>DASHBOARD!Obszar_wydruku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cp:lastPrinted>2026-04-29T10:26:14Z</cp:lastPrinted>
  <dcterms:created xsi:type="dcterms:W3CDTF">2026-03-10T14:40:35Z</dcterms:created>
  <dcterms:modified xsi:type="dcterms:W3CDTF">2026-04-29T10:27:26Z</dcterms:modified>
</cp:coreProperties>
</file>